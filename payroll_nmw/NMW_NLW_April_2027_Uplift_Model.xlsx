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tes" sheetId="2" state="visible" r:id="rId2"/>
    <sheet xmlns:r="http://schemas.openxmlformats.org/officeDocument/2006/relationships" name="Employees" sheetId="3" state="visible" r:id="rId3"/>
  </sheets>
  <definedNames>
    <definedName name="_xlnm._FilterDatabase" localSheetId="2" hidden="1">'Employees'!$A$1:$T$501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/mm/yyyy"/>
    <numFmt numFmtId="166" formatCode="£0.00"/>
    <numFmt numFmtId="167" formatCode="£#,##0"/>
    <numFmt numFmtId="168" formatCode="£#,##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2" fillId="0" borderId="0" pivotButton="0" quotePrefix="0" xfId="0"/>
    <xf numFmtId="1" fontId="0" fillId="0" borderId="0" pivotButton="0" quotePrefix="0" xfId="0"/>
    <xf numFmtId="168" fontId="0" fillId="0" borderId="0" pivotButton="0" quotePrefix="0" xfId="0"/>
    <xf numFmtId="0" fontId="3" fillId="0" borderId="0" pivotButton="0" quotePrefix="0" xfId="0"/>
    <xf numFmtId="168" fontId="3" fillId="0" borderId="0" pivotButton="0" quotePrefix="0" xfId="0"/>
    <xf numFmtId="0" fontId="1" fillId="2" borderId="0" pivotButton="0" quotePrefix="0" xfId="0"/>
    <xf numFmtId="165" fontId="0" fillId="3" borderId="0" pivotButton="0" quotePrefix="0" xfId="0"/>
    <xf numFmtId="166" fontId="0" fillId="3" borderId="0" pivotButton="0" quotePrefix="0" xfId="0"/>
    <xf numFmtId="10" fontId="0" fillId="3" borderId="0" pivotButton="0" quotePrefix="0" xfId="0"/>
    <xf numFmtId="167" fontId="0" fillId="3" borderId="0" pivotButton="0" quotePrefix="0" xfId="0"/>
    <xf numFmtId="0" fontId="0" fillId="3" borderId="0" pivotButton="0" quotePrefix="0" xfId="0"/>
    <xf numFmtId="0" fontId="1" fillId="2" borderId="0" applyAlignment="1" pivotButton="0" quotePrefix="0" xfId="0">
      <alignment vertical="center" wrapText="1"/>
    </xf>
    <xf numFmtId="0" fontId="0" fillId="4" borderId="0" pivotButton="0" quotePrefix="0" xfId="0"/>
    <xf numFmtId="168" fontId="0" fillId="4" borderId="0" pivotButton="0" quotePrefix="0" xfId="0"/>
    <xf numFmtId="166" fontId="0" fillId="4" borderId="0" pivotButton="0" quotePrefix="0" xfId="0"/>
    <xf numFmtId="165" fontId="0" fillId="4" borderId="0" pivotButton="0" quotePrefix="0" xfId="0"/>
    <xf numFmtId="0" fontId="0" fillId="5" borderId="0" pivotButton="0" quotePrefix="0" xfId="0"/>
    <xf numFmtId="166" fontId="0" fillId="5" borderId="0" pivotButton="0" quotePrefix="0" xfId="0"/>
    <xf numFmtId="168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</cols>
  <sheetData>
    <row r="1">
      <c r="A1" s="1" t="inlineStr">
        <is>
          <t>NMW and NLW uplift impact from 6 April 2027</t>
        </is>
      </c>
    </row>
    <row r="3">
      <c r="A3" t="inlineStr">
        <is>
          <t>Employees in file</t>
        </is>
      </c>
      <c r="B3" s="2">
        <f>COUNT(Employees!F2:F501)</f>
        <v/>
      </c>
    </row>
    <row r="4">
      <c r="A4" t="inlineStr">
        <is>
          <t>Employees needing an uplift</t>
        </is>
      </c>
      <c r="B4" s="2">
        <f>COUNTIF(Employees!L2:L501,"Uplift needed")</f>
        <v/>
      </c>
    </row>
    <row r="5">
      <c r="A5" t="inlineStr">
        <is>
          <t xml:space="preserve">  of which aged 21 and over</t>
        </is>
      </c>
      <c r="B5" s="2">
        <f>COUNTIFS(Employees!L2:L501,"Uplift needed",Employees!J2:J501,"&gt;=21")</f>
        <v/>
      </c>
    </row>
    <row r="6">
      <c r="A6" t="inlineStr">
        <is>
          <t xml:space="preserve">  of which aged 18 to 20</t>
        </is>
      </c>
      <c r="B6" s="2">
        <f>COUNTIFS(Employees!L2:L501,"Uplift needed",Employees!J2:J501,"&gt;=18",Employees!J2:J501,"&lt;21")</f>
        <v/>
      </c>
    </row>
    <row r="7">
      <c r="A7" t="inlineStr">
        <is>
          <t xml:space="preserve">  of which under 18</t>
        </is>
      </c>
      <c r="B7" s="2">
        <f>COUNTIFS(Employees!L2:L501,"Uplift needed",Employees!J2:J501,"&lt;18")</f>
        <v/>
      </c>
    </row>
    <row r="8">
      <c r="A8" t="inlineStr">
        <is>
          <t>Current annual pay bill (pro-rated)</t>
        </is>
      </c>
      <c r="B8" s="3">
        <f>SUM(Employees!D2:D501)</f>
        <v/>
      </c>
    </row>
    <row r="9">
      <c r="A9" t="inlineStr">
        <is>
          <t>Annual salary uplift</t>
        </is>
      </c>
      <c r="B9" s="3">
        <f>SUM(Employees!Q2:Q501)</f>
        <v/>
      </c>
    </row>
    <row r="10">
      <c r="A10" t="inlineStr">
        <is>
          <t>Employer NI increase</t>
        </is>
      </c>
      <c r="B10" s="3">
        <f>SUM(Employees!R2:R501)</f>
        <v/>
      </c>
    </row>
    <row r="11">
      <c r="A11" t="inlineStr">
        <is>
          <t>Employer pension increase</t>
        </is>
      </c>
      <c r="B11" s="3">
        <f>SUM(Employees!S2:S501)</f>
        <v/>
      </c>
    </row>
    <row r="12">
      <c r="A12" s="4" t="inlineStr">
        <is>
          <t>Total annual cost to company</t>
        </is>
      </c>
      <c r="B12" s="5">
        <f>SUM(Employees!T2:T501)</f>
        <v/>
      </c>
    </row>
    <row r="13">
      <c r="A13" t="inlineStr">
        <is>
          <t>Monthly cost to company</t>
        </is>
      </c>
      <c r="B13" s="3">
        <f>B12/12</f>
        <v/>
      </c>
    </row>
    <row r="14">
      <c r="A14" t="inlineStr">
        <is>
          <t>People who move age band during 2027/28</t>
        </is>
      </c>
      <c r="B14" s="2">
        <f>COUNTIF(Employees!M2:M501,"Turns*")</f>
        <v/>
      </c>
    </row>
    <row r="16">
      <c r="A16" s="4" t="inlineStr">
        <is>
          <t>Notes</t>
        </is>
      </c>
    </row>
    <row r="17">
      <c r="A17" t="inlineStr">
        <is>
          <t>Green columns A to I: your existing data. Yellow columns J to T: new formulas.</t>
        </is>
      </c>
    </row>
    <row r="18">
      <c r="A18" t="inlineStr">
        <is>
          <t>All rates and thresholds sit on the Rates sheet. Change them there and every row updates.</t>
        </is>
      </c>
    </row>
    <row r="19">
      <c r="A19" t="inlineStr">
        <is>
          <t>Cost is a full-year figure for April 2027. People who turn 18 or 21 later in the year are flagged, not costed.</t>
        </is>
      </c>
    </row>
    <row r="20">
      <c r="A20" t="inlineStr">
        <is>
          <t>Uplift scales your own FTE and pro-rated salary by new rate divided by current rate.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58" customWidth="1" min="3" max="3"/>
  </cols>
  <sheetData>
    <row r="1">
      <c r="A1" s="6" t="inlineStr">
        <is>
          <t>Setting</t>
        </is>
      </c>
      <c r="B1" s="6" t="inlineStr">
        <is>
          <t>Value</t>
        </is>
      </c>
      <c r="C1" s="6" t="inlineStr">
        <is>
          <t>Notes</t>
        </is>
      </c>
    </row>
    <row r="2">
      <c r="A2" t="inlineStr">
        <is>
          <t>Effective date (first day of tax year)</t>
        </is>
      </c>
      <c r="B2" s="7" t="n">
        <v>46483</v>
      </c>
      <c r="C2" t="inlineStr">
        <is>
          <t>Age is worked out on this date</t>
        </is>
      </c>
    </row>
    <row r="3">
      <c r="A3" t="inlineStr">
        <is>
          <t>Tax year end</t>
        </is>
      </c>
      <c r="B3" s="7" t="n">
        <v>46848</v>
      </c>
      <c r="C3" t="inlineStr">
        <is>
          <t>Used to flag people who move age band during the year</t>
        </is>
      </c>
    </row>
    <row r="4">
      <c r="A4" t="inlineStr">
        <is>
          <t>NLW 21 and over (new)</t>
        </is>
      </c>
      <c r="B4" s="8" t="n">
        <v>13.2</v>
      </c>
      <c r="C4" t="inlineStr">
        <is>
          <t>Per Budget announcement. Confirm against GOV.UK</t>
        </is>
      </c>
    </row>
    <row r="5">
      <c r="A5" t="inlineStr">
        <is>
          <t>NMW 18 to 20 (new)</t>
        </is>
      </c>
      <c r="B5" s="8" t="n">
        <v>11.27</v>
      </c>
      <c r="C5" t="inlineStr">
        <is>
          <t>Per Budget announcement. Confirm against GOV.UK</t>
        </is>
      </c>
    </row>
    <row r="6">
      <c r="A6" t="inlineStr">
        <is>
          <t>NMW 16 to 17 (new)</t>
        </is>
      </c>
      <c r="B6" s="8" t="n">
        <v>8</v>
      </c>
      <c r="C6" t="inlineStr">
        <is>
          <t>PLACEHOLDER. Current rate shown. Update when confirmed</t>
        </is>
      </c>
    </row>
    <row r="7">
      <c r="A7" t="inlineStr">
        <is>
          <t>Apprentice rate (new)</t>
        </is>
      </c>
      <c r="B7" s="8" t="n">
        <v>8</v>
      </c>
      <c r="C7" t="inlineStr">
        <is>
          <t>PLACEHOLDER. Current rate shown. Update when confirmed</t>
        </is>
      </c>
    </row>
    <row r="8">
      <c r="A8" t="inlineStr">
        <is>
          <t>Employer NI rate</t>
        </is>
      </c>
      <c r="B8" s="9" t="n">
        <v>0.15</v>
      </c>
      <c r="C8" t="inlineStr">
        <is>
          <t>Current rate from April 2025. Confirm for 2027/28</t>
        </is>
      </c>
    </row>
    <row r="9">
      <c r="A9" t="inlineStr">
        <is>
          <t>Employer NI secondary threshold (annual)</t>
        </is>
      </c>
      <c r="B9" s="10" t="n">
        <v>5000</v>
      </c>
      <c r="C9" t="inlineStr">
        <is>
          <t>Current threshold. Confirm for 2027/28</t>
        </is>
      </c>
    </row>
    <row r="10">
      <c r="A10" t="inlineStr">
        <is>
          <t>Employer pension rate</t>
        </is>
      </c>
      <c r="B10" s="9" t="n">
        <v>0.03</v>
      </c>
      <c r="C10" t="inlineStr">
        <is>
          <t>PLACEHOLDER. Set to the Hakim Group employer rate</t>
        </is>
      </c>
    </row>
    <row r="11">
      <c r="A11" t="inlineStr">
        <is>
          <t>Pension basis (Qualifying or Full)</t>
        </is>
      </c>
      <c r="B11" s="11" t="inlineStr">
        <is>
          <t>Qualifying</t>
        </is>
      </c>
      <c r="C11" t="inlineStr">
        <is>
          <t>Qualifying = band earnings only. Full = whole salary</t>
        </is>
      </c>
    </row>
    <row r="12">
      <c r="A12" t="inlineStr">
        <is>
          <t>Pension lower limit (annual)</t>
        </is>
      </c>
      <c r="B12" s="10" t="n">
        <v>6240</v>
      </c>
      <c r="C12" t="inlineStr">
        <is>
          <t>Qualifying earnings lower limit. Confirm for 2027/28</t>
        </is>
      </c>
    </row>
    <row r="13">
      <c r="A13" t="inlineStr">
        <is>
          <t>Pension upper limit (annual)</t>
        </is>
      </c>
      <c r="B13" s="10" t="n">
        <v>50270</v>
      </c>
      <c r="C13" t="inlineStr">
        <is>
          <t>Qualifying earnings upper limit. Confirm for 2027/28</t>
        </is>
      </c>
    </row>
  </sheetData>
  <dataValidations count="1">
    <dataValidation sqref="B11" showDropDown="0" showInputMessage="0" showErrorMessage="0" allowBlank="0" type="list">
      <formula1>"Qualifying,Full"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14" customWidth="1" min="4" max="4"/>
    <col width="9" customWidth="1" min="5" max="5"/>
    <col width="11" customWidth="1" min="6" max="6"/>
    <col width="6" customWidth="1" min="7" max="7"/>
    <col width="9" customWidth="1" min="8" max="8"/>
    <col width="10" customWidth="1" min="9" max="9"/>
    <col width="10" customWidth="1" min="10" max="10"/>
    <col width="10" customWidth="1" min="11" max="11"/>
    <col width="14" customWidth="1" min="12" max="12"/>
    <col width="13" customWidth="1" min="13" max="13"/>
    <col width="10" customWidth="1" min="14" max="14"/>
    <col width="12" customWidth="1" min="15" max="15"/>
    <col width="13" customWidth="1" min="16" max="16"/>
    <col width="11" customWidth="1" min="17" max="17"/>
    <col width="11" customWidth="1" min="18" max="18"/>
    <col width="12" customWidth="1" min="19" max="19"/>
    <col width="13" customWidth="1" min="20" max="20"/>
  </cols>
  <sheetData>
    <row r="1" ht="45" customHeight="1">
      <c r="A1" s="12" t="inlineStr">
        <is>
          <t>Reference No</t>
        </is>
      </c>
      <c r="B1" s="12" t="inlineStr">
        <is>
          <t>Calculated FTE</t>
        </is>
      </c>
      <c r="C1" s="12" t="inlineStr">
        <is>
          <t>FTE salary</t>
        </is>
      </c>
      <c r="D1" s="12" t="inlineStr">
        <is>
          <t>Pro-Rated Actual Scalepoint Val</t>
        </is>
      </c>
      <c r="E1" s="12" t="inlineStr">
        <is>
          <t>Hourly rate</t>
        </is>
      </c>
      <c r="F1" s="12" t="inlineStr">
        <is>
          <t>DOB</t>
        </is>
      </c>
      <c r="G1" s="12" t="inlineStr">
        <is>
          <t>Age</t>
        </is>
      </c>
      <c r="H1" s="12" t="inlineStr">
        <is>
          <t>NMW Check</t>
        </is>
      </c>
      <c r="I1" s="12" t="inlineStr">
        <is>
          <t>Apprentice (Y/N)</t>
        </is>
      </c>
      <c r="J1" s="12" t="inlineStr">
        <is>
          <t>Age at 06/04/2027</t>
        </is>
      </c>
      <c r="K1" s="12" t="inlineStr">
        <is>
          <t>New minimum rate</t>
        </is>
      </c>
      <c r="L1" s="12" t="inlineStr">
        <is>
          <t>April 2027 check</t>
        </is>
      </c>
      <c r="M1" s="12" t="inlineStr">
        <is>
          <t>Changes age band in 2027/28</t>
        </is>
      </c>
      <c r="N1" s="12" t="inlineStr">
        <is>
          <t>New hourly rate</t>
        </is>
      </c>
      <c r="O1" s="12" t="inlineStr">
        <is>
          <t>New FTE salary</t>
        </is>
      </c>
      <c r="P1" s="12" t="inlineStr">
        <is>
          <t>New pro-rated salary</t>
        </is>
      </c>
      <c r="Q1" s="12" t="inlineStr">
        <is>
          <t>Salary uplift</t>
        </is>
      </c>
      <c r="R1" s="12" t="inlineStr">
        <is>
          <t>Employer NI increase</t>
        </is>
      </c>
      <c r="S1" s="12" t="inlineStr">
        <is>
          <t>Employer pension increase</t>
        </is>
      </c>
      <c r="T1" s="12" t="inlineStr">
        <is>
          <t>Total cost to company</t>
        </is>
      </c>
    </row>
    <row r="2">
      <c r="A2" s="13" t="n">
        <v>1</v>
      </c>
      <c r="B2" s="13" t="n">
        <v>0.52667</v>
      </c>
      <c r="C2" s="14" t="n">
        <v>24784.5</v>
      </c>
      <c r="D2" s="14" t="n">
        <v>13053.17</v>
      </c>
      <c r="E2" s="15" t="n">
        <v>12.71</v>
      </c>
      <c r="F2" s="16" t="n">
        <v>25015</v>
      </c>
      <c r="G2" s="13">
        <f>IF(F2="","",DATEDIF(F2,TODAY(),"Y"))</f>
        <v/>
      </c>
      <c r="H2" s="13">
        <f>IF(E2="","",IF(E2&gt;=12.71,"OK","Check"))</f>
        <v/>
      </c>
      <c r="I2" s="13" t="inlineStr">
        <is>
          <t>N</t>
        </is>
      </c>
      <c r="J2" s="17">
        <f>IF($F2="","",DATEDIF($F2,Rates!$B$2,"Y"))</f>
        <v/>
      </c>
      <c r="K2" s="18">
        <f>IF($F2="","",IF(UPPER($I2)="Y",Rates!$B$7,IF(J2&gt;=21,Rates!$B$4,IF(J2&gt;=18,Rates!$B$5,Rates!$B$6))))</f>
        <v/>
      </c>
      <c r="L2" s="17">
        <f>IF($F2="","",IF($E2&lt;K2,"Uplift needed","OK"))</f>
        <v/>
      </c>
      <c r="M2" s="17">
        <f>IF($F2="","",IF(AND(J2&lt;21,DATEDIF($F2,Rates!$B$3,"Y")&gt;=21),"Turns 21",IF(AND(J2&lt;18,DATEDIF($F2,Rates!$B$3,"Y")&gt;=18),"Turns 18","")))</f>
        <v/>
      </c>
      <c r="N2" s="18">
        <f>IF($F2="","",MAX($E2,K2))</f>
        <v/>
      </c>
      <c r="O2" s="19">
        <f>IF($F2="","",ROUND($C2*N2/$E2,2))</f>
        <v/>
      </c>
      <c r="P2" s="19">
        <f>IF($F2="","",ROUND($D2*N2/$E2,2))</f>
        <v/>
      </c>
      <c r="Q2" s="19">
        <f>IF($F2="","",ROUND(P2-$D2,2))</f>
        <v/>
      </c>
      <c r="R2" s="19">
        <f>IF($F2="","",ROUND(Rates!$B$8*(MAX(0,P2-Rates!$B$9)-MAX(0,$D2-Rates!$B$9)),2))</f>
        <v/>
      </c>
      <c r="S2" s="19">
        <f>IF($F2="","",ROUND(Rates!$B$10*IF(Rates!$B$11="Full",P2-$D2,MAX(0,MIN(P2,Rates!$B$13)-Rates!$B$12)-MAX(0,MIN($D2,Rates!$B$13)-Rates!$B$12)),2))</f>
        <v/>
      </c>
      <c r="T2" s="19">
        <f>IF($F2="","",ROUND(Q2+R2+S2,2))</f>
        <v/>
      </c>
    </row>
    <row r="3">
      <c r="A3" s="13" t="n">
        <v>2</v>
      </c>
      <c r="B3" s="13" t="n">
        <v>0.58</v>
      </c>
      <c r="C3" s="14" t="n">
        <v>24784.5</v>
      </c>
      <c r="D3" s="14" t="n">
        <v>14375.01</v>
      </c>
      <c r="E3" s="15" t="n">
        <v>12.71</v>
      </c>
      <c r="F3" s="16" t="n">
        <v>23447</v>
      </c>
      <c r="G3" s="13">
        <f>IF(F3="","",DATEDIF(F3,TODAY(),"Y"))</f>
        <v/>
      </c>
      <c r="H3" s="13">
        <f>IF(E3="","",IF(E3&gt;=12.71,"OK","Check"))</f>
        <v/>
      </c>
      <c r="I3" s="13" t="inlineStr">
        <is>
          <t>N</t>
        </is>
      </c>
      <c r="J3" s="17">
        <f>IF($F3="","",DATEDIF($F3,Rates!$B$2,"Y"))</f>
        <v/>
      </c>
      <c r="K3" s="18">
        <f>IF($F3="","",IF(UPPER($I3)="Y",Rates!$B$7,IF(J3&gt;=21,Rates!$B$4,IF(J3&gt;=18,Rates!$B$5,Rates!$B$6))))</f>
        <v/>
      </c>
      <c r="L3" s="17">
        <f>IF($F3="","",IF($E3&lt;K3,"Uplift needed","OK"))</f>
        <v/>
      </c>
      <c r="M3" s="17">
        <f>IF($F3="","",IF(AND(J3&lt;21,DATEDIF($F3,Rates!$B$3,"Y")&gt;=21),"Turns 21",IF(AND(J3&lt;18,DATEDIF($F3,Rates!$B$3,"Y")&gt;=18),"Turns 18","")))</f>
        <v/>
      </c>
      <c r="N3" s="18">
        <f>IF($F3="","",MAX($E3,K3))</f>
        <v/>
      </c>
      <c r="O3" s="19">
        <f>IF($F3="","",ROUND($C3*N3/$E3,2))</f>
        <v/>
      </c>
      <c r="P3" s="19">
        <f>IF($F3="","",ROUND($D3*N3/$E3,2))</f>
        <v/>
      </c>
      <c r="Q3" s="19">
        <f>IF($F3="","",ROUND(P3-$D3,2))</f>
        <v/>
      </c>
      <c r="R3" s="19">
        <f>IF($F3="","",ROUND(Rates!$B$8*(MAX(0,P3-Rates!$B$9)-MAX(0,$D3-Rates!$B$9)),2))</f>
        <v/>
      </c>
      <c r="S3" s="19">
        <f>IF($F3="","",ROUND(Rates!$B$10*IF(Rates!$B$11="Full",P3-$D3,MAX(0,MIN(P3,Rates!$B$13)-Rates!$B$12)-MAX(0,MIN($D3,Rates!$B$13)-Rates!$B$12)),2))</f>
        <v/>
      </c>
      <c r="T3" s="19">
        <f>IF($F3="","",ROUND(Q3+R3+S3,2))</f>
        <v/>
      </c>
    </row>
    <row r="4">
      <c r="A4" s="13" t="n"/>
      <c r="B4" s="13" t="n"/>
      <c r="C4" s="14" t="n"/>
      <c r="D4" s="14" t="n"/>
      <c r="E4" s="15" t="n"/>
      <c r="F4" s="16" t="n"/>
      <c r="G4" s="13" t="n"/>
      <c r="H4" s="13" t="n"/>
      <c r="I4" s="13" t="n"/>
      <c r="J4" s="17">
        <f>IF($F4="","",DATEDIF($F4,Rates!$B$2,"Y"))</f>
        <v/>
      </c>
      <c r="K4" s="18">
        <f>IF($F4="","",IF(UPPER($I4)="Y",Rates!$B$7,IF(J4&gt;=21,Rates!$B$4,IF(J4&gt;=18,Rates!$B$5,Rates!$B$6))))</f>
        <v/>
      </c>
      <c r="L4" s="17">
        <f>IF($F4="","",IF($E4&lt;K4,"Uplift needed","OK"))</f>
        <v/>
      </c>
      <c r="M4" s="17">
        <f>IF($F4="","",IF(AND(J4&lt;21,DATEDIF($F4,Rates!$B$3,"Y")&gt;=21),"Turns 21",IF(AND(J4&lt;18,DATEDIF($F4,Rates!$B$3,"Y")&gt;=18),"Turns 18","")))</f>
        <v/>
      </c>
      <c r="N4" s="18">
        <f>IF($F4="","",MAX($E4,K4))</f>
        <v/>
      </c>
      <c r="O4" s="19">
        <f>IF($F4="","",ROUND($C4*N4/$E4,2))</f>
        <v/>
      </c>
      <c r="P4" s="19">
        <f>IF($F4="","",ROUND($D4*N4/$E4,2))</f>
        <v/>
      </c>
      <c r="Q4" s="19">
        <f>IF($F4="","",ROUND(P4-$D4,2))</f>
        <v/>
      </c>
      <c r="R4" s="19">
        <f>IF($F4="","",ROUND(Rates!$B$8*(MAX(0,P4-Rates!$B$9)-MAX(0,$D4-Rates!$B$9)),2))</f>
        <v/>
      </c>
      <c r="S4" s="19">
        <f>IF($F4="","",ROUND(Rates!$B$10*IF(Rates!$B$11="Full",P4-$D4,MAX(0,MIN(P4,Rates!$B$13)-Rates!$B$12)-MAX(0,MIN($D4,Rates!$B$13)-Rates!$B$12)),2))</f>
        <v/>
      </c>
      <c r="T4" s="19">
        <f>IF($F4="","",ROUND(Q4+R4+S4,2))</f>
        <v/>
      </c>
    </row>
    <row r="5">
      <c r="A5" s="13" t="n"/>
      <c r="B5" s="13" t="n"/>
      <c r="C5" s="14" t="n"/>
      <c r="D5" s="14" t="n"/>
      <c r="E5" s="15" t="n"/>
      <c r="F5" s="16" t="n"/>
      <c r="G5" s="13" t="n"/>
      <c r="H5" s="13" t="n"/>
      <c r="I5" s="13" t="n"/>
      <c r="J5" s="17">
        <f>IF($F5="","",DATEDIF($F5,Rates!$B$2,"Y"))</f>
        <v/>
      </c>
      <c r="K5" s="18">
        <f>IF($F5="","",IF(UPPER($I5)="Y",Rates!$B$7,IF(J5&gt;=21,Rates!$B$4,IF(J5&gt;=18,Rates!$B$5,Rates!$B$6))))</f>
        <v/>
      </c>
      <c r="L5" s="17">
        <f>IF($F5="","",IF($E5&lt;K5,"Uplift needed","OK"))</f>
        <v/>
      </c>
      <c r="M5" s="17">
        <f>IF($F5="","",IF(AND(J5&lt;21,DATEDIF($F5,Rates!$B$3,"Y")&gt;=21),"Turns 21",IF(AND(J5&lt;18,DATEDIF($F5,Rates!$B$3,"Y")&gt;=18),"Turns 18","")))</f>
        <v/>
      </c>
      <c r="N5" s="18">
        <f>IF($F5="","",MAX($E5,K5))</f>
        <v/>
      </c>
      <c r="O5" s="19">
        <f>IF($F5="","",ROUND($C5*N5/$E5,2))</f>
        <v/>
      </c>
      <c r="P5" s="19">
        <f>IF($F5="","",ROUND($D5*N5/$E5,2))</f>
        <v/>
      </c>
      <c r="Q5" s="19">
        <f>IF($F5="","",ROUND(P5-$D5,2))</f>
        <v/>
      </c>
      <c r="R5" s="19">
        <f>IF($F5="","",ROUND(Rates!$B$8*(MAX(0,P5-Rates!$B$9)-MAX(0,$D5-Rates!$B$9)),2))</f>
        <v/>
      </c>
      <c r="S5" s="19">
        <f>IF($F5="","",ROUND(Rates!$B$10*IF(Rates!$B$11="Full",P5-$D5,MAX(0,MIN(P5,Rates!$B$13)-Rates!$B$12)-MAX(0,MIN($D5,Rates!$B$13)-Rates!$B$12)),2))</f>
        <v/>
      </c>
      <c r="T5" s="19">
        <f>IF($F5="","",ROUND(Q5+R5+S5,2))</f>
        <v/>
      </c>
    </row>
    <row r="6">
      <c r="A6" s="13" t="n"/>
      <c r="B6" s="13" t="n"/>
      <c r="C6" s="14" t="n"/>
      <c r="D6" s="14" t="n"/>
      <c r="E6" s="15" t="n"/>
      <c r="F6" s="16" t="n"/>
      <c r="G6" s="13" t="n"/>
      <c r="H6" s="13" t="n"/>
      <c r="I6" s="13" t="n"/>
      <c r="J6" s="17">
        <f>IF($F6="","",DATEDIF($F6,Rates!$B$2,"Y"))</f>
        <v/>
      </c>
      <c r="K6" s="18">
        <f>IF($F6="","",IF(UPPER($I6)="Y",Rates!$B$7,IF(J6&gt;=21,Rates!$B$4,IF(J6&gt;=18,Rates!$B$5,Rates!$B$6))))</f>
        <v/>
      </c>
      <c r="L6" s="17">
        <f>IF($F6="","",IF($E6&lt;K6,"Uplift needed","OK"))</f>
        <v/>
      </c>
      <c r="M6" s="17">
        <f>IF($F6="","",IF(AND(J6&lt;21,DATEDIF($F6,Rates!$B$3,"Y")&gt;=21),"Turns 21",IF(AND(J6&lt;18,DATEDIF($F6,Rates!$B$3,"Y")&gt;=18),"Turns 18","")))</f>
        <v/>
      </c>
      <c r="N6" s="18">
        <f>IF($F6="","",MAX($E6,K6))</f>
        <v/>
      </c>
      <c r="O6" s="19">
        <f>IF($F6="","",ROUND($C6*N6/$E6,2))</f>
        <v/>
      </c>
      <c r="P6" s="19">
        <f>IF($F6="","",ROUND($D6*N6/$E6,2))</f>
        <v/>
      </c>
      <c r="Q6" s="19">
        <f>IF($F6="","",ROUND(P6-$D6,2))</f>
        <v/>
      </c>
      <c r="R6" s="19">
        <f>IF($F6="","",ROUND(Rates!$B$8*(MAX(0,P6-Rates!$B$9)-MAX(0,$D6-Rates!$B$9)),2))</f>
        <v/>
      </c>
      <c r="S6" s="19">
        <f>IF($F6="","",ROUND(Rates!$B$10*IF(Rates!$B$11="Full",P6-$D6,MAX(0,MIN(P6,Rates!$B$13)-Rates!$B$12)-MAX(0,MIN($D6,Rates!$B$13)-Rates!$B$12)),2))</f>
        <v/>
      </c>
      <c r="T6" s="19">
        <f>IF($F6="","",ROUND(Q6+R6+S6,2))</f>
        <v/>
      </c>
    </row>
    <row r="7">
      <c r="A7" s="13" t="n"/>
      <c r="B7" s="13" t="n"/>
      <c r="C7" s="14" t="n"/>
      <c r="D7" s="14" t="n"/>
      <c r="E7" s="15" t="n"/>
      <c r="F7" s="16" t="n"/>
      <c r="G7" s="13" t="n"/>
      <c r="H7" s="13" t="n"/>
      <c r="I7" s="13" t="n"/>
      <c r="J7" s="17">
        <f>IF($F7="","",DATEDIF($F7,Rates!$B$2,"Y"))</f>
        <v/>
      </c>
      <c r="K7" s="18">
        <f>IF($F7="","",IF(UPPER($I7)="Y",Rates!$B$7,IF(J7&gt;=21,Rates!$B$4,IF(J7&gt;=18,Rates!$B$5,Rates!$B$6))))</f>
        <v/>
      </c>
      <c r="L7" s="17">
        <f>IF($F7="","",IF($E7&lt;K7,"Uplift needed","OK"))</f>
        <v/>
      </c>
      <c r="M7" s="17">
        <f>IF($F7="","",IF(AND(J7&lt;21,DATEDIF($F7,Rates!$B$3,"Y")&gt;=21),"Turns 21",IF(AND(J7&lt;18,DATEDIF($F7,Rates!$B$3,"Y")&gt;=18),"Turns 18","")))</f>
        <v/>
      </c>
      <c r="N7" s="18">
        <f>IF($F7="","",MAX($E7,K7))</f>
        <v/>
      </c>
      <c r="O7" s="19">
        <f>IF($F7="","",ROUND($C7*N7/$E7,2))</f>
        <v/>
      </c>
      <c r="P7" s="19">
        <f>IF($F7="","",ROUND($D7*N7/$E7,2))</f>
        <v/>
      </c>
      <c r="Q7" s="19">
        <f>IF($F7="","",ROUND(P7-$D7,2))</f>
        <v/>
      </c>
      <c r="R7" s="19">
        <f>IF($F7="","",ROUND(Rates!$B$8*(MAX(0,P7-Rates!$B$9)-MAX(0,$D7-Rates!$B$9)),2))</f>
        <v/>
      </c>
      <c r="S7" s="19">
        <f>IF($F7="","",ROUND(Rates!$B$10*IF(Rates!$B$11="Full",P7-$D7,MAX(0,MIN(P7,Rates!$B$13)-Rates!$B$12)-MAX(0,MIN($D7,Rates!$B$13)-Rates!$B$12)),2))</f>
        <v/>
      </c>
      <c r="T7" s="19">
        <f>IF($F7="","",ROUND(Q7+R7+S7,2))</f>
        <v/>
      </c>
    </row>
    <row r="8">
      <c r="A8" s="13" t="n"/>
      <c r="B8" s="13" t="n"/>
      <c r="C8" s="14" t="n"/>
      <c r="D8" s="14" t="n"/>
      <c r="E8" s="15" t="n"/>
      <c r="F8" s="16" t="n"/>
      <c r="G8" s="13" t="n"/>
      <c r="H8" s="13" t="n"/>
      <c r="I8" s="13" t="n"/>
      <c r="J8" s="17">
        <f>IF($F8="","",DATEDIF($F8,Rates!$B$2,"Y"))</f>
        <v/>
      </c>
      <c r="K8" s="18">
        <f>IF($F8="","",IF(UPPER($I8)="Y",Rates!$B$7,IF(J8&gt;=21,Rates!$B$4,IF(J8&gt;=18,Rates!$B$5,Rates!$B$6))))</f>
        <v/>
      </c>
      <c r="L8" s="17">
        <f>IF($F8="","",IF($E8&lt;K8,"Uplift needed","OK"))</f>
        <v/>
      </c>
      <c r="M8" s="17">
        <f>IF($F8="","",IF(AND(J8&lt;21,DATEDIF($F8,Rates!$B$3,"Y")&gt;=21),"Turns 21",IF(AND(J8&lt;18,DATEDIF($F8,Rates!$B$3,"Y")&gt;=18),"Turns 18","")))</f>
        <v/>
      </c>
      <c r="N8" s="18">
        <f>IF($F8="","",MAX($E8,K8))</f>
        <v/>
      </c>
      <c r="O8" s="19">
        <f>IF($F8="","",ROUND($C8*N8/$E8,2))</f>
        <v/>
      </c>
      <c r="P8" s="19">
        <f>IF($F8="","",ROUND($D8*N8/$E8,2))</f>
        <v/>
      </c>
      <c r="Q8" s="19">
        <f>IF($F8="","",ROUND(P8-$D8,2))</f>
        <v/>
      </c>
      <c r="R8" s="19">
        <f>IF($F8="","",ROUND(Rates!$B$8*(MAX(0,P8-Rates!$B$9)-MAX(0,$D8-Rates!$B$9)),2))</f>
        <v/>
      </c>
      <c r="S8" s="19">
        <f>IF($F8="","",ROUND(Rates!$B$10*IF(Rates!$B$11="Full",P8-$D8,MAX(0,MIN(P8,Rates!$B$13)-Rates!$B$12)-MAX(0,MIN($D8,Rates!$B$13)-Rates!$B$12)),2))</f>
        <v/>
      </c>
      <c r="T8" s="19">
        <f>IF($F8="","",ROUND(Q8+R8+S8,2))</f>
        <v/>
      </c>
    </row>
    <row r="9">
      <c r="A9" s="13" t="n"/>
      <c r="B9" s="13" t="n"/>
      <c r="C9" s="14" t="n"/>
      <c r="D9" s="14" t="n"/>
      <c r="E9" s="15" t="n"/>
      <c r="F9" s="16" t="n"/>
      <c r="G9" s="13" t="n"/>
      <c r="H9" s="13" t="n"/>
      <c r="I9" s="13" t="n"/>
      <c r="J9" s="17">
        <f>IF($F9="","",DATEDIF($F9,Rates!$B$2,"Y"))</f>
        <v/>
      </c>
      <c r="K9" s="18">
        <f>IF($F9="","",IF(UPPER($I9)="Y",Rates!$B$7,IF(J9&gt;=21,Rates!$B$4,IF(J9&gt;=18,Rates!$B$5,Rates!$B$6))))</f>
        <v/>
      </c>
      <c r="L9" s="17">
        <f>IF($F9="","",IF($E9&lt;K9,"Uplift needed","OK"))</f>
        <v/>
      </c>
      <c r="M9" s="17">
        <f>IF($F9="","",IF(AND(J9&lt;21,DATEDIF($F9,Rates!$B$3,"Y")&gt;=21),"Turns 21",IF(AND(J9&lt;18,DATEDIF($F9,Rates!$B$3,"Y")&gt;=18),"Turns 18","")))</f>
        <v/>
      </c>
      <c r="N9" s="18">
        <f>IF($F9="","",MAX($E9,K9))</f>
        <v/>
      </c>
      <c r="O9" s="19">
        <f>IF($F9="","",ROUND($C9*N9/$E9,2))</f>
        <v/>
      </c>
      <c r="P9" s="19">
        <f>IF($F9="","",ROUND($D9*N9/$E9,2))</f>
        <v/>
      </c>
      <c r="Q9" s="19">
        <f>IF($F9="","",ROUND(P9-$D9,2))</f>
        <v/>
      </c>
      <c r="R9" s="19">
        <f>IF($F9="","",ROUND(Rates!$B$8*(MAX(0,P9-Rates!$B$9)-MAX(0,$D9-Rates!$B$9)),2))</f>
        <v/>
      </c>
      <c r="S9" s="19">
        <f>IF($F9="","",ROUND(Rates!$B$10*IF(Rates!$B$11="Full",P9-$D9,MAX(0,MIN(P9,Rates!$B$13)-Rates!$B$12)-MAX(0,MIN($D9,Rates!$B$13)-Rates!$B$12)),2))</f>
        <v/>
      </c>
      <c r="T9" s="19">
        <f>IF($F9="","",ROUND(Q9+R9+S9,2))</f>
        <v/>
      </c>
    </row>
    <row r="10">
      <c r="A10" s="13" t="n"/>
      <c r="B10" s="13" t="n"/>
      <c r="C10" s="14" t="n"/>
      <c r="D10" s="14" t="n"/>
      <c r="E10" s="15" t="n"/>
      <c r="F10" s="16" t="n"/>
      <c r="G10" s="13" t="n"/>
      <c r="H10" s="13" t="n"/>
      <c r="I10" s="13" t="n"/>
      <c r="J10" s="17">
        <f>IF($F10="","",DATEDIF($F10,Rates!$B$2,"Y"))</f>
        <v/>
      </c>
      <c r="K10" s="18">
        <f>IF($F10="","",IF(UPPER($I10)="Y",Rates!$B$7,IF(J10&gt;=21,Rates!$B$4,IF(J10&gt;=18,Rates!$B$5,Rates!$B$6))))</f>
        <v/>
      </c>
      <c r="L10" s="17">
        <f>IF($F10="","",IF($E10&lt;K10,"Uplift needed","OK"))</f>
        <v/>
      </c>
      <c r="M10" s="17">
        <f>IF($F10="","",IF(AND(J10&lt;21,DATEDIF($F10,Rates!$B$3,"Y")&gt;=21),"Turns 21",IF(AND(J10&lt;18,DATEDIF($F10,Rates!$B$3,"Y")&gt;=18),"Turns 18","")))</f>
        <v/>
      </c>
      <c r="N10" s="18">
        <f>IF($F10="","",MAX($E10,K10))</f>
        <v/>
      </c>
      <c r="O10" s="19">
        <f>IF($F10="","",ROUND($C10*N10/$E10,2))</f>
        <v/>
      </c>
      <c r="P10" s="19">
        <f>IF($F10="","",ROUND($D10*N10/$E10,2))</f>
        <v/>
      </c>
      <c r="Q10" s="19">
        <f>IF($F10="","",ROUND(P10-$D10,2))</f>
        <v/>
      </c>
      <c r="R10" s="19">
        <f>IF($F10="","",ROUND(Rates!$B$8*(MAX(0,P10-Rates!$B$9)-MAX(0,$D10-Rates!$B$9)),2))</f>
        <v/>
      </c>
      <c r="S10" s="19">
        <f>IF($F10="","",ROUND(Rates!$B$10*IF(Rates!$B$11="Full",P10-$D10,MAX(0,MIN(P10,Rates!$B$13)-Rates!$B$12)-MAX(0,MIN($D10,Rates!$B$13)-Rates!$B$12)),2))</f>
        <v/>
      </c>
      <c r="T10" s="19">
        <f>IF($F10="","",ROUND(Q10+R10+S10,2))</f>
        <v/>
      </c>
    </row>
    <row r="11">
      <c r="A11" s="13" t="n"/>
      <c r="B11" s="13" t="n"/>
      <c r="C11" s="14" t="n"/>
      <c r="D11" s="14" t="n"/>
      <c r="E11" s="15" t="n"/>
      <c r="F11" s="16" t="n"/>
      <c r="G11" s="13" t="n"/>
      <c r="H11" s="13" t="n"/>
      <c r="I11" s="13" t="n"/>
      <c r="J11" s="17">
        <f>IF($F11="","",DATEDIF($F11,Rates!$B$2,"Y"))</f>
        <v/>
      </c>
      <c r="K11" s="18">
        <f>IF($F11="","",IF(UPPER($I11)="Y",Rates!$B$7,IF(J11&gt;=21,Rates!$B$4,IF(J11&gt;=18,Rates!$B$5,Rates!$B$6))))</f>
        <v/>
      </c>
      <c r="L11" s="17">
        <f>IF($F11="","",IF($E11&lt;K11,"Uplift needed","OK"))</f>
        <v/>
      </c>
      <c r="M11" s="17">
        <f>IF($F11="","",IF(AND(J11&lt;21,DATEDIF($F11,Rates!$B$3,"Y")&gt;=21),"Turns 21",IF(AND(J11&lt;18,DATEDIF($F11,Rates!$B$3,"Y")&gt;=18),"Turns 18","")))</f>
        <v/>
      </c>
      <c r="N11" s="18">
        <f>IF($F11="","",MAX($E11,K11))</f>
        <v/>
      </c>
      <c r="O11" s="19">
        <f>IF($F11="","",ROUND($C11*N11/$E11,2))</f>
        <v/>
      </c>
      <c r="P11" s="19">
        <f>IF($F11="","",ROUND($D11*N11/$E11,2))</f>
        <v/>
      </c>
      <c r="Q11" s="19">
        <f>IF($F11="","",ROUND(P11-$D11,2))</f>
        <v/>
      </c>
      <c r="R11" s="19">
        <f>IF($F11="","",ROUND(Rates!$B$8*(MAX(0,P11-Rates!$B$9)-MAX(0,$D11-Rates!$B$9)),2))</f>
        <v/>
      </c>
      <c r="S11" s="19">
        <f>IF($F11="","",ROUND(Rates!$B$10*IF(Rates!$B$11="Full",P11-$D11,MAX(0,MIN(P11,Rates!$B$13)-Rates!$B$12)-MAX(0,MIN($D11,Rates!$B$13)-Rates!$B$12)),2))</f>
        <v/>
      </c>
      <c r="T11" s="19">
        <f>IF($F11="","",ROUND(Q11+R11+S11,2))</f>
        <v/>
      </c>
    </row>
    <row r="12">
      <c r="A12" s="13" t="n"/>
      <c r="B12" s="13" t="n"/>
      <c r="C12" s="14" t="n"/>
      <c r="D12" s="14" t="n"/>
      <c r="E12" s="15" t="n"/>
      <c r="F12" s="16" t="n"/>
      <c r="G12" s="13" t="n"/>
      <c r="H12" s="13" t="n"/>
      <c r="I12" s="13" t="n"/>
      <c r="J12" s="17">
        <f>IF($F12="","",DATEDIF($F12,Rates!$B$2,"Y"))</f>
        <v/>
      </c>
      <c r="K12" s="18">
        <f>IF($F12="","",IF(UPPER($I12)="Y",Rates!$B$7,IF(J12&gt;=21,Rates!$B$4,IF(J12&gt;=18,Rates!$B$5,Rates!$B$6))))</f>
        <v/>
      </c>
      <c r="L12" s="17">
        <f>IF($F12="","",IF($E12&lt;K12,"Uplift needed","OK"))</f>
        <v/>
      </c>
      <c r="M12" s="17">
        <f>IF($F12="","",IF(AND(J12&lt;21,DATEDIF($F12,Rates!$B$3,"Y")&gt;=21),"Turns 21",IF(AND(J12&lt;18,DATEDIF($F12,Rates!$B$3,"Y")&gt;=18),"Turns 18","")))</f>
        <v/>
      </c>
      <c r="N12" s="18">
        <f>IF($F12="","",MAX($E12,K12))</f>
        <v/>
      </c>
      <c r="O12" s="19">
        <f>IF($F12="","",ROUND($C12*N12/$E12,2))</f>
        <v/>
      </c>
      <c r="P12" s="19">
        <f>IF($F12="","",ROUND($D12*N12/$E12,2))</f>
        <v/>
      </c>
      <c r="Q12" s="19">
        <f>IF($F12="","",ROUND(P12-$D12,2))</f>
        <v/>
      </c>
      <c r="R12" s="19">
        <f>IF($F12="","",ROUND(Rates!$B$8*(MAX(0,P12-Rates!$B$9)-MAX(0,$D12-Rates!$B$9)),2))</f>
        <v/>
      </c>
      <c r="S12" s="19">
        <f>IF($F12="","",ROUND(Rates!$B$10*IF(Rates!$B$11="Full",P12-$D12,MAX(0,MIN(P12,Rates!$B$13)-Rates!$B$12)-MAX(0,MIN($D12,Rates!$B$13)-Rates!$B$12)),2))</f>
        <v/>
      </c>
      <c r="T12" s="19">
        <f>IF($F12="","",ROUND(Q12+R12+S12,2))</f>
        <v/>
      </c>
    </row>
    <row r="13">
      <c r="A13" s="13" t="n"/>
      <c r="B13" s="13" t="n"/>
      <c r="C13" s="14" t="n"/>
      <c r="D13" s="14" t="n"/>
      <c r="E13" s="15" t="n"/>
      <c r="F13" s="16" t="n"/>
      <c r="G13" s="13" t="n"/>
      <c r="H13" s="13" t="n"/>
      <c r="I13" s="13" t="n"/>
      <c r="J13" s="17">
        <f>IF($F13="","",DATEDIF($F13,Rates!$B$2,"Y"))</f>
        <v/>
      </c>
      <c r="K13" s="18">
        <f>IF($F13="","",IF(UPPER($I13)="Y",Rates!$B$7,IF(J13&gt;=21,Rates!$B$4,IF(J13&gt;=18,Rates!$B$5,Rates!$B$6))))</f>
        <v/>
      </c>
      <c r="L13" s="17">
        <f>IF($F13="","",IF($E13&lt;K13,"Uplift needed","OK"))</f>
        <v/>
      </c>
      <c r="M13" s="17">
        <f>IF($F13="","",IF(AND(J13&lt;21,DATEDIF($F13,Rates!$B$3,"Y")&gt;=21),"Turns 21",IF(AND(J13&lt;18,DATEDIF($F13,Rates!$B$3,"Y")&gt;=18),"Turns 18","")))</f>
        <v/>
      </c>
      <c r="N13" s="18">
        <f>IF($F13="","",MAX($E13,K13))</f>
        <v/>
      </c>
      <c r="O13" s="19">
        <f>IF($F13="","",ROUND($C13*N13/$E13,2))</f>
        <v/>
      </c>
      <c r="P13" s="19">
        <f>IF($F13="","",ROUND($D13*N13/$E13,2))</f>
        <v/>
      </c>
      <c r="Q13" s="19">
        <f>IF($F13="","",ROUND(P13-$D13,2))</f>
        <v/>
      </c>
      <c r="R13" s="19">
        <f>IF($F13="","",ROUND(Rates!$B$8*(MAX(0,P13-Rates!$B$9)-MAX(0,$D13-Rates!$B$9)),2))</f>
        <v/>
      </c>
      <c r="S13" s="19">
        <f>IF($F13="","",ROUND(Rates!$B$10*IF(Rates!$B$11="Full",P13-$D13,MAX(0,MIN(P13,Rates!$B$13)-Rates!$B$12)-MAX(0,MIN($D13,Rates!$B$13)-Rates!$B$12)),2))</f>
        <v/>
      </c>
      <c r="T13" s="19">
        <f>IF($F13="","",ROUND(Q13+R13+S13,2))</f>
        <v/>
      </c>
    </row>
    <row r="14">
      <c r="A14" s="13" t="n"/>
      <c r="B14" s="13" t="n"/>
      <c r="C14" s="14" t="n"/>
      <c r="D14" s="14" t="n"/>
      <c r="E14" s="15" t="n"/>
      <c r="F14" s="16" t="n"/>
      <c r="G14" s="13" t="n"/>
      <c r="H14" s="13" t="n"/>
      <c r="I14" s="13" t="n"/>
      <c r="J14" s="17">
        <f>IF($F14="","",DATEDIF($F14,Rates!$B$2,"Y"))</f>
        <v/>
      </c>
      <c r="K14" s="18">
        <f>IF($F14="","",IF(UPPER($I14)="Y",Rates!$B$7,IF(J14&gt;=21,Rates!$B$4,IF(J14&gt;=18,Rates!$B$5,Rates!$B$6))))</f>
        <v/>
      </c>
      <c r="L14" s="17">
        <f>IF($F14="","",IF($E14&lt;K14,"Uplift needed","OK"))</f>
        <v/>
      </c>
      <c r="M14" s="17">
        <f>IF($F14="","",IF(AND(J14&lt;21,DATEDIF($F14,Rates!$B$3,"Y")&gt;=21),"Turns 21",IF(AND(J14&lt;18,DATEDIF($F14,Rates!$B$3,"Y")&gt;=18),"Turns 18","")))</f>
        <v/>
      </c>
      <c r="N14" s="18">
        <f>IF($F14="","",MAX($E14,K14))</f>
        <v/>
      </c>
      <c r="O14" s="19">
        <f>IF($F14="","",ROUND($C14*N14/$E14,2))</f>
        <v/>
      </c>
      <c r="P14" s="19">
        <f>IF($F14="","",ROUND($D14*N14/$E14,2))</f>
        <v/>
      </c>
      <c r="Q14" s="19">
        <f>IF($F14="","",ROUND(P14-$D14,2))</f>
        <v/>
      </c>
      <c r="R14" s="19">
        <f>IF($F14="","",ROUND(Rates!$B$8*(MAX(0,P14-Rates!$B$9)-MAX(0,$D14-Rates!$B$9)),2))</f>
        <v/>
      </c>
      <c r="S14" s="19">
        <f>IF($F14="","",ROUND(Rates!$B$10*IF(Rates!$B$11="Full",P14-$D14,MAX(0,MIN(P14,Rates!$B$13)-Rates!$B$12)-MAX(0,MIN($D14,Rates!$B$13)-Rates!$B$12)),2))</f>
        <v/>
      </c>
      <c r="T14" s="19">
        <f>IF($F14="","",ROUND(Q14+R14+S14,2))</f>
        <v/>
      </c>
    </row>
    <row r="15">
      <c r="A15" s="13" t="n"/>
      <c r="B15" s="13" t="n"/>
      <c r="C15" s="14" t="n"/>
      <c r="D15" s="14" t="n"/>
      <c r="E15" s="15" t="n"/>
      <c r="F15" s="16" t="n"/>
      <c r="G15" s="13" t="n"/>
      <c r="H15" s="13" t="n"/>
      <c r="I15" s="13" t="n"/>
      <c r="J15" s="17">
        <f>IF($F15="","",DATEDIF($F15,Rates!$B$2,"Y"))</f>
        <v/>
      </c>
      <c r="K15" s="18">
        <f>IF($F15="","",IF(UPPER($I15)="Y",Rates!$B$7,IF(J15&gt;=21,Rates!$B$4,IF(J15&gt;=18,Rates!$B$5,Rates!$B$6))))</f>
        <v/>
      </c>
      <c r="L15" s="17">
        <f>IF($F15="","",IF($E15&lt;K15,"Uplift needed","OK"))</f>
        <v/>
      </c>
      <c r="M15" s="17">
        <f>IF($F15="","",IF(AND(J15&lt;21,DATEDIF($F15,Rates!$B$3,"Y")&gt;=21),"Turns 21",IF(AND(J15&lt;18,DATEDIF($F15,Rates!$B$3,"Y")&gt;=18),"Turns 18","")))</f>
        <v/>
      </c>
      <c r="N15" s="18">
        <f>IF($F15="","",MAX($E15,K15))</f>
        <v/>
      </c>
      <c r="O15" s="19">
        <f>IF($F15="","",ROUND($C15*N15/$E15,2))</f>
        <v/>
      </c>
      <c r="P15" s="19">
        <f>IF($F15="","",ROUND($D15*N15/$E15,2))</f>
        <v/>
      </c>
      <c r="Q15" s="19">
        <f>IF($F15="","",ROUND(P15-$D15,2))</f>
        <v/>
      </c>
      <c r="R15" s="19">
        <f>IF($F15="","",ROUND(Rates!$B$8*(MAX(0,P15-Rates!$B$9)-MAX(0,$D15-Rates!$B$9)),2))</f>
        <v/>
      </c>
      <c r="S15" s="19">
        <f>IF($F15="","",ROUND(Rates!$B$10*IF(Rates!$B$11="Full",P15-$D15,MAX(0,MIN(P15,Rates!$B$13)-Rates!$B$12)-MAX(0,MIN($D15,Rates!$B$13)-Rates!$B$12)),2))</f>
        <v/>
      </c>
      <c r="T15" s="19">
        <f>IF($F15="","",ROUND(Q15+R15+S15,2))</f>
        <v/>
      </c>
    </row>
    <row r="16">
      <c r="A16" s="13" t="n"/>
      <c r="B16" s="13" t="n"/>
      <c r="C16" s="14" t="n"/>
      <c r="D16" s="14" t="n"/>
      <c r="E16" s="15" t="n"/>
      <c r="F16" s="16" t="n"/>
      <c r="G16" s="13" t="n"/>
      <c r="H16" s="13" t="n"/>
      <c r="I16" s="13" t="n"/>
      <c r="J16" s="17">
        <f>IF($F16="","",DATEDIF($F16,Rates!$B$2,"Y"))</f>
        <v/>
      </c>
      <c r="K16" s="18">
        <f>IF($F16="","",IF(UPPER($I16)="Y",Rates!$B$7,IF(J16&gt;=21,Rates!$B$4,IF(J16&gt;=18,Rates!$B$5,Rates!$B$6))))</f>
        <v/>
      </c>
      <c r="L16" s="17">
        <f>IF($F16="","",IF($E16&lt;K16,"Uplift needed","OK"))</f>
        <v/>
      </c>
      <c r="M16" s="17">
        <f>IF($F16="","",IF(AND(J16&lt;21,DATEDIF($F16,Rates!$B$3,"Y")&gt;=21),"Turns 21",IF(AND(J16&lt;18,DATEDIF($F16,Rates!$B$3,"Y")&gt;=18),"Turns 18","")))</f>
        <v/>
      </c>
      <c r="N16" s="18">
        <f>IF($F16="","",MAX($E16,K16))</f>
        <v/>
      </c>
      <c r="O16" s="19">
        <f>IF($F16="","",ROUND($C16*N16/$E16,2))</f>
        <v/>
      </c>
      <c r="P16" s="19">
        <f>IF($F16="","",ROUND($D16*N16/$E16,2))</f>
        <v/>
      </c>
      <c r="Q16" s="19">
        <f>IF($F16="","",ROUND(P16-$D16,2))</f>
        <v/>
      </c>
      <c r="R16" s="19">
        <f>IF($F16="","",ROUND(Rates!$B$8*(MAX(0,P16-Rates!$B$9)-MAX(0,$D16-Rates!$B$9)),2))</f>
        <v/>
      </c>
      <c r="S16" s="19">
        <f>IF($F16="","",ROUND(Rates!$B$10*IF(Rates!$B$11="Full",P16-$D16,MAX(0,MIN(P16,Rates!$B$13)-Rates!$B$12)-MAX(0,MIN($D16,Rates!$B$13)-Rates!$B$12)),2))</f>
        <v/>
      </c>
      <c r="T16" s="19">
        <f>IF($F16="","",ROUND(Q16+R16+S16,2))</f>
        <v/>
      </c>
    </row>
    <row r="17">
      <c r="A17" s="13" t="n"/>
      <c r="B17" s="13" t="n"/>
      <c r="C17" s="14" t="n"/>
      <c r="D17" s="14" t="n"/>
      <c r="E17" s="15" t="n"/>
      <c r="F17" s="16" t="n"/>
      <c r="G17" s="13" t="n"/>
      <c r="H17" s="13" t="n"/>
      <c r="I17" s="13" t="n"/>
      <c r="J17" s="17">
        <f>IF($F17="","",DATEDIF($F17,Rates!$B$2,"Y"))</f>
        <v/>
      </c>
      <c r="K17" s="18">
        <f>IF($F17="","",IF(UPPER($I17)="Y",Rates!$B$7,IF(J17&gt;=21,Rates!$B$4,IF(J17&gt;=18,Rates!$B$5,Rates!$B$6))))</f>
        <v/>
      </c>
      <c r="L17" s="17">
        <f>IF($F17="","",IF($E17&lt;K17,"Uplift needed","OK"))</f>
        <v/>
      </c>
      <c r="M17" s="17">
        <f>IF($F17="","",IF(AND(J17&lt;21,DATEDIF($F17,Rates!$B$3,"Y")&gt;=21),"Turns 21",IF(AND(J17&lt;18,DATEDIF($F17,Rates!$B$3,"Y")&gt;=18),"Turns 18","")))</f>
        <v/>
      </c>
      <c r="N17" s="18">
        <f>IF($F17="","",MAX($E17,K17))</f>
        <v/>
      </c>
      <c r="O17" s="19">
        <f>IF($F17="","",ROUND($C17*N17/$E17,2))</f>
        <v/>
      </c>
      <c r="P17" s="19">
        <f>IF($F17="","",ROUND($D17*N17/$E17,2))</f>
        <v/>
      </c>
      <c r="Q17" s="19">
        <f>IF($F17="","",ROUND(P17-$D17,2))</f>
        <v/>
      </c>
      <c r="R17" s="19">
        <f>IF($F17="","",ROUND(Rates!$B$8*(MAX(0,P17-Rates!$B$9)-MAX(0,$D17-Rates!$B$9)),2))</f>
        <v/>
      </c>
      <c r="S17" s="19">
        <f>IF($F17="","",ROUND(Rates!$B$10*IF(Rates!$B$11="Full",P17-$D17,MAX(0,MIN(P17,Rates!$B$13)-Rates!$B$12)-MAX(0,MIN($D17,Rates!$B$13)-Rates!$B$12)),2))</f>
        <v/>
      </c>
      <c r="T17" s="19">
        <f>IF($F17="","",ROUND(Q17+R17+S17,2))</f>
        <v/>
      </c>
    </row>
    <row r="18">
      <c r="A18" s="13" t="n"/>
      <c r="B18" s="13" t="n"/>
      <c r="C18" s="14" t="n"/>
      <c r="D18" s="14" t="n"/>
      <c r="E18" s="15" t="n"/>
      <c r="F18" s="16" t="n"/>
      <c r="G18" s="13" t="n"/>
      <c r="H18" s="13" t="n"/>
      <c r="I18" s="13" t="n"/>
      <c r="J18" s="17">
        <f>IF($F18="","",DATEDIF($F18,Rates!$B$2,"Y"))</f>
        <v/>
      </c>
      <c r="K18" s="18">
        <f>IF($F18="","",IF(UPPER($I18)="Y",Rates!$B$7,IF(J18&gt;=21,Rates!$B$4,IF(J18&gt;=18,Rates!$B$5,Rates!$B$6))))</f>
        <v/>
      </c>
      <c r="L18" s="17">
        <f>IF($F18="","",IF($E18&lt;K18,"Uplift needed","OK"))</f>
        <v/>
      </c>
      <c r="M18" s="17">
        <f>IF($F18="","",IF(AND(J18&lt;21,DATEDIF($F18,Rates!$B$3,"Y")&gt;=21),"Turns 21",IF(AND(J18&lt;18,DATEDIF($F18,Rates!$B$3,"Y")&gt;=18),"Turns 18","")))</f>
        <v/>
      </c>
      <c r="N18" s="18">
        <f>IF($F18="","",MAX($E18,K18))</f>
        <v/>
      </c>
      <c r="O18" s="19">
        <f>IF($F18="","",ROUND($C18*N18/$E18,2))</f>
        <v/>
      </c>
      <c r="P18" s="19">
        <f>IF($F18="","",ROUND($D18*N18/$E18,2))</f>
        <v/>
      </c>
      <c r="Q18" s="19">
        <f>IF($F18="","",ROUND(P18-$D18,2))</f>
        <v/>
      </c>
      <c r="R18" s="19">
        <f>IF($F18="","",ROUND(Rates!$B$8*(MAX(0,P18-Rates!$B$9)-MAX(0,$D18-Rates!$B$9)),2))</f>
        <v/>
      </c>
      <c r="S18" s="19">
        <f>IF($F18="","",ROUND(Rates!$B$10*IF(Rates!$B$11="Full",P18-$D18,MAX(0,MIN(P18,Rates!$B$13)-Rates!$B$12)-MAX(0,MIN($D18,Rates!$B$13)-Rates!$B$12)),2))</f>
        <v/>
      </c>
      <c r="T18" s="19">
        <f>IF($F18="","",ROUND(Q18+R18+S18,2))</f>
        <v/>
      </c>
    </row>
    <row r="19">
      <c r="A19" s="13" t="n"/>
      <c r="B19" s="13" t="n"/>
      <c r="C19" s="14" t="n"/>
      <c r="D19" s="14" t="n"/>
      <c r="E19" s="15" t="n"/>
      <c r="F19" s="16" t="n"/>
      <c r="G19" s="13" t="n"/>
      <c r="H19" s="13" t="n"/>
      <c r="I19" s="13" t="n"/>
      <c r="J19" s="17">
        <f>IF($F19="","",DATEDIF($F19,Rates!$B$2,"Y"))</f>
        <v/>
      </c>
      <c r="K19" s="18">
        <f>IF($F19="","",IF(UPPER($I19)="Y",Rates!$B$7,IF(J19&gt;=21,Rates!$B$4,IF(J19&gt;=18,Rates!$B$5,Rates!$B$6))))</f>
        <v/>
      </c>
      <c r="L19" s="17">
        <f>IF($F19="","",IF($E19&lt;K19,"Uplift needed","OK"))</f>
        <v/>
      </c>
      <c r="M19" s="17">
        <f>IF($F19="","",IF(AND(J19&lt;21,DATEDIF($F19,Rates!$B$3,"Y")&gt;=21),"Turns 21",IF(AND(J19&lt;18,DATEDIF($F19,Rates!$B$3,"Y")&gt;=18),"Turns 18","")))</f>
        <v/>
      </c>
      <c r="N19" s="18">
        <f>IF($F19="","",MAX($E19,K19))</f>
        <v/>
      </c>
      <c r="O19" s="19">
        <f>IF($F19="","",ROUND($C19*N19/$E19,2))</f>
        <v/>
      </c>
      <c r="P19" s="19">
        <f>IF($F19="","",ROUND($D19*N19/$E19,2))</f>
        <v/>
      </c>
      <c r="Q19" s="19">
        <f>IF($F19="","",ROUND(P19-$D19,2))</f>
        <v/>
      </c>
      <c r="R19" s="19">
        <f>IF($F19="","",ROUND(Rates!$B$8*(MAX(0,P19-Rates!$B$9)-MAX(0,$D19-Rates!$B$9)),2))</f>
        <v/>
      </c>
      <c r="S19" s="19">
        <f>IF($F19="","",ROUND(Rates!$B$10*IF(Rates!$B$11="Full",P19-$D19,MAX(0,MIN(P19,Rates!$B$13)-Rates!$B$12)-MAX(0,MIN($D19,Rates!$B$13)-Rates!$B$12)),2))</f>
        <v/>
      </c>
      <c r="T19" s="19">
        <f>IF($F19="","",ROUND(Q19+R19+S19,2))</f>
        <v/>
      </c>
    </row>
    <row r="20">
      <c r="A20" s="13" t="n"/>
      <c r="B20" s="13" t="n"/>
      <c r="C20" s="14" t="n"/>
      <c r="D20" s="14" t="n"/>
      <c r="E20" s="15" t="n"/>
      <c r="F20" s="16" t="n"/>
      <c r="G20" s="13" t="n"/>
      <c r="H20" s="13" t="n"/>
      <c r="I20" s="13" t="n"/>
      <c r="J20" s="17">
        <f>IF($F20="","",DATEDIF($F20,Rates!$B$2,"Y"))</f>
        <v/>
      </c>
      <c r="K20" s="18">
        <f>IF($F20="","",IF(UPPER($I20)="Y",Rates!$B$7,IF(J20&gt;=21,Rates!$B$4,IF(J20&gt;=18,Rates!$B$5,Rates!$B$6))))</f>
        <v/>
      </c>
      <c r="L20" s="17">
        <f>IF($F20="","",IF($E20&lt;K20,"Uplift needed","OK"))</f>
        <v/>
      </c>
      <c r="M20" s="17">
        <f>IF($F20="","",IF(AND(J20&lt;21,DATEDIF($F20,Rates!$B$3,"Y")&gt;=21),"Turns 21",IF(AND(J20&lt;18,DATEDIF($F20,Rates!$B$3,"Y")&gt;=18),"Turns 18","")))</f>
        <v/>
      </c>
      <c r="N20" s="18">
        <f>IF($F20="","",MAX($E20,K20))</f>
        <v/>
      </c>
      <c r="O20" s="19">
        <f>IF($F20="","",ROUND($C20*N20/$E20,2))</f>
        <v/>
      </c>
      <c r="P20" s="19">
        <f>IF($F20="","",ROUND($D20*N20/$E20,2))</f>
        <v/>
      </c>
      <c r="Q20" s="19">
        <f>IF($F20="","",ROUND(P20-$D20,2))</f>
        <v/>
      </c>
      <c r="R20" s="19">
        <f>IF($F20="","",ROUND(Rates!$B$8*(MAX(0,P20-Rates!$B$9)-MAX(0,$D20-Rates!$B$9)),2))</f>
        <v/>
      </c>
      <c r="S20" s="19">
        <f>IF($F20="","",ROUND(Rates!$B$10*IF(Rates!$B$11="Full",P20-$D20,MAX(0,MIN(P20,Rates!$B$13)-Rates!$B$12)-MAX(0,MIN($D20,Rates!$B$13)-Rates!$B$12)),2))</f>
        <v/>
      </c>
      <c r="T20" s="19">
        <f>IF($F20="","",ROUND(Q20+R20+S20,2))</f>
        <v/>
      </c>
    </row>
    <row r="21">
      <c r="A21" s="13" t="n"/>
      <c r="B21" s="13" t="n"/>
      <c r="C21" s="14" t="n"/>
      <c r="D21" s="14" t="n"/>
      <c r="E21" s="15" t="n"/>
      <c r="F21" s="16" t="n"/>
      <c r="G21" s="13" t="n"/>
      <c r="H21" s="13" t="n"/>
      <c r="I21" s="13" t="n"/>
      <c r="J21" s="17">
        <f>IF($F21="","",DATEDIF($F21,Rates!$B$2,"Y"))</f>
        <v/>
      </c>
      <c r="K21" s="18">
        <f>IF($F21="","",IF(UPPER($I21)="Y",Rates!$B$7,IF(J21&gt;=21,Rates!$B$4,IF(J21&gt;=18,Rates!$B$5,Rates!$B$6))))</f>
        <v/>
      </c>
      <c r="L21" s="17">
        <f>IF($F21="","",IF($E21&lt;K21,"Uplift needed","OK"))</f>
        <v/>
      </c>
      <c r="M21" s="17">
        <f>IF($F21="","",IF(AND(J21&lt;21,DATEDIF($F21,Rates!$B$3,"Y")&gt;=21),"Turns 21",IF(AND(J21&lt;18,DATEDIF($F21,Rates!$B$3,"Y")&gt;=18),"Turns 18","")))</f>
        <v/>
      </c>
      <c r="N21" s="18">
        <f>IF($F21="","",MAX($E21,K21))</f>
        <v/>
      </c>
      <c r="O21" s="19">
        <f>IF($F21="","",ROUND($C21*N21/$E21,2))</f>
        <v/>
      </c>
      <c r="P21" s="19">
        <f>IF($F21="","",ROUND($D21*N21/$E21,2))</f>
        <v/>
      </c>
      <c r="Q21" s="19">
        <f>IF($F21="","",ROUND(P21-$D21,2))</f>
        <v/>
      </c>
      <c r="R21" s="19">
        <f>IF($F21="","",ROUND(Rates!$B$8*(MAX(0,P21-Rates!$B$9)-MAX(0,$D21-Rates!$B$9)),2))</f>
        <v/>
      </c>
      <c r="S21" s="19">
        <f>IF($F21="","",ROUND(Rates!$B$10*IF(Rates!$B$11="Full",P21-$D21,MAX(0,MIN(P21,Rates!$B$13)-Rates!$B$12)-MAX(0,MIN($D21,Rates!$B$13)-Rates!$B$12)),2))</f>
        <v/>
      </c>
      <c r="T21" s="19">
        <f>IF($F21="","",ROUND(Q21+R21+S21,2))</f>
        <v/>
      </c>
    </row>
    <row r="22">
      <c r="A22" s="13" t="n"/>
      <c r="B22" s="13" t="n"/>
      <c r="C22" s="14" t="n"/>
      <c r="D22" s="14" t="n"/>
      <c r="E22" s="15" t="n"/>
      <c r="F22" s="16" t="n"/>
      <c r="G22" s="13" t="n"/>
      <c r="H22" s="13" t="n"/>
      <c r="I22" s="13" t="n"/>
      <c r="J22" s="17">
        <f>IF($F22="","",DATEDIF($F22,Rates!$B$2,"Y"))</f>
        <v/>
      </c>
      <c r="K22" s="18">
        <f>IF($F22="","",IF(UPPER($I22)="Y",Rates!$B$7,IF(J22&gt;=21,Rates!$B$4,IF(J22&gt;=18,Rates!$B$5,Rates!$B$6))))</f>
        <v/>
      </c>
      <c r="L22" s="17">
        <f>IF($F22="","",IF($E22&lt;K22,"Uplift needed","OK"))</f>
        <v/>
      </c>
      <c r="M22" s="17">
        <f>IF($F22="","",IF(AND(J22&lt;21,DATEDIF($F22,Rates!$B$3,"Y")&gt;=21),"Turns 21",IF(AND(J22&lt;18,DATEDIF($F22,Rates!$B$3,"Y")&gt;=18),"Turns 18","")))</f>
        <v/>
      </c>
      <c r="N22" s="18">
        <f>IF($F22="","",MAX($E22,K22))</f>
        <v/>
      </c>
      <c r="O22" s="19">
        <f>IF($F22="","",ROUND($C22*N22/$E22,2))</f>
        <v/>
      </c>
      <c r="P22" s="19">
        <f>IF($F22="","",ROUND($D22*N22/$E22,2))</f>
        <v/>
      </c>
      <c r="Q22" s="19">
        <f>IF($F22="","",ROUND(P22-$D22,2))</f>
        <v/>
      </c>
      <c r="R22" s="19">
        <f>IF($F22="","",ROUND(Rates!$B$8*(MAX(0,P22-Rates!$B$9)-MAX(0,$D22-Rates!$B$9)),2))</f>
        <v/>
      </c>
      <c r="S22" s="19">
        <f>IF($F22="","",ROUND(Rates!$B$10*IF(Rates!$B$11="Full",P22-$D22,MAX(0,MIN(P22,Rates!$B$13)-Rates!$B$12)-MAX(0,MIN($D22,Rates!$B$13)-Rates!$B$12)),2))</f>
        <v/>
      </c>
      <c r="T22" s="19">
        <f>IF($F22="","",ROUND(Q22+R22+S22,2))</f>
        <v/>
      </c>
    </row>
    <row r="23">
      <c r="A23" s="13" t="n"/>
      <c r="B23" s="13" t="n"/>
      <c r="C23" s="14" t="n"/>
      <c r="D23" s="14" t="n"/>
      <c r="E23" s="15" t="n"/>
      <c r="F23" s="16" t="n"/>
      <c r="G23" s="13" t="n"/>
      <c r="H23" s="13" t="n"/>
      <c r="I23" s="13" t="n"/>
      <c r="J23" s="17">
        <f>IF($F23="","",DATEDIF($F23,Rates!$B$2,"Y"))</f>
        <v/>
      </c>
      <c r="K23" s="18">
        <f>IF($F23="","",IF(UPPER($I23)="Y",Rates!$B$7,IF(J23&gt;=21,Rates!$B$4,IF(J23&gt;=18,Rates!$B$5,Rates!$B$6))))</f>
        <v/>
      </c>
      <c r="L23" s="17">
        <f>IF($F23="","",IF($E23&lt;K23,"Uplift needed","OK"))</f>
        <v/>
      </c>
      <c r="M23" s="17">
        <f>IF($F23="","",IF(AND(J23&lt;21,DATEDIF($F23,Rates!$B$3,"Y")&gt;=21),"Turns 21",IF(AND(J23&lt;18,DATEDIF($F23,Rates!$B$3,"Y")&gt;=18),"Turns 18","")))</f>
        <v/>
      </c>
      <c r="N23" s="18">
        <f>IF($F23="","",MAX($E23,K23))</f>
        <v/>
      </c>
      <c r="O23" s="19">
        <f>IF($F23="","",ROUND($C23*N23/$E23,2))</f>
        <v/>
      </c>
      <c r="P23" s="19">
        <f>IF($F23="","",ROUND($D23*N23/$E23,2))</f>
        <v/>
      </c>
      <c r="Q23" s="19">
        <f>IF($F23="","",ROUND(P23-$D23,2))</f>
        <v/>
      </c>
      <c r="R23" s="19">
        <f>IF($F23="","",ROUND(Rates!$B$8*(MAX(0,P23-Rates!$B$9)-MAX(0,$D23-Rates!$B$9)),2))</f>
        <v/>
      </c>
      <c r="S23" s="19">
        <f>IF($F23="","",ROUND(Rates!$B$10*IF(Rates!$B$11="Full",P23-$D23,MAX(0,MIN(P23,Rates!$B$13)-Rates!$B$12)-MAX(0,MIN($D23,Rates!$B$13)-Rates!$B$12)),2))</f>
        <v/>
      </c>
      <c r="T23" s="19">
        <f>IF($F23="","",ROUND(Q23+R23+S23,2))</f>
        <v/>
      </c>
    </row>
    <row r="24">
      <c r="A24" s="13" t="n"/>
      <c r="B24" s="13" t="n"/>
      <c r="C24" s="14" t="n"/>
      <c r="D24" s="14" t="n"/>
      <c r="E24" s="15" t="n"/>
      <c r="F24" s="16" t="n"/>
      <c r="G24" s="13" t="n"/>
      <c r="H24" s="13" t="n"/>
      <c r="I24" s="13" t="n"/>
      <c r="J24" s="17">
        <f>IF($F24="","",DATEDIF($F24,Rates!$B$2,"Y"))</f>
        <v/>
      </c>
      <c r="K24" s="18">
        <f>IF($F24="","",IF(UPPER($I24)="Y",Rates!$B$7,IF(J24&gt;=21,Rates!$B$4,IF(J24&gt;=18,Rates!$B$5,Rates!$B$6))))</f>
        <v/>
      </c>
      <c r="L24" s="17">
        <f>IF($F24="","",IF($E24&lt;K24,"Uplift needed","OK"))</f>
        <v/>
      </c>
      <c r="M24" s="17">
        <f>IF($F24="","",IF(AND(J24&lt;21,DATEDIF($F24,Rates!$B$3,"Y")&gt;=21),"Turns 21",IF(AND(J24&lt;18,DATEDIF($F24,Rates!$B$3,"Y")&gt;=18),"Turns 18","")))</f>
        <v/>
      </c>
      <c r="N24" s="18">
        <f>IF($F24="","",MAX($E24,K24))</f>
        <v/>
      </c>
      <c r="O24" s="19">
        <f>IF($F24="","",ROUND($C24*N24/$E24,2))</f>
        <v/>
      </c>
      <c r="P24" s="19">
        <f>IF($F24="","",ROUND($D24*N24/$E24,2))</f>
        <v/>
      </c>
      <c r="Q24" s="19">
        <f>IF($F24="","",ROUND(P24-$D24,2))</f>
        <v/>
      </c>
      <c r="R24" s="19">
        <f>IF($F24="","",ROUND(Rates!$B$8*(MAX(0,P24-Rates!$B$9)-MAX(0,$D24-Rates!$B$9)),2))</f>
        <v/>
      </c>
      <c r="S24" s="19">
        <f>IF($F24="","",ROUND(Rates!$B$10*IF(Rates!$B$11="Full",P24-$D24,MAX(0,MIN(P24,Rates!$B$13)-Rates!$B$12)-MAX(0,MIN($D24,Rates!$B$13)-Rates!$B$12)),2))</f>
        <v/>
      </c>
      <c r="T24" s="19">
        <f>IF($F24="","",ROUND(Q24+R24+S24,2))</f>
        <v/>
      </c>
    </row>
    <row r="25">
      <c r="A25" s="13" t="n"/>
      <c r="B25" s="13" t="n"/>
      <c r="C25" s="14" t="n"/>
      <c r="D25" s="14" t="n"/>
      <c r="E25" s="15" t="n"/>
      <c r="F25" s="16" t="n"/>
      <c r="G25" s="13" t="n"/>
      <c r="H25" s="13" t="n"/>
      <c r="I25" s="13" t="n"/>
      <c r="J25" s="17">
        <f>IF($F25="","",DATEDIF($F25,Rates!$B$2,"Y"))</f>
        <v/>
      </c>
      <c r="K25" s="18">
        <f>IF($F25="","",IF(UPPER($I25)="Y",Rates!$B$7,IF(J25&gt;=21,Rates!$B$4,IF(J25&gt;=18,Rates!$B$5,Rates!$B$6))))</f>
        <v/>
      </c>
      <c r="L25" s="17">
        <f>IF($F25="","",IF($E25&lt;K25,"Uplift needed","OK"))</f>
        <v/>
      </c>
      <c r="M25" s="17">
        <f>IF($F25="","",IF(AND(J25&lt;21,DATEDIF($F25,Rates!$B$3,"Y")&gt;=21),"Turns 21",IF(AND(J25&lt;18,DATEDIF($F25,Rates!$B$3,"Y")&gt;=18),"Turns 18","")))</f>
        <v/>
      </c>
      <c r="N25" s="18">
        <f>IF($F25="","",MAX($E25,K25))</f>
        <v/>
      </c>
      <c r="O25" s="19">
        <f>IF($F25="","",ROUND($C25*N25/$E25,2))</f>
        <v/>
      </c>
      <c r="P25" s="19">
        <f>IF($F25="","",ROUND($D25*N25/$E25,2))</f>
        <v/>
      </c>
      <c r="Q25" s="19">
        <f>IF($F25="","",ROUND(P25-$D25,2))</f>
        <v/>
      </c>
      <c r="R25" s="19">
        <f>IF($F25="","",ROUND(Rates!$B$8*(MAX(0,P25-Rates!$B$9)-MAX(0,$D25-Rates!$B$9)),2))</f>
        <v/>
      </c>
      <c r="S25" s="19">
        <f>IF($F25="","",ROUND(Rates!$B$10*IF(Rates!$B$11="Full",P25-$D25,MAX(0,MIN(P25,Rates!$B$13)-Rates!$B$12)-MAX(0,MIN($D25,Rates!$B$13)-Rates!$B$12)),2))</f>
        <v/>
      </c>
      <c r="T25" s="19">
        <f>IF($F25="","",ROUND(Q25+R25+S25,2))</f>
        <v/>
      </c>
    </row>
    <row r="26">
      <c r="A26" s="13" t="n"/>
      <c r="B26" s="13" t="n"/>
      <c r="C26" s="14" t="n"/>
      <c r="D26" s="14" t="n"/>
      <c r="E26" s="15" t="n"/>
      <c r="F26" s="16" t="n"/>
      <c r="G26" s="13" t="n"/>
      <c r="H26" s="13" t="n"/>
      <c r="I26" s="13" t="n"/>
      <c r="J26" s="17">
        <f>IF($F26="","",DATEDIF($F26,Rates!$B$2,"Y"))</f>
        <v/>
      </c>
      <c r="K26" s="18">
        <f>IF($F26="","",IF(UPPER($I26)="Y",Rates!$B$7,IF(J26&gt;=21,Rates!$B$4,IF(J26&gt;=18,Rates!$B$5,Rates!$B$6))))</f>
        <v/>
      </c>
      <c r="L26" s="17">
        <f>IF($F26="","",IF($E26&lt;K26,"Uplift needed","OK"))</f>
        <v/>
      </c>
      <c r="M26" s="17">
        <f>IF($F26="","",IF(AND(J26&lt;21,DATEDIF($F26,Rates!$B$3,"Y")&gt;=21),"Turns 21",IF(AND(J26&lt;18,DATEDIF($F26,Rates!$B$3,"Y")&gt;=18),"Turns 18","")))</f>
        <v/>
      </c>
      <c r="N26" s="18">
        <f>IF($F26="","",MAX($E26,K26))</f>
        <v/>
      </c>
      <c r="O26" s="19">
        <f>IF($F26="","",ROUND($C26*N26/$E26,2))</f>
        <v/>
      </c>
      <c r="P26" s="19">
        <f>IF($F26="","",ROUND($D26*N26/$E26,2))</f>
        <v/>
      </c>
      <c r="Q26" s="19">
        <f>IF($F26="","",ROUND(P26-$D26,2))</f>
        <v/>
      </c>
      <c r="R26" s="19">
        <f>IF($F26="","",ROUND(Rates!$B$8*(MAX(0,P26-Rates!$B$9)-MAX(0,$D26-Rates!$B$9)),2))</f>
        <v/>
      </c>
      <c r="S26" s="19">
        <f>IF($F26="","",ROUND(Rates!$B$10*IF(Rates!$B$11="Full",P26-$D26,MAX(0,MIN(P26,Rates!$B$13)-Rates!$B$12)-MAX(0,MIN($D26,Rates!$B$13)-Rates!$B$12)),2))</f>
        <v/>
      </c>
      <c r="T26" s="19">
        <f>IF($F26="","",ROUND(Q26+R26+S26,2))</f>
        <v/>
      </c>
    </row>
    <row r="27">
      <c r="A27" s="13" t="n"/>
      <c r="B27" s="13" t="n"/>
      <c r="C27" s="14" t="n"/>
      <c r="D27" s="14" t="n"/>
      <c r="E27" s="15" t="n"/>
      <c r="F27" s="16" t="n"/>
      <c r="G27" s="13" t="n"/>
      <c r="H27" s="13" t="n"/>
      <c r="I27" s="13" t="n"/>
      <c r="J27" s="17">
        <f>IF($F27="","",DATEDIF($F27,Rates!$B$2,"Y"))</f>
        <v/>
      </c>
      <c r="K27" s="18">
        <f>IF($F27="","",IF(UPPER($I27)="Y",Rates!$B$7,IF(J27&gt;=21,Rates!$B$4,IF(J27&gt;=18,Rates!$B$5,Rates!$B$6))))</f>
        <v/>
      </c>
      <c r="L27" s="17">
        <f>IF($F27="","",IF($E27&lt;K27,"Uplift needed","OK"))</f>
        <v/>
      </c>
      <c r="M27" s="17">
        <f>IF($F27="","",IF(AND(J27&lt;21,DATEDIF($F27,Rates!$B$3,"Y")&gt;=21),"Turns 21",IF(AND(J27&lt;18,DATEDIF($F27,Rates!$B$3,"Y")&gt;=18),"Turns 18","")))</f>
        <v/>
      </c>
      <c r="N27" s="18">
        <f>IF($F27="","",MAX($E27,K27))</f>
        <v/>
      </c>
      <c r="O27" s="19">
        <f>IF($F27="","",ROUND($C27*N27/$E27,2))</f>
        <v/>
      </c>
      <c r="P27" s="19">
        <f>IF($F27="","",ROUND($D27*N27/$E27,2))</f>
        <v/>
      </c>
      <c r="Q27" s="19">
        <f>IF($F27="","",ROUND(P27-$D27,2))</f>
        <v/>
      </c>
      <c r="R27" s="19">
        <f>IF($F27="","",ROUND(Rates!$B$8*(MAX(0,P27-Rates!$B$9)-MAX(0,$D27-Rates!$B$9)),2))</f>
        <v/>
      </c>
      <c r="S27" s="19">
        <f>IF($F27="","",ROUND(Rates!$B$10*IF(Rates!$B$11="Full",P27-$D27,MAX(0,MIN(P27,Rates!$B$13)-Rates!$B$12)-MAX(0,MIN($D27,Rates!$B$13)-Rates!$B$12)),2))</f>
        <v/>
      </c>
      <c r="T27" s="19">
        <f>IF($F27="","",ROUND(Q27+R27+S27,2))</f>
        <v/>
      </c>
    </row>
    <row r="28">
      <c r="A28" s="13" t="n"/>
      <c r="B28" s="13" t="n"/>
      <c r="C28" s="14" t="n"/>
      <c r="D28" s="14" t="n"/>
      <c r="E28" s="15" t="n"/>
      <c r="F28" s="16" t="n"/>
      <c r="G28" s="13" t="n"/>
      <c r="H28" s="13" t="n"/>
      <c r="I28" s="13" t="n"/>
      <c r="J28" s="17">
        <f>IF($F28="","",DATEDIF($F28,Rates!$B$2,"Y"))</f>
        <v/>
      </c>
      <c r="K28" s="18">
        <f>IF($F28="","",IF(UPPER($I28)="Y",Rates!$B$7,IF(J28&gt;=21,Rates!$B$4,IF(J28&gt;=18,Rates!$B$5,Rates!$B$6))))</f>
        <v/>
      </c>
      <c r="L28" s="17">
        <f>IF($F28="","",IF($E28&lt;K28,"Uplift needed","OK"))</f>
        <v/>
      </c>
      <c r="M28" s="17">
        <f>IF($F28="","",IF(AND(J28&lt;21,DATEDIF($F28,Rates!$B$3,"Y")&gt;=21),"Turns 21",IF(AND(J28&lt;18,DATEDIF($F28,Rates!$B$3,"Y")&gt;=18),"Turns 18","")))</f>
        <v/>
      </c>
      <c r="N28" s="18">
        <f>IF($F28="","",MAX($E28,K28))</f>
        <v/>
      </c>
      <c r="O28" s="19">
        <f>IF($F28="","",ROUND($C28*N28/$E28,2))</f>
        <v/>
      </c>
      <c r="P28" s="19">
        <f>IF($F28="","",ROUND($D28*N28/$E28,2))</f>
        <v/>
      </c>
      <c r="Q28" s="19">
        <f>IF($F28="","",ROUND(P28-$D28,2))</f>
        <v/>
      </c>
      <c r="R28" s="19">
        <f>IF($F28="","",ROUND(Rates!$B$8*(MAX(0,P28-Rates!$B$9)-MAX(0,$D28-Rates!$B$9)),2))</f>
        <v/>
      </c>
      <c r="S28" s="19">
        <f>IF($F28="","",ROUND(Rates!$B$10*IF(Rates!$B$11="Full",P28-$D28,MAX(0,MIN(P28,Rates!$B$13)-Rates!$B$12)-MAX(0,MIN($D28,Rates!$B$13)-Rates!$B$12)),2))</f>
        <v/>
      </c>
      <c r="T28" s="19">
        <f>IF($F28="","",ROUND(Q28+R28+S28,2))</f>
        <v/>
      </c>
    </row>
    <row r="29">
      <c r="A29" s="13" t="n"/>
      <c r="B29" s="13" t="n"/>
      <c r="C29" s="14" t="n"/>
      <c r="D29" s="14" t="n"/>
      <c r="E29" s="15" t="n"/>
      <c r="F29" s="16" t="n"/>
      <c r="G29" s="13" t="n"/>
      <c r="H29" s="13" t="n"/>
      <c r="I29" s="13" t="n"/>
      <c r="J29" s="17">
        <f>IF($F29="","",DATEDIF($F29,Rates!$B$2,"Y"))</f>
        <v/>
      </c>
      <c r="K29" s="18">
        <f>IF($F29="","",IF(UPPER($I29)="Y",Rates!$B$7,IF(J29&gt;=21,Rates!$B$4,IF(J29&gt;=18,Rates!$B$5,Rates!$B$6))))</f>
        <v/>
      </c>
      <c r="L29" s="17">
        <f>IF($F29="","",IF($E29&lt;K29,"Uplift needed","OK"))</f>
        <v/>
      </c>
      <c r="M29" s="17">
        <f>IF($F29="","",IF(AND(J29&lt;21,DATEDIF($F29,Rates!$B$3,"Y")&gt;=21),"Turns 21",IF(AND(J29&lt;18,DATEDIF($F29,Rates!$B$3,"Y")&gt;=18),"Turns 18","")))</f>
        <v/>
      </c>
      <c r="N29" s="18">
        <f>IF($F29="","",MAX($E29,K29))</f>
        <v/>
      </c>
      <c r="O29" s="19">
        <f>IF($F29="","",ROUND($C29*N29/$E29,2))</f>
        <v/>
      </c>
      <c r="P29" s="19">
        <f>IF($F29="","",ROUND($D29*N29/$E29,2))</f>
        <v/>
      </c>
      <c r="Q29" s="19">
        <f>IF($F29="","",ROUND(P29-$D29,2))</f>
        <v/>
      </c>
      <c r="R29" s="19">
        <f>IF($F29="","",ROUND(Rates!$B$8*(MAX(0,P29-Rates!$B$9)-MAX(0,$D29-Rates!$B$9)),2))</f>
        <v/>
      </c>
      <c r="S29" s="19">
        <f>IF($F29="","",ROUND(Rates!$B$10*IF(Rates!$B$11="Full",P29-$D29,MAX(0,MIN(P29,Rates!$B$13)-Rates!$B$12)-MAX(0,MIN($D29,Rates!$B$13)-Rates!$B$12)),2))</f>
        <v/>
      </c>
      <c r="T29" s="19">
        <f>IF($F29="","",ROUND(Q29+R29+S29,2))</f>
        <v/>
      </c>
    </row>
    <row r="30">
      <c r="A30" s="13" t="n"/>
      <c r="B30" s="13" t="n"/>
      <c r="C30" s="14" t="n"/>
      <c r="D30" s="14" t="n"/>
      <c r="E30" s="15" t="n"/>
      <c r="F30" s="16" t="n"/>
      <c r="G30" s="13" t="n"/>
      <c r="H30" s="13" t="n"/>
      <c r="I30" s="13" t="n"/>
      <c r="J30" s="17">
        <f>IF($F30="","",DATEDIF($F30,Rates!$B$2,"Y"))</f>
        <v/>
      </c>
      <c r="K30" s="18">
        <f>IF($F30="","",IF(UPPER($I30)="Y",Rates!$B$7,IF(J30&gt;=21,Rates!$B$4,IF(J30&gt;=18,Rates!$B$5,Rates!$B$6))))</f>
        <v/>
      </c>
      <c r="L30" s="17">
        <f>IF($F30="","",IF($E30&lt;K30,"Uplift needed","OK"))</f>
        <v/>
      </c>
      <c r="M30" s="17">
        <f>IF($F30="","",IF(AND(J30&lt;21,DATEDIF($F30,Rates!$B$3,"Y")&gt;=21),"Turns 21",IF(AND(J30&lt;18,DATEDIF($F30,Rates!$B$3,"Y")&gt;=18),"Turns 18","")))</f>
        <v/>
      </c>
      <c r="N30" s="18">
        <f>IF($F30="","",MAX($E30,K30))</f>
        <v/>
      </c>
      <c r="O30" s="19">
        <f>IF($F30="","",ROUND($C30*N30/$E30,2))</f>
        <v/>
      </c>
      <c r="P30" s="19">
        <f>IF($F30="","",ROUND($D30*N30/$E30,2))</f>
        <v/>
      </c>
      <c r="Q30" s="19">
        <f>IF($F30="","",ROUND(P30-$D30,2))</f>
        <v/>
      </c>
      <c r="R30" s="19">
        <f>IF($F30="","",ROUND(Rates!$B$8*(MAX(0,P30-Rates!$B$9)-MAX(0,$D30-Rates!$B$9)),2))</f>
        <v/>
      </c>
      <c r="S30" s="19">
        <f>IF($F30="","",ROUND(Rates!$B$10*IF(Rates!$B$11="Full",P30-$D30,MAX(0,MIN(P30,Rates!$B$13)-Rates!$B$12)-MAX(0,MIN($D30,Rates!$B$13)-Rates!$B$12)),2))</f>
        <v/>
      </c>
      <c r="T30" s="19">
        <f>IF($F30="","",ROUND(Q30+R30+S30,2))</f>
        <v/>
      </c>
    </row>
    <row r="31">
      <c r="A31" s="13" t="n"/>
      <c r="B31" s="13" t="n"/>
      <c r="C31" s="14" t="n"/>
      <c r="D31" s="14" t="n"/>
      <c r="E31" s="15" t="n"/>
      <c r="F31" s="16" t="n"/>
      <c r="G31" s="13" t="n"/>
      <c r="H31" s="13" t="n"/>
      <c r="I31" s="13" t="n"/>
      <c r="J31" s="17">
        <f>IF($F31="","",DATEDIF($F31,Rates!$B$2,"Y"))</f>
        <v/>
      </c>
      <c r="K31" s="18">
        <f>IF($F31="","",IF(UPPER($I31)="Y",Rates!$B$7,IF(J31&gt;=21,Rates!$B$4,IF(J31&gt;=18,Rates!$B$5,Rates!$B$6))))</f>
        <v/>
      </c>
      <c r="L31" s="17">
        <f>IF($F31="","",IF($E31&lt;K31,"Uplift needed","OK"))</f>
        <v/>
      </c>
      <c r="M31" s="17">
        <f>IF($F31="","",IF(AND(J31&lt;21,DATEDIF($F31,Rates!$B$3,"Y")&gt;=21),"Turns 21",IF(AND(J31&lt;18,DATEDIF($F31,Rates!$B$3,"Y")&gt;=18),"Turns 18","")))</f>
        <v/>
      </c>
      <c r="N31" s="18">
        <f>IF($F31="","",MAX($E31,K31))</f>
        <v/>
      </c>
      <c r="O31" s="19">
        <f>IF($F31="","",ROUND($C31*N31/$E31,2))</f>
        <v/>
      </c>
      <c r="P31" s="19">
        <f>IF($F31="","",ROUND($D31*N31/$E31,2))</f>
        <v/>
      </c>
      <c r="Q31" s="19">
        <f>IF($F31="","",ROUND(P31-$D31,2))</f>
        <v/>
      </c>
      <c r="R31" s="19">
        <f>IF($F31="","",ROUND(Rates!$B$8*(MAX(0,P31-Rates!$B$9)-MAX(0,$D31-Rates!$B$9)),2))</f>
        <v/>
      </c>
      <c r="S31" s="19">
        <f>IF($F31="","",ROUND(Rates!$B$10*IF(Rates!$B$11="Full",P31-$D31,MAX(0,MIN(P31,Rates!$B$13)-Rates!$B$12)-MAX(0,MIN($D31,Rates!$B$13)-Rates!$B$12)),2))</f>
        <v/>
      </c>
      <c r="T31" s="19">
        <f>IF($F31="","",ROUND(Q31+R31+S31,2))</f>
        <v/>
      </c>
    </row>
    <row r="32">
      <c r="A32" s="13" t="n"/>
      <c r="B32" s="13" t="n"/>
      <c r="C32" s="14" t="n"/>
      <c r="D32" s="14" t="n"/>
      <c r="E32" s="15" t="n"/>
      <c r="F32" s="16" t="n"/>
      <c r="G32" s="13" t="n"/>
      <c r="H32" s="13" t="n"/>
      <c r="I32" s="13" t="n"/>
      <c r="J32" s="17">
        <f>IF($F32="","",DATEDIF($F32,Rates!$B$2,"Y"))</f>
        <v/>
      </c>
      <c r="K32" s="18">
        <f>IF($F32="","",IF(UPPER($I32)="Y",Rates!$B$7,IF(J32&gt;=21,Rates!$B$4,IF(J32&gt;=18,Rates!$B$5,Rates!$B$6))))</f>
        <v/>
      </c>
      <c r="L32" s="17">
        <f>IF($F32="","",IF($E32&lt;K32,"Uplift needed","OK"))</f>
        <v/>
      </c>
      <c r="M32" s="17">
        <f>IF($F32="","",IF(AND(J32&lt;21,DATEDIF($F32,Rates!$B$3,"Y")&gt;=21),"Turns 21",IF(AND(J32&lt;18,DATEDIF($F32,Rates!$B$3,"Y")&gt;=18),"Turns 18","")))</f>
        <v/>
      </c>
      <c r="N32" s="18">
        <f>IF($F32="","",MAX($E32,K32))</f>
        <v/>
      </c>
      <c r="O32" s="19">
        <f>IF($F32="","",ROUND($C32*N32/$E32,2))</f>
        <v/>
      </c>
      <c r="P32" s="19">
        <f>IF($F32="","",ROUND($D32*N32/$E32,2))</f>
        <v/>
      </c>
      <c r="Q32" s="19">
        <f>IF($F32="","",ROUND(P32-$D32,2))</f>
        <v/>
      </c>
      <c r="R32" s="19">
        <f>IF($F32="","",ROUND(Rates!$B$8*(MAX(0,P32-Rates!$B$9)-MAX(0,$D32-Rates!$B$9)),2))</f>
        <v/>
      </c>
      <c r="S32" s="19">
        <f>IF($F32="","",ROUND(Rates!$B$10*IF(Rates!$B$11="Full",P32-$D32,MAX(0,MIN(P32,Rates!$B$13)-Rates!$B$12)-MAX(0,MIN($D32,Rates!$B$13)-Rates!$B$12)),2))</f>
        <v/>
      </c>
      <c r="T32" s="19">
        <f>IF($F32="","",ROUND(Q32+R32+S32,2))</f>
        <v/>
      </c>
    </row>
    <row r="33">
      <c r="A33" s="13" t="n"/>
      <c r="B33" s="13" t="n"/>
      <c r="C33" s="14" t="n"/>
      <c r="D33" s="14" t="n"/>
      <c r="E33" s="15" t="n"/>
      <c r="F33" s="16" t="n"/>
      <c r="G33" s="13" t="n"/>
      <c r="H33" s="13" t="n"/>
      <c r="I33" s="13" t="n"/>
      <c r="J33" s="17">
        <f>IF($F33="","",DATEDIF($F33,Rates!$B$2,"Y"))</f>
        <v/>
      </c>
      <c r="K33" s="18">
        <f>IF($F33="","",IF(UPPER($I33)="Y",Rates!$B$7,IF(J33&gt;=21,Rates!$B$4,IF(J33&gt;=18,Rates!$B$5,Rates!$B$6))))</f>
        <v/>
      </c>
      <c r="L33" s="17">
        <f>IF($F33="","",IF($E33&lt;K33,"Uplift needed","OK"))</f>
        <v/>
      </c>
      <c r="M33" s="17">
        <f>IF($F33="","",IF(AND(J33&lt;21,DATEDIF($F33,Rates!$B$3,"Y")&gt;=21),"Turns 21",IF(AND(J33&lt;18,DATEDIF($F33,Rates!$B$3,"Y")&gt;=18),"Turns 18","")))</f>
        <v/>
      </c>
      <c r="N33" s="18">
        <f>IF($F33="","",MAX($E33,K33))</f>
        <v/>
      </c>
      <c r="O33" s="19">
        <f>IF($F33="","",ROUND($C33*N33/$E33,2))</f>
        <v/>
      </c>
      <c r="P33" s="19">
        <f>IF($F33="","",ROUND($D33*N33/$E33,2))</f>
        <v/>
      </c>
      <c r="Q33" s="19">
        <f>IF($F33="","",ROUND(P33-$D33,2))</f>
        <v/>
      </c>
      <c r="R33" s="19">
        <f>IF($F33="","",ROUND(Rates!$B$8*(MAX(0,P33-Rates!$B$9)-MAX(0,$D33-Rates!$B$9)),2))</f>
        <v/>
      </c>
      <c r="S33" s="19">
        <f>IF($F33="","",ROUND(Rates!$B$10*IF(Rates!$B$11="Full",P33-$D33,MAX(0,MIN(P33,Rates!$B$13)-Rates!$B$12)-MAX(0,MIN($D33,Rates!$B$13)-Rates!$B$12)),2))</f>
        <v/>
      </c>
      <c r="T33" s="19">
        <f>IF($F33="","",ROUND(Q33+R33+S33,2))</f>
        <v/>
      </c>
    </row>
    <row r="34">
      <c r="A34" s="13" t="n"/>
      <c r="B34" s="13" t="n"/>
      <c r="C34" s="14" t="n"/>
      <c r="D34" s="14" t="n"/>
      <c r="E34" s="15" t="n"/>
      <c r="F34" s="16" t="n"/>
      <c r="G34" s="13" t="n"/>
      <c r="H34" s="13" t="n"/>
      <c r="I34" s="13" t="n"/>
      <c r="J34" s="17">
        <f>IF($F34="","",DATEDIF($F34,Rates!$B$2,"Y"))</f>
        <v/>
      </c>
      <c r="K34" s="18">
        <f>IF($F34="","",IF(UPPER($I34)="Y",Rates!$B$7,IF(J34&gt;=21,Rates!$B$4,IF(J34&gt;=18,Rates!$B$5,Rates!$B$6))))</f>
        <v/>
      </c>
      <c r="L34" s="17">
        <f>IF($F34="","",IF($E34&lt;K34,"Uplift needed","OK"))</f>
        <v/>
      </c>
      <c r="M34" s="17">
        <f>IF($F34="","",IF(AND(J34&lt;21,DATEDIF($F34,Rates!$B$3,"Y")&gt;=21),"Turns 21",IF(AND(J34&lt;18,DATEDIF($F34,Rates!$B$3,"Y")&gt;=18),"Turns 18","")))</f>
        <v/>
      </c>
      <c r="N34" s="18">
        <f>IF($F34="","",MAX($E34,K34))</f>
        <v/>
      </c>
      <c r="O34" s="19">
        <f>IF($F34="","",ROUND($C34*N34/$E34,2))</f>
        <v/>
      </c>
      <c r="P34" s="19">
        <f>IF($F34="","",ROUND($D34*N34/$E34,2))</f>
        <v/>
      </c>
      <c r="Q34" s="19">
        <f>IF($F34="","",ROUND(P34-$D34,2))</f>
        <v/>
      </c>
      <c r="R34" s="19">
        <f>IF($F34="","",ROUND(Rates!$B$8*(MAX(0,P34-Rates!$B$9)-MAX(0,$D34-Rates!$B$9)),2))</f>
        <v/>
      </c>
      <c r="S34" s="19">
        <f>IF($F34="","",ROUND(Rates!$B$10*IF(Rates!$B$11="Full",P34-$D34,MAX(0,MIN(P34,Rates!$B$13)-Rates!$B$12)-MAX(0,MIN($D34,Rates!$B$13)-Rates!$B$12)),2))</f>
        <v/>
      </c>
      <c r="T34" s="19">
        <f>IF($F34="","",ROUND(Q34+R34+S34,2))</f>
        <v/>
      </c>
    </row>
    <row r="35">
      <c r="A35" s="13" t="n"/>
      <c r="B35" s="13" t="n"/>
      <c r="C35" s="14" t="n"/>
      <c r="D35" s="14" t="n"/>
      <c r="E35" s="15" t="n"/>
      <c r="F35" s="16" t="n"/>
      <c r="G35" s="13" t="n"/>
      <c r="H35" s="13" t="n"/>
      <c r="I35" s="13" t="n"/>
      <c r="J35" s="17">
        <f>IF($F35="","",DATEDIF($F35,Rates!$B$2,"Y"))</f>
        <v/>
      </c>
      <c r="K35" s="18">
        <f>IF($F35="","",IF(UPPER($I35)="Y",Rates!$B$7,IF(J35&gt;=21,Rates!$B$4,IF(J35&gt;=18,Rates!$B$5,Rates!$B$6))))</f>
        <v/>
      </c>
      <c r="L35" s="17">
        <f>IF($F35="","",IF($E35&lt;K35,"Uplift needed","OK"))</f>
        <v/>
      </c>
      <c r="M35" s="17">
        <f>IF($F35="","",IF(AND(J35&lt;21,DATEDIF($F35,Rates!$B$3,"Y")&gt;=21),"Turns 21",IF(AND(J35&lt;18,DATEDIF($F35,Rates!$B$3,"Y")&gt;=18),"Turns 18","")))</f>
        <v/>
      </c>
      <c r="N35" s="18">
        <f>IF($F35="","",MAX($E35,K35))</f>
        <v/>
      </c>
      <c r="O35" s="19">
        <f>IF($F35="","",ROUND($C35*N35/$E35,2))</f>
        <v/>
      </c>
      <c r="P35" s="19">
        <f>IF($F35="","",ROUND($D35*N35/$E35,2))</f>
        <v/>
      </c>
      <c r="Q35" s="19">
        <f>IF($F35="","",ROUND(P35-$D35,2))</f>
        <v/>
      </c>
      <c r="R35" s="19">
        <f>IF($F35="","",ROUND(Rates!$B$8*(MAX(0,P35-Rates!$B$9)-MAX(0,$D35-Rates!$B$9)),2))</f>
        <v/>
      </c>
      <c r="S35" s="19">
        <f>IF($F35="","",ROUND(Rates!$B$10*IF(Rates!$B$11="Full",P35-$D35,MAX(0,MIN(P35,Rates!$B$13)-Rates!$B$12)-MAX(0,MIN($D35,Rates!$B$13)-Rates!$B$12)),2))</f>
        <v/>
      </c>
      <c r="T35" s="19">
        <f>IF($F35="","",ROUND(Q35+R35+S35,2))</f>
        <v/>
      </c>
    </row>
    <row r="36">
      <c r="A36" s="13" t="n"/>
      <c r="B36" s="13" t="n"/>
      <c r="C36" s="14" t="n"/>
      <c r="D36" s="14" t="n"/>
      <c r="E36" s="15" t="n"/>
      <c r="F36" s="16" t="n"/>
      <c r="G36" s="13" t="n"/>
      <c r="H36" s="13" t="n"/>
      <c r="I36" s="13" t="n"/>
      <c r="J36" s="17">
        <f>IF($F36="","",DATEDIF($F36,Rates!$B$2,"Y"))</f>
        <v/>
      </c>
      <c r="K36" s="18">
        <f>IF($F36="","",IF(UPPER($I36)="Y",Rates!$B$7,IF(J36&gt;=21,Rates!$B$4,IF(J36&gt;=18,Rates!$B$5,Rates!$B$6))))</f>
        <v/>
      </c>
      <c r="L36" s="17">
        <f>IF($F36="","",IF($E36&lt;K36,"Uplift needed","OK"))</f>
        <v/>
      </c>
      <c r="M36" s="17">
        <f>IF($F36="","",IF(AND(J36&lt;21,DATEDIF($F36,Rates!$B$3,"Y")&gt;=21),"Turns 21",IF(AND(J36&lt;18,DATEDIF($F36,Rates!$B$3,"Y")&gt;=18),"Turns 18","")))</f>
        <v/>
      </c>
      <c r="N36" s="18">
        <f>IF($F36="","",MAX($E36,K36))</f>
        <v/>
      </c>
      <c r="O36" s="19">
        <f>IF($F36="","",ROUND($C36*N36/$E36,2))</f>
        <v/>
      </c>
      <c r="P36" s="19">
        <f>IF($F36="","",ROUND($D36*N36/$E36,2))</f>
        <v/>
      </c>
      <c r="Q36" s="19">
        <f>IF($F36="","",ROUND(P36-$D36,2))</f>
        <v/>
      </c>
      <c r="R36" s="19">
        <f>IF($F36="","",ROUND(Rates!$B$8*(MAX(0,P36-Rates!$B$9)-MAX(0,$D36-Rates!$B$9)),2))</f>
        <v/>
      </c>
      <c r="S36" s="19">
        <f>IF($F36="","",ROUND(Rates!$B$10*IF(Rates!$B$11="Full",P36-$D36,MAX(0,MIN(P36,Rates!$B$13)-Rates!$B$12)-MAX(0,MIN($D36,Rates!$B$13)-Rates!$B$12)),2))</f>
        <v/>
      </c>
      <c r="T36" s="19">
        <f>IF($F36="","",ROUND(Q36+R36+S36,2))</f>
        <v/>
      </c>
    </row>
    <row r="37">
      <c r="A37" s="13" t="n"/>
      <c r="B37" s="13" t="n"/>
      <c r="C37" s="14" t="n"/>
      <c r="D37" s="14" t="n"/>
      <c r="E37" s="15" t="n"/>
      <c r="F37" s="16" t="n"/>
      <c r="G37" s="13" t="n"/>
      <c r="H37" s="13" t="n"/>
      <c r="I37" s="13" t="n"/>
      <c r="J37" s="17">
        <f>IF($F37="","",DATEDIF($F37,Rates!$B$2,"Y"))</f>
        <v/>
      </c>
      <c r="K37" s="18">
        <f>IF($F37="","",IF(UPPER($I37)="Y",Rates!$B$7,IF(J37&gt;=21,Rates!$B$4,IF(J37&gt;=18,Rates!$B$5,Rates!$B$6))))</f>
        <v/>
      </c>
      <c r="L37" s="17">
        <f>IF($F37="","",IF($E37&lt;K37,"Uplift needed","OK"))</f>
        <v/>
      </c>
      <c r="M37" s="17">
        <f>IF($F37="","",IF(AND(J37&lt;21,DATEDIF($F37,Rates!$B$3,"Y")&gt;=21),"Turns 21",IF(AND(J37&lt;18,DATEDIF($F37,Rates!$B$3,"Y")&gt;=18),"Turns 18","")))</f>
        <v/>
      </c>
      <c r="N37" s="18">
        <f>IF($F37="","",MAX($E37,K37))</f>
        <v/>
      </c>
      <c r="O37" s="19">
        <f>IF($F37="","",ROUND($C37*N37/$E37,2))</f>
        <v/>
      </c>
      <c r="P37" s="19">
        <f>IF($F37="","",ROUND($D37*N37/$E37,2))</f>
        <v/>
      </c>
      <c r="Q37" s="19">
        <f>IF($F37="","",ROUND(P37-$D37,2))</f>
        <v/>
      </c>
      <c r="R37" s="19">
        <f>IF($F37="","",ROUND(Rates!$B$8*(MAX(0,P37-Rates!$B$9)-MAX(0,$D37-Rates!$B$9)),2))</f>
        <v/>
      </c>
      <c r="S37" s="19">
        <f>IF($F37="","",ROUND(Rates!$B$10*IF(Rates!$B$11="Full",P37-$D37,MAX(0,MIN(P37,Rates!$B$13)-Rates!$B$12)-MAX(0,MIN($D37,Rates!$B$13)-Rates!$B$12)),2))</f>
        <v/>
      </c>
      <c r="T37" s="19">
        <f>IF($F37="","",ROUND(Q37+R37+S37,2))</f>
        <v/>
      </c>
    </row>
    <row r="38">
      <c r="A38" s="13" t="n"/>
      <c r="B38" s="13" t="n"/>
      <c r="C38" s="14" t="n"/>
      <c r="D38" s="14" t="n"/>
      <c r="E38" s="15" t="n"/>
      <c r="F38" s="16" t="n"/>
      <c r="G38" s="13" t="n"/>
      <c r="H38" s="13" t="n"/>
      <c r="I38" s="13" t="n"/>
      <c r="J38" s="17">
        <f>IF($F38="","",DATEDIF($F38,Rates!$B$2,"Y"))</f>
        <v/>
      </c>
      <c r="K38" s="18">
        <f>IF($F38="","",IF(UPPER($I38)="Y",Rates!$B$7,IF(J38&gt;=21,Rates!$B$4,IF(J38&gt;=18,Rates!$B$5,Rates!$B$6))))</f>
        <v/>
      </c>
      <c r="L38" s="17">
        <f>IF($F38="","",IF($E38&lt;K38,"Uplift needed","OK"))</f>
        <v/>
      </c>
      <c r="M38" s="17">
        <f>IF($F38="","",IF(AND(J38&lt;21,DATEDIF($F38,Rates!$B$3,"Y")&gt;=21),"Turns 21",IF(AND(J38&lt;18,DATEDIF($F38,Rates!$B$3,"Y")&gt;=18),"Turns 18","")))</f>
        <v/>
      </c>
      <c r="N38" s="18">
        <f>IF($F38="","",MAX($E38,K38))</f>
        <v/>
      </c>
      <c r="O38" s="19">
        <f>IF($F38="","",ROUND($C38*N38/$E38,2))</f>
        <v/>
      </c>
      <c r="P38" s="19">
        <f>IF($F38="","",ROUND($D38*N38/$E38,2))</f>
        <v/>
      </c>
      <c r="Q38" s="19">
        <f>IF($F38="","",ROUND(P38-$D38,2))</f>
        <v/>
      </c>
      <c r="R38" s="19">
        <f>IF($F38="","",ROUND(Rates!$B$8*(MAX(0,P38-Rates!$B$9)-MAX(0,$D38-Rates!$B$9)),2))</f>
        <v/>
      </c>
      <c r="S38" s="19">
        <f>IF($F38="","",ROUND(Rates!$B$10*IF(Rates!$B$11="Full",P38-$D38,MAX(0,MIN(P38,Rates!$B$13)-Rates!$B$12)-MAX(0,MIN($D38,Rates!$B$13)-Rates!$B$12)),2))</f>
        <v/>
      </c>
      <c r="T38" s="19">
        <f>IF($F38="","",ROUND(Q38+R38+S38,2))</f>
        <v/>
      </c>
    </row>
    <row r="39">
      <c r="A39" s="13" t="n"/>
      <c r="B39" s="13" t="n"/>
      <c r="C39" s="14" t="n"/>
      <c r="D39" s="14" t="n"/>
      <c r="E39" s="15" t="n"/>
      <c r="F39" s="16" t="n"/>
      <c r="G39" s="13" t="n"/>
      <c r="H39" s="13" t="n"/>
      <c r="I39" s="13" t="n"/>
      <c r="J39" s="17">
        <f>IF($F39="","",DATEDIF($F39,Rates!$B$2,"Y"))</f>
        <v/>
      </c>
      <c r="K39" s="18">
        <f>IF($F39="","",IF(UPPER($I39)="Y",Rates!$B$7,IF(J39&gt;=21,Rates!$B$4,IF(J39&gt;=18,Rates!$B$5,Rates!$B$6))))</f>
        <v/>
      </c>
      <c r="L39" s="17">
        <f>IF($F39="","",IF($E39&lt;K39,"Uplift needed","OK"))</f>
        <v/>
      </c>
      <c r="M39" s="17">
        <f>IF($F39="","",IF(AND(J39&lt;21,DATEDIF($F39,Rates!$B$3,"Y")&gt;=21),"Turns 21",IF(AND(J39&lt;18,DATEDIF($F39,Rates!$B$3,"Y")&gt;=18),"Turns 18","")))</f>
        <v/>
      </c>
      <c r="N39" s="18">
        <f>IF($F39="","",MAX($E39,K39))</f>
        <v/>
      </c>
      <c r="O39" s="19">
        <f>IF($F39="","",ROUND($C39*N39/$E39,2))</f>
        <v/>
      </c>
      <c r="P39" s="19">
        <f>IF($F39="","",ROUND($D39*N39/$E39,2))</f>
        <v/>
      </c>
      <c r="Q39" s="19">
        <f>IF($F39="","",ROUND(P39-$D39,2))</f>
        <v/>
      </c>
      <c r="R39" s="19">
        <f>IF($F39="","",ROUND(Rates!$B$8*(MAX(0,P39-Rates!$B$9)-MAX(0,$D39-Rates!$B$9)),2))</f>
        <v/>
      </c>
      <c r="S39" s="19">
        <f>IF($F39="","",ROUND(Rates!$B$10*IF(Rates!$B$11="Full",P39-$D39,MAX(0,MIN(P39,Rates!$B$13)-Rates!$B$12)-MAX(0,MIN($D39,Rates!$B$13)-Rates!$B$12)),2))</f>
        <v/>
      </c>
      <c r="T39" s="19">
        <f>IF($F39="","",ROUND(Q39+R39+S39,2))</f>
        <v/>
      </c>
    </row>
    <row r="40">
      <c r="A40" s="13" t="n"/>
      <c r="B40" s="13" t="n"/>
      <c r="C40" s="14" t="n"/>
      <c r="D40" s="14" t="n"/>
      <c r="E40" s="15" t="n"/>
      <c r="F40" s="16" t="n"/>
      <c r="G40" s="13" t="n"/>
      <c r="H40" s="13" t="n"/>
      <c r="I40" s="13" t="n"/>
      <c r="J40" s="17">
        <f>IF($F40="","",DATEDIF($F40,Rates!$B$2,"Y"))</f>
        <v/>
      </c>
      <c r="K40" s="18">
        <f>IF($F40="","",IF(UPPER($I40)="Y",Rates!$B$7,IF(J40&gt;=21,Rates!$B$4,IF(J40&gt;=18,Rates!$B$5,Rates!$B$6))))</f>
        <v/>
      </c>
      <c r="L40" s="17">
        <f>IF($F40="","",IF($E40&lt;K40,"Uplift needed","OK"))</f>
        <v/>
      </c>
      <c r="M40" s="17">
        <f>IF($F40="","",IF(AND(J40&lt;21,DATEDIF($F40,Rates!$B$3,"Y")&gt;=21),"Turns 21",IF(AND(J40&lt;18,DATEDIF($F40,Rates!$B$3,"Y")&gt;=18),"Turns 18","")))</f>
        <v/>
      </c>
      <c r="N40" s="18">
        <f>IF($F40="","",MAX($E40,K40))</f>
        <v/>
      </c>
      <c r="O40" s="19">
        <f>IF($F40="","",ROUND($C40*N40/$E40,2))</f>
        <v/>
      </c>
      <c r="P40" s="19">
        <f>IF($F40="","",ROUND($D40*N40/$E40,2))</f>
        <v/>
      </c>
      <c r="Q40" s="19">
        <f>IF($F40="","",ROUND(P40-$D40,2))</f>
        <v/>
      </c>
      <c r="R40" s="19">
        <f>IF($F40="","",ROUND(Rates!$B$8*(MAX(0,P40-Rates!$B$9)-MAX(0,$D40-Rates!$B$9)),2))</f>
        <v/>
      </c>
      <c r="S40" s="19">
        <f>IF($F40="","",ROUND(Rates!$B$10*IF(Rates!$B$11="Full",P40-$D40,MAX(0,MIN(P40,Rates!$B$13)-Rates!$B$12)-MAX(0,MIN($D40,Rates!$B$13)-Rates!$B$12)),2))</f>
        <v/>
      </c>
      <c r="T40" s="19">
        <f>IF($F40="","",ROUND(Q40+R40+S40,2))</f>
        <v/>
      </c>
    </row>
    <row r="41">
      <c r="A41" s="13" t="n"/>
      <c r="B41" s="13" t="n"/>
      <c r="C41" s="14" t="n"/>
      <c r="D41" s="14" t="n"/>
      <c r="E41" s="15" t="n"/>
      <c r="F41" s="16" t="n"/>
      <c r="G41" s="13" t="n"/>
      <c r="H41" s="13" t="n"/>
      <c r="I41" s="13" t="n"/>
      <c r="J41" s="17">
        <f>IF($F41="","",DATEDIF($F41,Rates!$B$2,"Y"))</f>
        <v/>
      </c>
      <c r="K41" s="18">
        <f>IF($F41="","",IF(UPPER($I41)="Y",Rates!$B$7,IF(J41&gt;=21,Rates!$B$4,IF(J41&gt;=18,Rates!$B$5,Rates!$B$6))))</f>
        <v/>
      </c>
      <c r="L41" s="17">
        <f>IF($F41="","",IF($E41&lt;K41,"Uplift needed","OK"))</f>
        <v/>
      </c>
      <c r="M41" s="17">
        <f>IF($F41="","",IF(AND(J41&lt;21,DATEDIF($F41,Rates!$B$3,"Y")&gt;=21),"Turns 21",IF(AND(J41&lt;18,DATEDIF($F41,Rates!$B$3,"Y")&gt;=18),"Turns 18","")))</f>
        <v/>
      </c>
      <c r="N41" s="18">
        <f>IF($F41="","",MAX($E41,K41))</f>
        <v/>
      </c>
      <c r="O41" s="19">
        <f>IF($F41="","",ROUND($C41*N41/$E41,2))</f>
        <v/>
      </c>
      <c r="P41" s="19">
        <f>IF($F41="","",ROUND($D41*N41/$E41,2))</f>
        <v/>
      </c>
      <c r="Q41" s="19">
        <f>IF($F41="","",ROUND(P41-$D41,2))</f>
        <v/>
      </c>
      <c r="R41" s="19">
        <f>IF($F41="","",ROUND(Rates!$B$8*(MAX(0,P41-Rates!$B$9)-MAX(0,$D41-Rates!$B$9)),2))</f>
        <v/>
      </c>
      <c r="S41" s="19">
        <f>IF($F41="","",ROUND(Rates!$B$10*IF(Rates!$B$11="Full",P41-$D41,MAX(0,MIN(P41,Rates!$B$13)-Rates!$B$12)-MAX(0,MIN($D41,Rates!$B$13)-Rates!$B$12)),2))</f>
        <v/>
      </c>
      <c r="T41" s="19">
        <f>IF($F41="","",ROUND(Q41+R41+S41,2))</f>
        <v/>
      </c>
    </row>
    <row r="42">
      <c r="A42" s="13" t="n"/>
      <c r="B42" s="13" t="n"/>
      <c r="C42" s="14" t="n"/>
      <c r="D42" s="14" t="n"/>
      <c r="E42" s="15" t="n"/>
      <c r="F42" s="16" t="n"/>
      <c r="G42" s="13" t="n"/>
      <c r="H42" s="13" t="n"/>
      <c r="I42" s="13" t="n"/>
      <c r="J42" s="17">
        <f>IF($F42="","",DATEDIF($F42,Rates!$B$2,"Y"))</f>
        <v/>
      </c>
      <c r="K42" s="18">
        <f>IF($F42="","",IF(UPPER($I42)="Y",Rates!$B$7,IF(J42&gt;=21,Rates!$B$4,IF(J42&gt;=18,Rates!$B$5,Rates!$B$6))))</f>
        <v/>
      </c>
      <c r="L42" s="17">
        <f>IF($F42="","",IF($E42&lt;K42,"Uplift needed","OK"))</f>
        <v/>
      </c>
      <c r="M42" s="17">
        <f>IF($F42="","",IF(AND(J42&lt;21,DATEDIF($F42,Rates!$B$3,"Y")&gt;=21),"Turns 21",IF(AND(J42&lt;18,DATEDIF($F42,Rates!$B$3,"Y")&gt;=18),"Turns 18","")))</f>
        <v/>
      </c>
      <c r="N42" s="18">
        <f>IF($F42="","",MAX($E42,K42))</f>
        <v/>
      </c>
      <c r="O42" s="19">
        <f>IF($F42="","",ROUND($C42*N42/$E42,2))</f>
        <v/>
      </c>
      <c r="P42" s="19">
        <f>IF($F42="","",ROUND($D42*N42/$E42,2))</f>
        <v/>
      </c>
      <c r="Q42" s="19">
        <f>IF($F42="","",ROUND(P42-$D42,2))</f>
        <v/>
      </c>
      <c r="R42" s="19">
        <f>IF($F42="","",ROUND(Rates!$B$8*(MAX(0,P42-Rates!$B$9)-MAX(0,$D42-Rates!$B$9)),2))</f>
        <v/>
      </c>
      <c r="S42" s="19">
        <f>IF($F42="","",ROUND(Rates!$B$10*IF(Rates!$B$11="Full",P42-$D42,MAX(0,MIN(P42,Rates!$B$13)-Rates!$B$12)-MAX(0,MIN($D42,Rates!$B$13)-Rates!$B$12)),2))</f>
        <v/>
      </c>
      <c r="T42" s="19">
        <f>IF($F42="","",ROUND(Q42+R42+S42,2))</f>
        <v/>
      </c>
    </row>
    <row r="43">
      <c r="A43" s="13" t="n"/>
      <c r="B43" s="13" t="n"/>
      <c r="C43" s="14" t="n"/>
      <c r="D43" s="14" t="n"/>
      <c r="E43" s="15" t="n"/>
      <c r="F43" s="16" t="n"/>
      <c r="G43" s="13" t="n"/>
      <c r="H43" s="13" t="n"/>
      <c r="I43" s="13" t="n"/>
      <c r="J43" s="17">
        <f>IF($F43="","",DATEDIF($F43,Rates!$B$2,"Y"))</f>
        <v/>
      </c>
      <c r="K43" s="18">
        <f>IF($F43="","",IF(UPPER($I43)="Y",Rates!$B$7,IF(J43&gt;=21,Rates!$B$4,IF(J43&gt;=18,Rates!$B$5,Rates!$B$6))))</f>
        <v/>
      </c>
      <c r="L43" s="17">
        <f>IF($F43="","",IF($E43&lt;K43,"Uplift needed","OK"))</f>
        <v/>
      </c>
      <c r="M43" s="17">
        <f>IF($F43="","",IF(AND(J43&lt;21,DATEDIF($F43,Rates!$B$3,"Y")&gt;=21),"Turns 21",IF(AND(J43&lt;18,DATEDIF($F43,Rates!$B$3,"Y")&gt;=18),"Turns 18","")))</f>
        <v/>
      </c>
      <c r="N43" s="18">
        <f>IF($F43="","",MAX($E43,K43))</f>
        <v/>
      </c>
      <c r="O43" s="19">
        <f>IF($F43="","",ROUND($C43*N43/$E43,2))</f>
        <v/>
      </c>
      <c r="P43" s="19">
        <f>IF($F43="","",ROUND($D43*N43/$E43,2))</f>
        <v/>
      </c>
      <c r="Q43" s="19">
        <f>IF($F43="","",ROUND(P43-$D43,2))</f>
        <v/>
      </c>
      <c r="R43" s="19">
        <f>IF($F43="","",ROUND(Rates!$B$8*(MAX(0,P43-Rates!$B$9)-MAX(0,$D43-Rates!$B$9)),2))</f>
        <v/>
      </c>
      <c r="S43" s="19">
        <f>IF($F43="","",ROUND(Rates!$B$10*IF(Rates!$B$11="Full",P43-$D43,MAX(0,MIN(P43,Rates!$B$13)-Rates!$B$12)-MAX(0,MIN($D43,Rates!$B$13)-Rates!$B$12)),2))</f>
        <v/>
      </c>
      <c r="T43" s="19">
        <f>IF($F43="","",ROUND(Q43+R43+S43,2))</f>
        <v/>
      </c>
    </row>
    <row r="44">
      <c r="A44" s="13" t="n"/>
      <c r="B44" s="13" t="n"/>
      <c r="C44" s="14" t="n"/>
      <c r="D44" s="14" t="n"/>
      <c r="E44" s="15" t="n"/>
      <c r="F44" s="16" t="n"/>
      <c r="G44" s="13" t="n"/>
      <c r="H44" s="13" t="n"/>
      <c r="I44" s="13" t="n"/>
      <c r="J44" s="17">
        <f>IF($F44="","",DATEDIF($F44,Rates!$B$2,"Y"))</f>
        <v/>
      </c>
      <c r="K44" s="18">
        <f>IF($F44="","",IF(UPPER($I44)="Y",Rates!$B$7,IF(J44&gt;=21,Rates!$B$4,IF(J44&gt;=18,Rates!$B$5,Rates!$B$6))))</f>
        <v/>
      </c>
      <c r="L44" s="17">
        <f>IF($F44="","",IF($E44&lt;K44,"Uplift needed","OK"))</f>
        <v/>
      </c>
      <c r="M44" s="17">
        <f>IF($F44="","",IF(AND(J44&lt;21,DATEDIF($F44,Rates!$B$3,"Y")&gt;=21),"Turns 21",IF(AND(J44&lt;18,DATEDIF($F44,Rates!$B$3,"Y")&gt;=18),"Turns 18","")))</f>
        <v/>
      </c>
      <c r="N44" s="18">
        <f>IF($F44="","",MAX($E44,K44))</f>
        <v/>
      </c>
      <c r="O44" s="19">
        <f>IF($F44="","",ROUND($C44*N44/$E44,2))</f>
        <v/>
      </c>
      <c r="P44" s="19">
        <f>IF($F44="","",ROUND($D44*N44/$E44,2))</f>
        <v/>
      </c>
      <c r="Q44" s="19">
        <f>IF($F44="","",ROUND(P44-$D44,2))</f>
        <v/>
      </c>
      <c r="R44" s="19">
        <f>IF($F44="","",ROUND(Rates!$B$8*(MAX(0,P44-Rates!$B$9)-MAX(0,$D44-Rates!$B$9)),2))</f>
        <v/>
      </c>
      <c r="S44" s="19">
        <f>IF($F44="","",ROUND(Rates!$B$10*IF(Rates!$B$11="Full",P44-$D44,MAX(0,MIN(P44,Rates!$B$13)-Rates!$B$12)-MAX(0,MIN($D44,Rates!$B$13)-Rates!$B$12)),2))</f>
        <v/>
      </c>
      <c r="T44" s="19">
        <f>IF($F44="","",ROUND(Q44+R44+S44,2))</f>
        <v/>
      </c>
    </row>
    <row r="45">
      <c r="A45" s="13" t="n"/>
      <c r="B45" s="13" t="n"/>
      <c r="C45" s="14" t="n"/>
      <c r="D45" s="14" t="n"/>
      <c r="E45" s="15" t="n"/>
      <c r="F45" s="16" t="n"/>
      <c r="G45" s="13" t="n"/>
      <c r="H45" s="13" t="n"/>
      <c r="I45" s="13" t="n"/>
      <c r="J45" s="17">
        <f>IF($F45="","",DATEDIF($F45,Rates!$B$2,"Y"))</f>
        <v/>
      </c>
      <c r="K45" s="18">
        <f>IF($F45="","",IF(UPPER($I45)="Y",Rates!$B$7,IF(J45&gt;=21,Rates!$B$4,IF(J45&gt;=18,Rates!$B$5,Rates!$B$6))))</f>
        <v/>
      </c>
      <c r="L45" s="17">
        <f>IF($F45="","",IF($E45&lt;K45,"Uplift needed","OK"))</f>
        <v/>
      </c>
      <c r="M45" s="17">
        <f>IF($F45="","",IF(AND(J45&lt;21,DATEDIF($F45,Rates!$B$3,"Y")&gt;=21),"Turns 21",IF(AND(J45&lt;18,DATEDIF($F45,Rates!$B$3,"Y")&gt;=18),"Turns 18","")))</f>
        <v/>
      </c>
      <c r="N45" s="18">
        <f>IF($F45="","",MAX($E45,K45))</f>
        <v/>
      </c>
      <c r="O45" s="19">
        <f>IF($F45="","",ROUND($C45*N45/$E45,2))</f>
        <v/>
      </c>
      <c r="P45" s="19">
        <f>IF($F45="","",ROUND($D45*N45/$E45,2))</f>
        <v/>
      </c>
      <c r="Q45" s="19">
        <f>IF($F45="","",ROUND(P45-$D45,2))</f>
        <v/>
      </c>
      <c r="R45" s="19">
        <f>IF($F45="","",ROUND(Rates!$B$8*(MAX(0,P45-Rates!$B$9)-MAX(0,$D45-Rates!$B$9)),2))</f>
        <v/>
      </c>
      <c r="S45" s="19">
        <f>IF($F45="","",ROUND(Rates!$B$10*IF(Rates!$B$11="Full",P45-$D45,MAX(0,MIN(P45,Rates!$B$13)-Rates!$B$12)-MAX(0,MIN($D45,Rates!$B$13)-Rates!$B$12)),2))</f>
        <v/>
      </c>
      <c r="T45" s="19">
        <f>IF($F45="","",ROUND(Q45+R45+S45,2))</f>
        <v/>
      </c>
    </row>
    <row r="46">
      <c r="A46" s="13" t="n"/>
      <c r="B46" s="13" t="n"/>
      <c r="C46" s="14" t="n"/>
      <c r="D46" s="14" t="n"/>
      <c r="E46" s="15" t="n"/>
      <c r="F46" s="16" t="n"/>
      <c r="G46" s="13" t="n"/>
      <c r="H46" s="13" t="n"/>
      <c r="I46" s="13" t="n"/>
      <c r="J46" s="17">
        <f>IF($F46="","",DATEDIF($F46,Rates!$B$2,"Y"))</f>
        <v/>
      </c>
      <c r="K46" s="18">
        <f>IF($F46="","",IF(UPPER($I46)="Y",Rates!$B$7,IF(J46&gt;=21,Rates!$B$4,IF(J46&gt;=18,Rates!$B$5,Rates!$B$6))))</f>
        <v/>
      </c>
      <c r="L46" s="17">
        <f>IF($F46="","",IF($E46&lt;K46,"Uplift needed","OK"))</f>
        <v/>
      </c>
      <c r="M46" s="17">
        <f>IF($F46="","",IF(AND(J46&lt;21,DATEDIF($F46,Rates!$B$3,"Y")&gt;=21),"Turns 21",IF(AND(J46&lt;18,DATEDIF($F46,Rates!$B$3,"Y")&gt;=18),"Turns 18","")))</f>
        <v/>
      </c>
      <c r="N46" s="18">
        <f>IF($F46="","",MAX($E46,K46))</f>
        <v/>
      </c>
      <c r="O46" s="19">
        <f>IF($F46="","",ROUND($C46*N46/$E46,2))</f>
        <v/>
      </c>
      <c r="P46" s="19">
        <f>IF($F46="","",ROUND($D46*N46/$E46,2))</f>
        <v/>
      </c>
      <c r="Q46" s="19">
        <f>IF($F46="","",ROUND(P46-$D46,2))</f>
        <v/>
      </c>
      <c r="R46" s="19">
        <f>IF($F46="","",ROUND(Rates!$B$8*(MAX(0,P46-Rates!$B$9)-MAX(0,$D46-Rates!$B$9)),2))</f>
        <v/>
      </c>
      <c r="S46" s="19">
        <f>IF($F46="","",ROUND(Rates!$B$10*IF(Rates!$B$11="Full",P46-$D46,MAX(0,MIN(P46,Rates!$B$13)-Rates!$B$12)-MAX(0,MIN($D46,Rates!$B$13)-Rates!$B$12)),2))</f>
        <v/>
      </c>
      <c r="T46" s="19">
        <f>IF($F46="","",ROUND(Q46+R46+S46,2))</f>
        <v/>
      </c>
    </row>
    <row r="47">
      <c r="A47" s="13" t="n"/>
      <c r="B47" s="13" t="n"/>
      <c r="C47" s="14" t="n"/>
      <c r="D47" s="14" t="n"/>
      <c r="E47" s="15" t="n"/>
      <c r="F47" s="16" t="n"/>
      <c r="G47" s="13" t="n"/>
      <c r="H47" s="13" t="n"/>
      <c r="I47" s="13" t="n"/>
      <c r="J47" s="17">
        <f>IF($F47="","",DATEDIF($F47,Rates!$B$2,"Y"))</f>
        <v/>
      </c>
      <c r="K47" s="18">
        <f>IF($F47="","",IF(UPPER($I47)="Y",Rates!$B$7,IF(J47&gt;=21,Rates!$B$4,IF(J47&gt;=18,Rates!$B$5,Rates!$B$6))))</f>
        <v/>
      </c>
      <c r="L47" s="17">
        <f>IF($F47="","",IF($E47&lt;K47,"Uplift needed","OK"))</f>
        <v/>
      </c>
      <c r="M47" s="17">
        <f>IF($F47="","",IF(AND(J47&lt;21,DATEDIF($F47,Rates!$B$3,"Y")&gt;=21),"Turns 21",IF(AND(J47&lt;18,DATEDIF($F47,Rates!$B$3,"Y")&gt;=18),"Turns 18","")))</f>
        <v/>
      </c>
      <c r="N47" s="18">
        <f>IF($F47="","",MAX($E47,K47))</f>
        <v/>
      </c>
      <c r="O47" s="19">
        <f>IF($F47="","",ROUND($C47*N47/$E47,2))</f>
        <v/>
      </c>
      <c r="P47" s="19">
        <f>IF($F47="","",ROUND($D47*N47/$E47,2))</f>
        <v/>
      </c>
      <c r="Q47" s="19">
        <f>IF($F47="","",ROUND(P47-$D47,2))</f>
        <v/>
      </c>
      <c r="R47" s="19">
        <f>IF($F47="","",ROUND(Rates!$B$8*(MAX(0,P47-Rates!$B$9)-MAX(0,$D47-Rates!$B$9)),2))</f>
        <v/>
      </c>
      <c r="S47" s="19">
        <f>IF($F47="","",ROUND(Rates!$B$10*IF(Rates!$B$11="Full",P47-$D47,MAX(0,MIN(P47,Rates!$B$13)-Rates!$B$12)-MAX(0,MIN($D47,Rates!$B$13)-Rates!$B$12)),2))</f>
        <v/>
      </c>
      <c r="T47" s="19">
        <f>IF($F47="","",ROUND(Q47+R47+S47,2))</f>
        <v/>
      </c>
    </row>
    <row r="48">
      <c r="A48" s="13" t="n"/>
      <c r="B48" s="13" t="n"/>
      <c r="C48" s="14" t="n"/>
      <c r="D48" s="14" t="n"/>
      <c r="E48" s="15" t="n"/>
      <c r="F48" s="16" t="n"/>
      <c r="G48" s="13" t="n"/>
      <c r="H48" s="13" t="n"/>
      <c r="I48" s="13" t="n"/>
      <c r="J48" s="17">
        <f>IF($F48="","",DATEDIF($F48,Rates!$B$2,"Y"))</f>
        <v/>
      </c>
      <c r="K48" s="18">
        <f>IF($F48="","",IF(UPPER($I48)="Y",Rates!$B$7,IF(J48&gt;=21,Rates!$B$4,IF(J48&gt;=18,Rates!$B$5,Rates!$B$6))))</f>
        <v/>
      </c>
      <c r="L48" s="17">
        <f>IF($F48="","",IF($E48&lt;K48,"Uplift needed","OK"))</f>
        <v/>
      </c>
      <c r="M48" s="17">
        <f>IF($F48="","",IF(AND(J48&lt;21,DATEDIF($F48,Rates!$B$3,"Y")&gt;=21),"Turns 21",IF(AND(J48&lt;18,DATEDIF($F48,Rates!$B$3,"Y")&gt;=18),"Turns 18","")))</f>
        <v/>
      </c>
      <c r="N48" s="18">
        <f>IF($F48="","",MAX($E48,K48))</f>
        <v/>
      </c>
      <c r="O48" s="19">
        <f>IF($F48="","",ROUND($C48*N48/$E48,2))</f>
        <v/>
      </c>
      <c r="P48" s="19">
        <f>IF($F48="","",ROUND($D48*N48/$E48,2))</f>
        <v/>
      </c>
      <c r="Q48" s="19">
        <f>IF($F48="","",ROUND(P48-$D48,2))</f>
        <v/>
      </c>
      <c r="R48" s="19">
        <f>IF($F48="","",ROUND(Rates!$B$8*(MAX(0,P48-Rates!$B$9)-MAX(0,$D48-Rates!$B$9)),2))</f>
        <v/>
      </c>
      <c r="S48" s="19">
        <f>IF($F48="","",ROUND(Rates!$B$10*IF(Rates!$B$11="Full",P48-$D48,MAX(0,MIN(P48,Rates!$B$13)-Rates!$B$12)-MAX(0,MIN($D48,Rates!$B$13)-Rates!$B$12)),2))</f>
        <v/>
      </c>
      <c r="T48" s="19">
        <f>IF($F48="","",ROUND(Q48+R48+S48,2))</f>
        <v/>
      </c>
    </row>
    <row r="49">
      <c r="A49" s="13" t="n"/>
      <c r="B49" s="13" t="n"/>
      <c r="C49" s="14" t="n"/>
      <c r="D49" s="14" t="n"/>
      <c r="E49" s="15" t="n"/>
      <c r="F49" s="16" t="n"/>
      <c r="G49" s="13" t="n"/>
      <c r="H49" s="13" t="n"/>
      <c r="I49" s="13" t="n"/>
      <c r="J49" s="17">
        <f>IF($F49="","",DATEDIF($F49,Rates!$B$2,"Y"))</f>
        <v/>
      </c>
      <c r="K49" s="18">
        <f>IF($F49="","",IF(UPPER($I49)="Y",Rates!$B$7,IF(J49&gt;=21,Rates!$B$4,IF(J49&gt;=18,Rates!$B$5,Rates!$B$6))))</f>
        <v/>
      </c>
      <c r="L49" s="17">
        <f>IF($F49="","",IF($E49&lt;K49,"Uplift needed","OK"))</f>
        <v/>
      </c>
      <c r="M49" s="17">
        <f>IF($F49="","",IF(AND(J49&lt;21,DATEDIF($F49,Rates!$B$3,"Y")&gt;=21),"Turns 21",IF(AND(J49&lt;18,DATEDIF($F49,Rates!$B$3,"Y")&gt;=18),"Turns 18","")))</f>
        <v/>
      </c>
      <c r="N49" s="18">
        <f>IF($F49="","",MAX($E49,K49))</f>
        <v/>
      </c>
      <c r="O49" s="19">
        <f>IF($F49="","",ROUND($C49*N49/$E49,2))</f>
        <v/>
      </c>
      <c r="P49" s="19">
        <f>IF($F49="","",ROUND($D49*N49/$E49,2))</f>
        <v/>
      </c>
      <c r="Q49" s="19">
        <f>IF($F49="","",ROUND(P49-$D49,2))</f>
        <v/>
      </c>
      <c r="R49" s="19">
        <f>IF($F49="","",ROUND(Rates!$B$8*(MAX(0,P49-Rates!$B$9)-MAX(0,$D49-Rates!$B$9)),2))</f>
        <v/>
      </c>
      <c r="S49" s="19">
        <f>IF($F49="","",ROUND(Rates!$B$10*IF(Rates!$B$11="Full",P49-$D49,MAX(0,MIN(P49,Rates!$B$13)-Rates!$B$12)-MAX(0,MIN($D49,Rates!$B$13)-Rates!$B$12)),2))</f>
        <v/>
      </c>
      <c r="T49" s="19">
        <f>IF($F49="","",ROUND(Q49+R49+S49,2))</f>
        <v/>
      </c>
    </row>
    <row r="50">
      <c r="A50" s="13" t="n"/>
      <c r="B50" s="13" t="n"/>
      <c r="C50" s="14" t="n"/>
      <c r="D50" s="14" t="n"/>
      <c r="E50" s="15" t="n"/>
      <c r="F50" s="16" t="n"/>
      <c r="G50" s="13" t="n"/>
      <c r="H50" s="13" t="n"/>
      <c r="I50" s="13" t="n"/>
      <c r="J50" s="17">
        <f>IF($F50="","",DATEDIF($F50,Rates!$B$2,"Y"))</f>
        <v/>
      </c>
      <c r="K50" s="18">
        <f>IF($F50="","",IF(UPPER($I50)="Y",Rates!$B$7,IF(J50&gt;=21,Rates!$B$4,IF(J50&gt;=18,Rates!$B$5,Rates!$B$6))))</f>
        <v/>
      </c>
      <c r="L50" s="17">
        <f>IF($F50="","",IF($E50&lt;K50,"Uplift needed","OK"))</f>
        <v/>
      </c>
      <c r="M50" s="17">
        <f>IF($F50="","",IF(AND(J50&lt;21,DATEDIF($F50,Rates!$B$3,"Y")&gt;=21),"Turns 21",IF(AND(J50&lt;18,DATEDIF($F50,Rates!$B$3,"Y")&gt;=18),"Turns 18","")))</f>
        <v/>
      </c>
      <c r="N50" s="18">
        <f>IF($F50="","",MAX($E50,K50))</f>
        <v/>
      </c>
      <c r="O50" s="19">
        <f>IF($F50="","",ROUND($C50*N50/$E50,2))</f>
        <v/>
      </c>
      <c r="P50" s="19">
        <f>IF($F50="","",ROUND($D50*N50/$E50,2))</f>
        <v/>
      </c>
      <c r="Q50" s="19">
        <f>IF($F50="","",ROUND(P50-$D50,2))</f>
        <v/>
      </c>
      <c r="R50" s="19">
        <f>IF($F50="","",ROUND(Rates!$B$8*(MAX(0,P50-Rates!$B$9)-MAX(0,$D50-Rates!$B$9)),2))</f>
        <v/>
      </c>
      <c r="S50" s="19">
        <f>IF($F50="","",ROUND(Rates!$B$10*IF(Rates!$B$11="Full",P50-$D50,MAX(0,MIN(P50,Rates!$B$13)-Rates!$B$12)-MAX(0,MIN($D50,Rates!$B$13)-Rates!$B$12)),2))</f>
        <v/>
      </c>
      <c r="T50" s="19">
        <f>IF($F50="","",ROUND(Q50+R50+S50,2))</f>
        <v/>
      </c>
    </row>
    <row r="51">
      <c r="A51" s="13" t="n"/>
      <c r="B51" s="13" t="n"/>
      <c r="C51" s="14" t="n"/>
      <c r="D51" s="14" t="n"/>
      <c r="E51" s="15" t="n"/>
      <c r="F51" s="16" t="n"/>
      <c r="G51" s="13" t="n"/>
      <c r="H51" s="13" t="n"/>
      <c r="I51" s="13" t="n"/>
      <c r="J51" s="17">
        <f>IF($F51="","",DATEDIF($F51,Rates!$B$2,"Y"))</f>
        <v/>
      </c>
      <c r="K51" s="18">
        <f>IF($F51="","",IF(UPPER($I51)="Y",Rates!$B$7,IF(J51&gt;=21,Rates!$B$4,IF(J51&gt;=18,Rates!$B$5,Rates!$B$6))))</f>
        <v/>
      </c>
      <c r="L51" s="17">
        <f>IF($F51="","",IF($E51&lt;K51,"Uplift needed","OK"))</f>
        <v/>
      </c>
      <c r="M51" s="17">
        <f>IF($F51="","",IF(AND(J51&lt;21,DATEDIF($F51,Rates!$B$3,"Y")&gt;=21),"Turns 21",IF(AND(J51&lt;18,DATEDIF($F51,Rates!$B$3,"Y")&gt;=18),"Turns 18","")))</f>
        <v/>
      </c>
      <c r="N51" s="18">
        <f>IF($F51="","",MAX($E51,K51))</f>
        <v/>
      </c>
      <c r="O51" s="19">
        <f>IF($F51="","",ROUND($C51*N51/$E51,2))</f>
        <v/>
      </c>
      <c r="P51" s="19">
        <f>IF($F51="","",ROUND($D51*N51/$E51,2))</f>
        <v/>
      </c>
      <c r="Q51" s="19">
        <f>IF($F51="","",ROUND(P51-$D51,2))</f>
        <v/>
      </c>
      <c r="R51" s="19">
        <f>IF($F51="","",ROUND(Rates!$B$8*(MAX(0,P51-Rates!$B$9)-MAX(0,$D51-Rates!$B$9)),2))</f>
        <v/>
      </c>
      <c r="S51" s="19">
        <f>IF($F51="","",ROUND(Rates!$B$10*IF(Rates!$B$11="Full",P51-$D51,MAX(0,MIN(P51,Rates!$B$13)-Rates!$B$12)-MAX(0,MIN($D51,Rates!$B$13)-Rates!$B$12)),2))</f>
        <v/>
      </c>
      <c r="T51" s="19">
        <f>IF($F51="","",ROUND(Q51+R51+S51,2))</f>
        <v/>
      </c>
    </row>
    <row r="52">
      <c r="A52" s="13" t="n"/>
      <c r="B52" s="13" t="n"/>
      <c r="C52" s="14" t="n"/>
      <c r="D52" s="14" t="n"/>
      <c r="E52" s="15" t="n"/>
      <c r="F52" s="16" t="n"/>
      <c r="G52" s="13" t="n"/>
      <c r="H52" s="13" t="n"/>
      <c r="I52" s="13" t="n"/>
      <c r="J52" s="17">
        <f>IF($F52="","",DATEDIF($F52,Rates!$B$2,"Y"))</f>
        <v/>
      </c>
      <c r="K52" s="18">
        <f>IF($F52="","",IF(UPPER($I52)="Y",Rates!$B$7,IF(J52&gt;=21,Rates!$B$4,IF(J52&gt;=18,Rates!$B$5,Rates!$B$6))))</f>
        <v/>
      </c>
      <c r="L52" s="17">
        <f>IF($F52="","",IF($E52&lt;K52,"Uplift needed","OK"))</f>
        <v/>
      </c>
      <c r="M52" s="17">
        <f>IF($F52="","",IF(AND(J52&lt;21,DATEDIF($F52,Rates!$B$3,"Y")&gt;=21),"Turns 21",IF(AND(J52&lt;18,DATEDIF($F52,Rates!$B$3,"Y")&gt;=18),"Turns 18","")))</f>
        <v/>
      </c>
      <c r="N52" s="18">
        <f>IF($F52="","",MAX($E52,K52))</f>
        <v/>
      </c>
      <c r="O52" s="19">
        <f>IF($F52="","",ROUND($C52*N52/$E52,2))</f>
        <v/>
      </c>
      <c r="P52" s="19">
        <f>IF($F52="","",ROUND($D52*N52/$E52,2))</f>
        <v/>
      </c>
      <c r="Q52" s="19">
        <f>IF($F52="","",ROUND(P52-$D52,2))</f>
        <v/>
      </c>
      <c r="R52" s="19">
        <f>IF($F52="","",ROUND(Rates!$B$8*(MAX(0,P52-Rates!$B$9)-MAX(0,$D52-Rates!$B$9)),2))</f>
        <v/>
      </c>
      <c r="S52" s="19">
        <f>IF($F52="","",ROUND(Rates!$B$10*IF(Rates!$B$11="Full",P52-$D52,MAX(0,MIN(P52,Rates!$B$13)-Rates!$B$12)-MAX(0,MIN($D52,Rates!$B$13)-Rates!$B$12)),2))</f>
        <v/>
      </c>
      <c r="T52" s="19">
        <f>IF($F52="","",ROUND(Q52+R52+S52,2))</f>
        <v/>
      </c>
    </row>
    <row r="53">
      <c r="A53" s="13" t="n"/>
      <c r="B53" s="13" t="n"/>
      <c r="C53" s="14" t="n"/>
      <c r="D53" s="14" t="n"/>
      <c r="E53" s="15" t="n"/>
      <c r="F53" s="16" t="n"/>
      <c r="G53" s="13" t="n"/>
      <c r="H53" s="13" t="n"/>
      <c r="I53" s="13" t="n"/>
      <c r="J53" s="17">
        <f>IF($F53="","",DATEDIF($F53,Rates!$B$2,"Y"))</f>
        <v/>
      </c>
      <c r="K53" s="18">
        <f>IF($F53="","",IF(UPPER($I53)="Y",Rates!$B$7,IF(J53&gt;=21,Rates!$B$4,IF(J53&gt;=18,Rates!$B$5,Rates!$B$6))))</f>
        <v/>
      </c>
      <c r="L53" s="17">
        <f>IF($F53="","",IF($E53&lt;K53,"Uplift needed","OK"))</f>
        <v/>
      </c>
      <c r="M53" s="17">
        <f>IF($F53="","",IF(AND(J53&lt;21,DATEDIF($F53,Rates!$B$3,"Y")&gt;=21),"Turns 21",IF(AND(J53&lt;18,DATEDIF($F53,Rates!$B$3,"Y")&gt;=18),"Turns 18","")))</f>
        <v/>
      </c>
      <c r="N53" s="18">
        <f>IF($F53="","",MAX($E53,K53))</f>
        <v/>
      </c>
      <c r="O53" s="19">
        <f>IF($F53="","",ROUND($C53*N53/$E53,2))</f>
        <v/>
      </c>
      <c r="P53" s="19">
        <f>IF($F53="","",ROUND($D53*N53/$E53,2))</f>
        <v/>
      </c>
      <c r="Q53" s="19">
        <f>IF($F53="","",ROUND(P53-$D53,2))</f>
        <v/>
      </c>
      <c r="R53" s="19">
        <f>IF($F53="","",ROUND(Rates!$B$8*(MAX(0,P53-Rates!$B$9)-MAX(0,$D53-Rates!$B$9)),2))</f>
        <v/>
      </c>
      <c r="S53" s="19">
        <f>IF($F53="","",ROUND(Rates!$B$10*IF(Rates!$B$11="Full",P53-$D53,MAX(0,MIN(P53,Rates!$B$13)-Rates!$B$12)-MAX(0,MIN($D53,Rates!$B$13)-Rates!$B$12)),2))</f>
        <v/>
      </c>
      <c r="T53" s="19">
        <f>IF($F53="","",ROUND(Q53+R53+S53,2))</f>
        <v/>
      </c>
    </row>
    <row r="54">
      <c r="A54" s="13" t="n"/>
      <c r="B54" s="13" t="n"/>
      <c r="C54" s="14" t="n"/>
      <c r="D54" s="14" t="n"/>
      <c r="E54" s="15" t="n"/>
      <c r="F54" s="16" t="n"/>
      <c r="G54" s="13" t="n"/>
      <c r="H54" s="13" t="n"/>
      <c r="I54" s="13" t="n"/>
      <c r="J54" s="17">
        <f>IF($F54="","",DATEDIF($F54,Rates!$B$2,"Y"))</f>
        <v/>
      </c>
      <c r="K54" s="18">
        <f>IF($F54="","",IF(UPPER($I54)="Y",Rates!$B$7,IF(J54&gt;=21,Rates!$B$4,IF(J54&gt;=18,Rates!$B$5,Rates!$B$6))))</f>
        <v/>
      </c>
      <c r="L54" s="17">
        <f>IF($F54="","",IF($E54&lt;K54,"Uplift needed","OK"))</f>
        <v/>
      </c>
      <c r="M54" s="17">
        <f>IF($F54="","",IF(AND(J54&lt;21,DATEDIF($F54,Rates!$B$3,"Y")&gt;=21),"Turns 21",IF(AND(J54&lt;18,DATEDIF($F54,Rates!$B$3,"Y")&gt;=18),"Turns 18","")))</f>
        <v/>
      </c>
      <c r="N54" s="18">
        <f>IF($F54="","",MAX($E54,K54))</f>
        <v/>
      </c>
      <c r="O54" s="19">
        <f>IF($F54="","",ROUND($C54*N54/$E54,2))</f>
        <v/>
      </c>
      <c r="P54" s="19">
        <f>IF($F54="","",ROUND($D54*N54/$E54,2))</f>
        <v/>
      </c>
      <c r="Q54" s="19">
        <f>IF($F54="","",ROUND(P54-$D54,2))</f>
        <v/>
      </c>
      <c r="R54" s="19">
        <f>IF($F54="","",ROUND(Rates!$B$8*(MAX(0,P54-Rates!$B$9)-MAX(0,$D54-Rates!$B$9)),2))</f>
        <v/>
      </c>
      <c r="S54" s="19">
        <f>IF($F54="","",ROUND(Rates!$B$10*IF(Rates!$B$11="Full",P54-$D54,MAX(0,MIN(P54,Rates!$B$13)-Rates!$B$12)-MAX(0,MIN($D54,Rates!$B$13)-Rates!$B$12)),2))</f>
        <v/>
      </c>
      <c r="T54" s="19">
        <f>IF($F54="","",ROUND(Q54+R54+S54,2))</f>
        <v/>
      </c>
    </row>
    <row r="55">
      <c r="A55" s="13" t="n"/>
      <c r="B55" s="13" t="n"/>
      <c r="C55" s="14" t="n"/>
      <c r="D55" s="14" t="n"/>
      <c r="E55" s="15" t="n"/>
      <c r="F55" s="16" t="n"/>
      <c r="G55" s="13" t="n"/>
      <c r="H55" s="13" t="n"/>
      <c r="I55" s="13" t="n"/>
      <c r="J55" s="17">
        <f>IF($F55="","",DATEDIF($F55,Rates!$B$2,"Y"))</f>
        <v/>
      </c>
      <c r="K55" s="18">
        <f>IF($F55="","",IF(UPPER($I55)="Y",Rates!$B$7,IF(J55&gt;=21,Rates!$B$4,IF(J55&gt;=18,Rates!$B$5,Rates!$B$6))))</f>
        <v/>
      </c>
      <c r="L55" s="17">
        <f>IF($F55="","",IF($E55&lt;K55,"Uplift needed","OK"))</f>
        <v/>
      </c>
      <c r="M55" s="17">
        <f>IF($F55="","",IF(AND(J55&lt;21,DATEDIF($F55,Rates!$B$3,"Y")&gt;=21),"Turns 21",IF(AND(J55&lt;18,DATEDIF($F55,Rates!$B$3,"Y")&gt;=18),"Turns 18","")))</f>
        <v/>
      </c>
      <c r="N55" s="18">
        <f>IF($F55="","",MAX($E55,K55))</f>
        <v/>
      </c>
      <c r="O55" s="19">
        <f>IF($F55="","",ROUND($C55*N55/$E55,2))</f>
        <v/>
      </c>
      <c r="P55" s="19">
        <f>IF($F55="","",ROUND($D55*N55/$E55,2))</f>
        <v/>
      </c>
      <c r="Q55" s="19">
        <f>IF($F55="","",ROUND(P55-$D55,2))</f>
        <v/>
      </c>
      <c r="R55" s="19">
        <f>IF($F55="","",ROUND(Rates!$B$8*(MAX(0,P55-Rates!$B$9)-MAX(0,$D55-Rates!$B$9)),2))</f>
        <v/>
      </c>
      <c r="S55" s="19">
        <f>IF($F55="","",ROUND(Rates!$B$10*IF(Rates!$B$11="Full",P55-$D55,MAX(0,MIN(P55,Rates!$B$13)-Rates!$B$12)-MAX(0,MIN($D55,Rates!$B$13)-Rates!$B$12)),2))</f>
        <v/>
      </c>
      <c r="T55" s="19">
        <f>IF($F55="","",ROUND(Q55+R55+S55,2))</f>
        <v/>
      </c>
    </row>
    <row r="56">
      <c r="A56" s="13" t="n"/>
      <c r="B56" s="13" t="n"/>
      <c r="C56" s="14" t="n"/>
      <c r="D56" s="14" t="n"/>
      <c r="E56" s="15" t="n"/>
      <c r="F56" s="16" t="n"/>
      <c r="G56" s="13" t="n"/>
      <c r="H56" s="13" t="n"/>
      <c r="I56" s="13" t="n"/>
      <c r="J56" s="17">
        <f>IF($F56="","",DATEDIF($F56,Rates!$B$2,"Y"))</f>
        <v/>
      </c>
      <c r="K56" s="18">
        <f>IF($F56="","",IF(UPPER($I56)="Y",Rates!$B$7,IF(J56&gt;=21,Rates!$B$4,IF(J56&gt;=18,Rates!$B$5,Rates!$B$6))))</f>
        <v/>
      </c>
      <c r="L56" s="17">
        <f>IF($F56="","",IF($E56&lt;K56,"Uplift needed","OK"))</f>
        <v/>
      </c>
      <c r="M56" s="17">
        <f>IF($F56="","",IF(AND(J56&lt;21,DATEDIF($F56,Rates!$B$3,"Y")&gt;=21),"Turns 21",IF(AND(J56&lt;18,DATEDIF($F56,Rates!$B$3,"Y")&gt;=18),"Turns 18","")))</f>
        <v/>
      </c>
      <c r="N56" s="18">
        <f>IF($F56="","",MAX($E56,K56))</f>
        <v/>
      </c>
      <c r="O56" s="19">
        <f>IF($F56="","",ROUND($C56*N56/$E56,2))</f>
        <v/>
      </c>
      <c r="P56" s="19">
        <f>IF($F56="","",ROUND($D56*N56/$E56,2))</f>
        <v/>
      </c>
      <c r="Q56" s="19">
        <f>IF($F56="","",ROUND(P56-$D56,2))</f>
        <v/>
      </c>
      <c r="R56" s="19">
        <f>IF($F56="","",ROUND(Rates!$B$8*(MAX(0,P56-Rates!$B$9)-MAX(0,$D56-Rates!$B$9)),2))</f>
        <v/>
      </c>
      <c r="S56" s="19">
        <f>IF($F56="","",ROUND(Rates!$B$10*IF(Rates!$B$11="Full",P56-$D56,MAX(0,MIN(P56,Rates!$B$13)-Rates!$B$12)-MAX(0,MIN($D56,Rates!$B$13)-Rates!$B$12)),2))</f>
        <v/>
      </c>
      <c r="T56" s="19">
        <f>IF($F56="","",ROUND(Q56+R56+S56,2))</f>
        <v/>
      </c>
    </row>
    <row r="57">
      <c r="A57" s="13" t="n"/>
      <c r="B57" s="13" t="n"/>
      <c r="C57" s="14" t="n"/>
      <c r="D57" s="14" t="n"/>
      <c r="E57" s="15" t="n"/>
      <c r="F57" s="16" t="n"/>
      <c r="G57" s="13" t="n"/>
      <c r="H57" s="13" t="n"/>
      <c r="I57" s="13" t="n"/>
      <c r="J57" s="17">
        <f>IF($F57="","",DATEDIF($F57,Rates!$B$2,"Y"))</f>
        <v/>
      </c>
      <c r="K57" s="18">
        <f>IF($F57="","",IF(UPPER($I57)="Y",Rates!$B$7,IF(J57&gt;=21,Rates!$B$4,IF(J57&gt;=18,Rates!$B$5,Rates!$B$6))))</f>
        <v/>
      </c>
      <c r="L57" s="17">
        <f>IF($F57="","",IF($E57&lt;K57,"Uplift needed","OK"))</f>
        <v/>
      </c>
      <c r="M57" s="17">
        <f>IF($F57="","",IF(AND(J57&lt;21,DATEDIF($F57,Rates!$B$3,"Y")&gt;=21),"Turns 21",IF(AND(J57&lt;18,DATEDIF($F57,Rates!$B$3,"Y")&gt;=18),"Turns 18","")))</f>
        <v/>
      </c>
      <c r="N57" s="18">
        <f>IF($F57="","",MAX($E57,K57))</f>
        <v/>
      </c>
      <c r="O57" s="19">
        <f>IF($F57="","",ROUND($C57*N57/$E57,2))</f>
        <v/>
      </c>
      <c r="P57" s="19">
        <f>IF($F57="","",ROUND($D57*N57/$E57,2))</f>
        <v/>
      </c>
      <c r="Q57" s="19">
        <f>IF($F57="","",ROUND(P57-$D57,2))</f>
        <v/>
      </c>
      <c r="R57" s="19">
        <f>IF($F57="","",ROUND(Rates!$B$8*(MAX(0,P57-Rates!$B$9)-MAX(0,$D57-Rates!$B$9)),2))</f>
        <v/>
      </c>
      <c r="S57" s="19">
        <f>IF($F57="","",ROUND(Rates!$B$10*IF(Rates!$B$11="Full",P57-$D57,MAX(0,MIN(P57,Rates!$B$13)-Rates!$B$12)-MAX(0,MIN($D57,Rates!$B$13)-Rates!$B$12)),2))</f>
        <v/>
      </c>
      <c r="T57" s="19">
        <f>IF($F57="","",ROUND(Q57+R57+S57,2))</f>
        <v/>
      </c>
    </row>
    <row r="58">
      <c r="A58" s="13" t="n"/>
      <c r="B58" s="13" t="n"/>
      <c r="C58" s="14" t="n"/>
      <c r="D58" s="14" t="n"/>
      <c r="E58" s="15" t="n"/>
      <c r="F58" s="16" t="n"/>
      <c r="G58" s="13" t="n"/>
      <c r="H58" s="13" t="n"/>
      <c r="I58" s="13" t="n"/>
      <c r="J58" s="17">
        <f>IF($F58="","",DATEDIF($F58,Rates!$B$2,"Y"))</f>
        <v/>
      </c>
      <c r="K58" s="18">
        <f>IF($F58="","",IF(UPPER($I58)="Y",Rates!$B$7,IF(J58&gt;=21,Rates!$B$4,IF(J58&gt;=18,Rates!$B$5,Rates!$B$6))))</f>
        <v/>
      </c>
      <c r="L58" s="17">
        <f>IF($F58="","",IF($E58&lt;K58,"Uplift needed","OK"))</f>
        <v/>
      </c>
      <c r="M58" s="17">
        <f>IF($F58="","",IF(AND(J58&lt;21,DATEDIF($F58,Rates!$B$3,"Y")&gt;=21),"Turns 21",IF(AND(J58&lt;18,DATEDIF($F58,Rates!$B$3,"Y")&gt;=18),"Turns 18","")))</f>
        <v/>
      </c>
      <c r="N58" s="18">
        <f>IF($F58="","",MAX($E58,K58))</f>
        <v/>
      </c>
      <c r="O58" s="19">
        <f>IF($F58="","",ROUND($C58*N58/$E58,2))</f>
        <v/>
      </c>
      <c r="P58" s="19">
        <f>IF($F58="","",ROUND($D58*N58/$E58,2))</f>
        <v/>
      </c>
      <c r="Q58" s="19">
        <f>IF($F58="","",ROUND(P58-$D58,2))</f>
        <v/>
      </c>
      <c r="R58" s="19">
        <f>IF($F58="","",ROUND(Rates!$B$8*(MAX(0,P58-Rates!$B$9)-MAX(0,$D58-Rates!$B$9)),2))</f>
        <v/>
      </c>
      <c r="S58" s="19">
        <f>IF($F58="","",ROUND(Rates!$B$10*IF(Rates!$B$11="Full",P58-$D58,MAX(0,MIN(P58,Rates!$B$13)-Rates!$B$12)-MAX(0,MIN($D58,Rates!$B$13)-Rates!$B$12)),2))</f>
        <v/>
      </c>
      <c r="T58" s="19">
        <f>IF($F58="","",ROUND(Q58+R58+S58,2))</f>
        <v/>
      </c>
    </row>
    <row r="59">
      <c r="A59" s="13" t="n"/>
      <c r="B59" s="13" t="n"/>
      <c r="C59" s="14" t="n"/>
      <c r="D59" s="14" t="n"/>
      <c r="E59" s="15" t="n"/>
      <c r="F59" s="16" t="n"/>
      <c r="G59" s="13" t="n"/>
      <c r="H59" s="13" t="n"/>
      <c r="I59" s="13" t="n"/>
      <c r="J59" s="17">
        <f>IF($F59="","",DATEDIF($F59,Rates!$B$2,"Y"))</f>
        <v/>
      </c>
      <c r="K59" s="18">
        <f>IF($F59="","",IF(UPPER($I59)="Y",Rates!$B$7,IF(J59&gt;=21,Rates!$B$4,IF(J59&gt;=18,Rates!$B$5,Rates!$B$6))))</f>
        <v/>
      </c>
      <c r="L59" s="17">
        <f>IF($F59="","",IF($E59&lt;K59,"Uplift needed","OK"))</f>
        <v/>
      </c>
      <c r="M59" s="17">
        <f>IF($F59="","",IF(AND(J59&lt;21,DATEDIF($F59,Rates!$B$3,"Y")&gt;=21),"Turns 21",IF(AND(J59&lt;18,DATEDIF($F59,Rates!$B$3,"Y")&gt;=18),"Turns 18","")))</f>
        <v/>
      </c>
      <c r="N59" s="18">
        <f>IF($F59="","",MAX($E59,K59))</f>
        <v/>
      </c>
      <c r="O59" s="19">
        <f>IF($F59="","",ROUND($C59*N59/$E59,2))</f>
        <v/>
      </c>
      <c r="P59" s="19">
        <f>IF($F59="","",ROUND($D59*N59/$E59,2))</f>
        <v/>
      </c>
      <c r="Q59" s="19">
        <f>IF($F59="","",ROUND(P59-$D59,2))</f>
        <v/>
      </c>
      <c r="R59" s="19">
        <f>IF($F59="","",ROUND(Rates!$B$8*(MAX(0,P59-Rates!$B$9)-MAX(0,$D59-Rates!$B$9)),2))</f>
        <v/>
      </c>
      <c r="S59" s="19">
        <f>IF($F59="","",ROUND(Rates!$B$10*IF(Rates!$B$11="Full",P59-$D59,MAX(0,MIN(P59,Rates!$B$13)-Rates!$B$12)-MAX(0,MIN($D59,Rates!$B$13)-Rates!$B$12)),2))</f>
        <v/>
      </c>
      <c r="T59" s="19">
        <f>IF($F59="","",ROUND(Q59+R59+S59,2))</f>
        <v/>
      </c>
    </row>
    <row r="60">
      <c r="A60" s="13" t="n"/>
      <c r="B60" s="13" t="n"/>
      <c r="C60" s="14" t="n"/>
      <c r="D60" s="14" t="n"/>
      <c r="E60" s="15" t="n"/>
      <c r="F60" s="16" t="n"/>
      <c r="G60" s="13" t="n"/>
      <c r="H60" s="13" t="n"/>
      <c r="I60" s="13" t="n"/>
      <c r="J60" s="17">
        <f>IF($F60="","",DATEDIF($F60,Rates!$B$2,"Y"))</f>
        <v/>
      </c>
      <c r="K60" s="18">
        <f>IF($F60="","",IF(UPPER($I60)="Y",Rates!$B$7,IF(J60&gt;=21,Rates!$B$4,IF(J60&gt;=18,Rates!$B$5,Rates!$B$6))))</f>
        <v/>
      </c>
      <c r="L60" s="17">
        <f>IF($F60="","",IF($E60&lt;K60,"Uplift needed","OK"))</f>
        <v/>
      </c>
      <c r="M60" s="17">
        <f>IF($F60="","",IF(AND(J60&lt;21,DATEDIF($F60,Rates!$B$3,"Y")&gt;=21),"Turns 21",IF(AND(J60&lt;18,DATEDIF($F60,Rates!$B$3,"Y")&gt;=18),"Turns 18","")))</f>
        <v/>
      </c>
      <c r="N60" s="18">
        <f>IF($F60="","",MAX($E60,K60))</f>
        <v/>
      </c>
      <c r="O60" s="19">
        <f>IF($F60="","",ROUND($C60*N60/$E60,2))</f>
        <v/>
      </c>
      <c r="P60" s="19">
        <f>IF($F60="","",ROUND($D60*N60/$E60,2))</f>
        <v/>
      </c>
      <c r="Q60" s="19">
        <f>IF($F60="","",ROUND(P60-$D60,2))</f>
        <v/>
      </c>
      <c r="R60" s="19">
        <f>IF($F60="","",ROUND(Rates!$B$8*(MAX(0,P60-Rates!$B$9)-MAX(0,$D60-Rates!$B$9)),2))</f>
        <v/>
      </c>
      <c r="S60" s="19">
        <f>IF($F60="","",ROUND(Rates!$B$10*IF(Rates!$B$11="Full",P60-$D60,MAX(0,MIN(P60,Rates!$B$13)-Rates!$B$12)-MAX(0,MIN($D60,Rates!$B$13)-Rates!$B$12)),2))</f>
        <v/>
      </c>
      <c r="T60" s="19">
        <f>IF($F60="","",ROUND(Q60+R60+S60,2))</f>
        <v/>
      </c>
    </row>
    <row r="61">
      <c r="A61" s="13" t="n"/>
      <c r="B61" s="13" t="n"/>
      <c r="C61" s="14" t="n"/>
      <c r="D61" s="14" t="n"/>
      <c r="E61" s="15" t="n"/>
      <c r="F61" s="16" t="n"/>
      <c r="G61" s="13" t="n"/>
      <c r="H61" s="13" t="n"/>
      <c r="I61" s="13" t="n"/>
      <c r="J61" s="17">
        <f>IF($F61="","",DATEDIF($F61,Rates!$B$2,"Y"))</f>
        <v/>
      </c>
      <c r="K61" s="18">
        <f>IF($F61="","",IF(UPPER($I61)="Y",Rates!$B$7,IF(J61&gt;=21,Rates!$B$4,IF(J61&gt;=18,Rates!$B$5,Rates!$B$6))))</f>
        <v/>
      </c>
      <c r="L61" s="17">
        <f>IF($F61="","",IF($E61&lt;K61,"Uplift needed","OK"))</f>
        <v/>
      </c>
      <c r="M61" s="17">
        <f>IF($F61="","",IF(AND(J61&lt;21,DATEDIF($F61,Rates!$B$3,"Y")&gt;=21),"Turns 21",IF(AND(J61&lt;18,DATEDIF($F61,Rates!$B$3,"Y")&gt;=18),"Turns 18","")))</f>
        <v/>
      </c>
      <c r="N61" s="18">
        <f>IF($F61="","",MAX($E61,K61))</f>
        <v/>
      </c>
      <c r="O61" s="19">
        <f>IF($F61="","",ROUND($C61*N61/$E61,2))</f>
        <v/>
      </c>
      <c r="P61" s="19">
        <f>IF($F61="","",ROUND($D61*N61/$E61,2))</f>
        <v/>
      </c>
      <c r="Q61" s="19">
        <f>IF($F61="","",ROUND(P61-$D61,2))</f>
        <v/>
      </c>
      <c r="R61" s="19">
        <f>IF($F61="","",ROUND(Rates!$B$8*(MAX(0,P61-Rates!$B$9)-MAX(0,$D61-Rates!$B$9)),2))</f>
        <v/>
      </c>
      <c r="S61" s="19">
        <f>IF($F61="","",ROUND(Rates!$B$10*IF(Rates!$B$11="Full",P61-$D61,MAX(0,MIN(P61,Rates!$B$13)-Rates!$B$12)-MAX(0,MIN($D61,Rates!$B$13)-Rates!$B$12)),2))</f>
        <v/>
      </c>
      <c r="T61" s="19">
        <f>IF($F61="","",ROUND(Q61+R61+S61,2))</f>
        <v/>
      </c>
    </row>
    <row r="62">
      <c r="A62" s="13" t="n"/>
      <c r="B62" s="13" t="n"/>
      <c r="C62" s="14" t="n"/>
      <c r="D62" s="14" t="n"/>
      <c r="E62" s="15" t="n"/>
      <c r="F62" s="16" t="n"/>
      <c r="G62" s="13" t="n"/>
      <c r="H62" s="13" t="n"/>
      <c r="I62" s="13" t="n"/>
      <c r="J62" s="17">
        <f>IF($F62="","",DATEDIF($F62,Rates!$B$2,"Y"))</f>
        <v/>
      </c>
      <c r="K62" s="18">
        <f>IF($F62="","",IF(UPPER($I62)="Y",Rates!$B$7,IF(J62&gt;=21,Rates!$B$4,IF(J62&gt;=18,Rates!$B$5,Rates!$B$6))))</f>
        <v/>
      </c>
      <c r="L62" s="17">
        <f>IF($F62="","",IF($E62&lt;K62,"Uplift needed","OK"))</f>
        <v/>
      </c>
      <c r="M62" s="17">
        <f>IF($F62="","",IF(AND(J62&lt;21,DATEDIF($F62,Rates!$B$3,"Y")&gt;=21),"Turns 21",IF(AND(J62&lt;18,DATEDIF($F62,Rates!$B$3,"Y")&gt;=18),"Turns 18","")))</f>
        <v/>
      </c>
      <c r="N62" s="18">
        <f>IF($F62="","",MAX($E62,K62))</f>
        <v/>
      </c>
      <c r="O62" s="19">
        <f>IF($F62="","",ROUND($C62*N62/$E62,2))</f>
        <v/>
      </c>
      <c r="P62" s="19">
        <f>IF($F62="","",ROUND($D62*N62/$E62,2))</f>
        <v/>
      </c>
      <c r="Q62" s="19">
        <f>IF($F62="","",ROUND(P62-$D62,2))</f>
        <v/>
      </c>
      <c r="R62" s="19">
        <f>IF($F62="","",ROUND(Rates!$B$8*(MAX(0,P62-Rates!$B$9)-MAX(0,$D62-Rates!$B$9)),2))</f>
        <v/>
      </c>
      <c r="S62" s="19">
        <f>IF($F62="","",ROUND(Rates!$B$10*IF(Rates!$B$11="Full",P62-$D62,MAX(0,MIN(P62,Rates!$B$13)-Rates!$B$12)-MAX(0,MIN($D62,Rates!$B$13)-Rates!$B$12)),2))</f>
        <v/>
      </c>
      <c r="T62" s="19">
        <f>IF($F62="","",ROUND(Q62+R62+S62,2))</f>
        <v/>
      </c>
    </row>
    <row r="63">
      <c r="A63" s="13" t="n"/>
      <c r="B63" s="13" t="n"/>
      <c r="C63" s="14" t="n"/>
      <c r="D63" s="14" t="n"/>
      <c r="E63" s="15" t="n"/>
      <c r="F63" s="16" t="n"/>
      <c r="G63" s="13" t="n"/>
      <c r="H63" s="13" t="n"/>
      <c r="I63" s="13" t="n"/>
      <c r="J63" s="17">
        <f>IF($F63="","",DATEDIF($F63,Rates!$B$2,"Y"))</f>
        <v/>
      </c>
      <c r="K63" s="18">
        <f>IF($F63="","",IF(UPPER($I63)="Y",Rates!$B$7,IF(J63&gt;=21,Rates!$B$4,IF(J63&gt;=18,Rates!$B$5,Rates!$B$6))))</f>
        <v/>
      </c>
      <c r="L63" s="17">
        <f>IF($F63="","",IF($E63&lt;K63,"Uplift needed","OK"))</f>
        <v/>
      </c>
      <c r="M63" s="17">
        <f>IF($F63="","",IF(AND(J63&lt;21,DATEDIF($F63,Rates!$B$3,"Y")&gt;=21),"Turns 21",IF(AND(J63&lt;18,DATEDIF($F63,Rates!$B$3,"Y")&gt;=18),"Turns 18","")))</f>
        <v/>
      </c>
      <c r="N63" s="18">
        <f>IF($F63="","",MAX($E63,K63))</f>
        <v/>
      </c>
      <c r="O63" s="19">
        <f>IF($F63="","",ROUND($C63*N63/$E63,2))</f>
        <v/>
      </c>
      <c r="P63" s="19">
        <f>IF($F63="","",ROUND($D63*N63/$E63,2))</f>
        <v/>
      </c>
      <c r="Q63" s="19">
        <f>IF($F63="","",ROUND(P63-$D63,2))</f>
        <v/>
      </c>
      <c r="R63" s="19">
        <f>IF($F63="","",ROUND(Rates!$B$8*(MAX(0,P63-Rates!$B$9)-MAX(0,$D63-Rates!$B$9)),2))</f>
        <v/>
      </c>
      <c r="S63" s="19">
        <f>IF($F63="","",ROUND(Rates!$B$10*IF(Rates!$B$11="Full",P63-$D63,MAX(0,MIN(P63,Rates!$B$13)-Rates!$B$12)-MAX(0,MIN($D63,Rates!$B$13)-Rates!$B$12)),2))</f>
        <v/>
      </c>
      <c r="T63" s="19">
        <f>IF($F63="","",ROUND(Q63+R63+S63,2))</f>
        <v/>
      </c>
    </row>
    <row r="64">
      <c r="A64" s="13" t="n"/>
      <c r="B64" s="13" t="n"/>
      <c r="C64" s="14" t="n"/>
      <c r="D64" s="14" t="n"/>
      <c r="E64" s="15" t="n"/>
      <c r="F64" s="16" t="n"/>
      <c r="G64" s="13" t="n"/>
      <c r="H64" s="13" t="n"/>
      <c r="I64" s="13" t="n"/>
      <c r="J64" s="17">
        <f>IF($F64="","",DATEDIF($F64,Rates!$B$2,"Y"))</f>
        <v/>
      </c>
      <c r="K64" s="18">
        <f>IF($F64="","",IF(UPPER($I64)="Y",Rates!$B$7,IF(J64&gt;=21,Rates!$B$4,IF(J64&gt;=18,Rates!$B$5,Rates!$B$6))))</f>
        <v/>
      </c>
      <c r="L64" s="17">
        <f>IF($F64="","",IF($E64&lt;K64,"Uplift needed","OK"))</f>
        <v/>
      </c>
      <c r="M64" s="17">
        <f>IF($F64="","",IF(AND(J64&lt;21,DATEDIF($F64,Rates!$B$3,"Y")&gt;=21),"Turns 21",IF(AND(J64&lt;18,DATEDIF($F64,Rates!$B$3,"Y")&gt;=18),"Turns 18","")))</f>
        <v/>
      </c>
      <c r="N64" s="18">
        <f>IF($F64="","",MAX($E64,K64))</f>
        <v/>
      </c>
      <c r="O64" s="19">
        <f>IF($F64="","",ROUND($C64*N64/$E64,2))</f>
        <v/>
      </c>
      <c r="P64" s="19">
        <f>IF($F64="","",ROUND($D64*N64/$E64,2))</f>
        <v/>
      </c>
      <c r="Q64" s="19">
        <f>IF($F64="","",ROUND(P64-$D64,2))</f>
        <v/>
      </c>
      <c r="R64" s="19">
        <f>IF($F64="","",ROUND(Rates!$B$8*(MAX(0,P64-Rates!$B$9)-MAX(0,$D64-Rates!$B$9)),2))</f>
        <v/>
      </c>
      <c r="S64" s="19">
        <f>IF($F64="","",ROUND(Rates!$B$10*IF(Rates!$B$11="Full",P64-$D64,MAX(0,MIN(P64,Rates!$B$13)-Rates!$B$12)-MAX(0,MIN($D64,Rates!$B$13)-Rates!$B$12)),2))</f>
        <v/>
      </c>
      <c r="T64" s="19">
        <f>IF($F64="","",ROUND(Q64+R64+S64,2))</f>
        <v/>
      </c>
    </row>
    <row r="65">
      <c r="A65" s="13" t="n"/>
      <c r="B65" s="13" t="n"/>
      <c r="C65" s="14" t="n"/>
      <c r="D65" s="14" t="n"/>
      <c r="E65" s="15" t="n"/>
      <c r="F65" s="16" t="n"/>
      <c r="G65" s="13" t="n"/>
      <c r="H65" s="13" t="n"/>
      <c r="I65" s="13" t="n"/>
      <c r="J65" s="17">
        <f>IF($F65="","",DATEDIF($F65,Rates!$B$2,"Y"))</f>
        <v/>
      </c>
      <c r="K65" s="18">
        <f>IF($F65="","",IF(UPPER($I65)="Y",Rates!$B$7,IF(J65&gt;=21,Rates!$B$4,IF(J65&gt;=18,Rates!$B$5,Rates!$B$6))))</f>
        <v/>
      </c>
      <c r="L65" s="17">
        <f>IF($F65="","",IF($E65&lt;K65,"Uplift needed","OK"))</f>
        <v/>
      </c>
      <c r="M65" s="17">
        <f>IF($F65="","",IF(AND(J65&lt;21,DATEDIF($F65,Rates!$B$3,"Y")&gt;=21),"Turns 21",IF(AND(J65&lt;18,DATEDIF($F65,Rates!$B$3,"Y")&gt;=18),"Turns 18","")))</f>
        <v/>
      </c>
      <c r="N65" s="18">
        <f>IF($F65="","",MAX($E65,K65))</f>
        <v/>
      </c>
      <c r="O65" s="19">
        <f>IF($F65="","",ROUND($C65*N65/$E65,2))</f>
        <v/>
      </c>
      <c r="P65" s="19">
        <f>IF($F65="","",ROUND($D65*N65/$E65,2))</f>
        <v/>
      </c>
      <c r="Q65" s="19">
        <f>IF($F65="","",ROUND(P65-$D65,2))</f>
        <v/>
      </c>
      <c r="R65" s="19">
        <f>IF($F65="","",ROUND(Rates!$B$8*(MAX(0,P65-Rates!$B$9)-MAX(0,$D65-Rates!$B$9)),2))</f>
        <v/>
      </c>
      <c r="S65" s="19">
        <f>IF($F65="","",ROUND(Rates!$B$10*IF(Rates!$B$11="Full",P65-$D65,MAX(0,MIN(P65,Rates!$B$13)-Rates!$B$12)-MAX(0,MIN($D65,Rates!$B$13)-Rates!$B$12)),2))</f>
        <v/>
      </c>
      <c r="T65" s="19">
        <f>IF($F65="","",ROUND(Q65+R65+S65,2))</f>
        <v/>
      </c>
    </row>
    <row r="66">
      <c r="A66" s="13" t="n"/>
      <c r="B66" s="13" t="n"/>
      <c r="C66" s="14" t="n"/>
      <c r="D66" s="14" t="n"/>
      <c r="E66" s="15" t="n"/>
      <c r="F66" s="16" t="n"/>
      <c r="G66" s="13" t="n"/>
      <c r="H66" s="13" t="n"/>
      <c r="I66" s="13" t="n"/>
      <c r="J66" s="17">
        <f>IF($F66="","",DATEDIF($F66,Rates!$B$2,"Y"))</f>
        <v/>
      </c>
      <c r="K66" s="18">
        <f>IF($F66="","",IF(UPPER($I66)="Y",Rates!$B$7,IF(J66&gt;=21,Rates!$B$4,IF(J66&gt;=18,Rates!$B$5,Rates!$B$6))))</f>
        <v/>
      </c>
      <c r="L66" s="17">
        <f>IF($F66="","",IF($E66&lt;K66,"Uplift needed","OK"))</f>
        <v/>
      </c>
      <c r="M66" s="17">
        <f>IF($F66="","",IF(AND(J66&lt;21,DATEDIF($F66,Rates!$B$3,"Y")&gt;=21),"Turns 21",IF(AND(J66&lt;18,DATEDIF($F66,Rates!$B$3,"Y")&gt;=18),"Turns 18","")))</f>
        <v/>
      </c>
      <c r="N66" s="18">
        <f>IF($F66="","",MAX($E66,K66))</f>
        <v/>
      </c>
      <c r="O66" s="19">
        <f>IF($F66="","",ROUND($C66*N66/$E66,2))</f>
        <v/>
      </c>
      <c r="P66" s="19">
        <f>IF($F66="","",ROUND($D66*N66/$E66,2))</f>
        <v/>
      </c>
      <c r="Q66" s="19">
        <f>IF($F66="","",ROUND(P66-$D66,2))</f>
        <v/>
      </c>
      <c r="R66" s="19">
        <f>IF($F66="","",ROUND(Rates!$B$8*(MAX(0,P66-Rates!$B$9)-MAX(0,$D66-Rates!$B$9)),2))</f>
        <v/>
      </c>
      <c r="S66" s="19">
        <f>IF($F66="","",ROUND(Rates!$B$10*IF(Rates!$B$11="Full",P66-$D66,MAX(0,MIN(P66,Rates!$B$13)-Rates!$B$12)-MAX(0,MIN($D66,Rates!$B$13)-Rates!$B$12)),2))</f>
        <v/>
      </c>
      <c r="T66" s="19">
        <f>IF($F66="","",ROUND(Q66+R66+S66,2))</f>
        <v/>
      </c>
    </row>
    <row r="67">
      <c r="A67" s="13" t="n"/>
      <c r="B67" s="13" t="n"/>
      <c r="C67" s="14" t="n"/>
      <c r="D67" s="14" t="n"/>
      <c r="E67" s="15" t="n"/>
      <c r="F67" s="16" t="n"/>
      <c r="G67" s="13" t="n"/>
      <c r="H67" s="13" t="n"/>
      <c r="I67" s="13" t="n"/>
      <c r="J67" s="17">
        <f>IF($F67="","",DATEDIF($F67,Rates!$B$2,"Y"))</f>
        <v/>
      </c>
      <c r="K67" s="18">
        <f>IF($F67="","",IF(UPPER($I67)="Y",Rates!$B$7,IF(J67&gt;=21,Rates!$B$4,IF(J67&gt;=18,Rates!$B$5,Rates!$B$6))))</f>
        <v/>
      </c>
      <c r="L67" s="17">
        <f>IF($F67="","",IF($E67&lt;K67,"Uplift needed","OK"))</f>
        <v/>
      </c>
      <c r="M67" s="17">
        <f>IF($F67="","",IF(AND(J67&lt;21,DATEDIF($F67,Rates!$B$3,"Y")&gt;=21),"Turns 21",IF(AND(J67&lt;18,DATEDIF($F67,Rates!$B$3,"Y")&gt;=18),"Turns 18","")))</f>
        <v/>
      </c>
      <c r="N67" s="18">
        <f>IF($F67="","",MAX($E67,K67))</f>
        <v/>
      </c>
      <c r="O67" s="19">
        <f>IF($F67="","",ROUND($C67*N67/$E67,2))</f>
        <v/>
      </c>
      <c r="P67" s="19">
        <f>IF($F67="","",ROUND($D67*N67/$E67,2))</f>
        <v/>
      </c>
      <c r="Q67" s="19">
        <f>IF($F67="","",ROUND(P67-$D67,2))</f>
        <v/>
      </c>
      <c r="R67" s="19">
        <f>IF($F67="","",ROUND(Rates!$B$8*(MAX(0,P67-Rates!$B$9)-MAX(0,$D67-Rates!$B$9)),2))</f>
        <v/>
      </c>
      <c r="S67" s="19">
        <f>IF($F67="","",ROUND(Rates!$B$10*IF(Rates!$B$11="Full",P67-$D67,MAX(0,MIN(P67,Rates!$B$13)-Rates!$B$12)-MAX(0,MIN($D67,Rates!$B$13)-Rates!$B$12)),2))</f>
        <v/>
      </c>
      <c r="T67" s="19">
        <f>IF($F67="","",ROUND(Q67+R67+S67,2))</f>
        <v/>
      </c>
    </row>
    <row r="68">
      <c r="A68" s="13" t="n"/>
      <c r="B68" s="13" t="n"/>
      <c r="C68" s="14" t="n"/>
      <c r="D68" s="14" t="n"/>
      <c r="E68" s="15" t="n"/>
      <c r="F68" s="16" t="n"/>
      <c r="G68" s="13" t="n"/>
      <c r="H68" s="13" t="n"/>
      <c r="I68" s="13" t="n"/>
      <c r="J68" s="17">
        <f>IF($F68="","",DATEDIF($F68,Rates!$B$2,"Y"))</f>
        <v/>
      </c>
      <c r="K68" s="18">
        <f>IF($F68="","",IF(UPPER($I68)="Y",Rates!$B$7,IF(J68&gt;=21,Rates!$B$4,IF(J68&gt;=18,Rates!$B$5,Rates!$B$6))))</f>
        <v/>
      </c>
      <c r="L68" s="17">
        <f>IF($F68="","",IF($E68&lt;K68,"Uplift needed","OK"))</f>
        <v/>
      </c>
      <c r="M68" s="17">
        <f>IF($F68="","",IF(AND(J68&lt;21,DATEDIF($F68,Rates!$B$3,"Y")&gt;=21),"Turns 21",IF(AND(J68&lt;18,DATEDIF($F68,Rates!$B$3,"Y")&gt;=18),"Turns 18","")))</f>
        <v/>
      </c>
      <c r="N68" s="18">
        <f>IF($F68="","",MAX($E68,K68))</f>
        <v/>
      </c>
      <c r="O68" s="19">
        <f>IF($F68="","",ROUND($C68*N68/$E68,2))</f>
        <v/>
      </c>
      <c r="P68" s="19">
        <f>IF($F68="","",ROUND($D68*N68/$E68,2))</f>
        <v/>
      </c>
      <c r="Q68" s="19">
        <f>IF($F68="","",ROUND(P68-$D68,2))</f>
        <v/>
      </c>
      <c r="R68" s="19">
        <f>IF($F68="","",ROUND(Rates!$B$8*(MAX(0,P68-Rates!$B$9)-MAX(0,$D68-Rates!$B$9)),2))</f>
        <v/>
      </c>
      <c r="S68" s="19">
        <f>IF($F68="","",ROUND(Rates!$B$10*IF(Rates!$B$11="Full",P68-$D68,MAX(0,MIN(P68,Rates!$B$13)-Rates!$B$12)-MAX(0,MIN($D68,Rates!$B$13)-Rates!$B$12)),2))</f>
        <v/>
      </c>
      <c r="T68" s="19">
        <f>IF($F68="","",ROUND(Q68+R68+S68,2))</f>
        <v/>
      </c>
    </row>
    <row r="69">
      <c r="A69" s="13" t="n"/>
      <c r="B69" s="13" t="n"/>
      <c r="C69" s="14" t="n"/>
      <c r="D69" s="14" t="n"/>
      <c r="E69" s="15" t="n"/>
      <c r="F69" s="16" t="n"/>
      <c r="G69" s="13" t="n"/>
      <c r="H69" s="13" t="n"/>
      <c r="I69" s="13" t="n"/>
      <c r="J69" s="17">
        <f>IF($F69="","",DATEDIF($F69,Rates!$B$2,"Y"))</f>
        <v/>
      </c>
      <c r="K69" s="18">
        <f>IF($F69="","",IF(UPPER($I69)="Y",Rates!$B$7,IF(J69&gt;=21,Rates!$B$4,IF(J69&gt;=18,Rates!$B$5,Rates!$B$6))))</f>
        <v/>
      </c>
      <c r="L69" s="17">
        <f>IF($F69="","",IF($E69&lt;K69,"Uplift needed","OK"))</f>
        <v/>
      </c>
      <c r="M69" s="17">
        <f>IF($F69="","",IF(AND(J69&lt;21,DATEDIF($F69,Rates!$B$3,"Y")&gt;=21),"Turns 21",IF(AND(J69&lt;18,DATEDIF($F69,Rates!$B$3,"Y")&gt;=18),"Turns 18","")))</f>
        <v/>
      </c>
      <c r="N69" s="18">
        <f>IF($F69="","",MAX($E69,K69))</f>
        <v/>
      </c>
      <c r="O69" s="19">
        <f>IF($F69="","",ROUND($C69*N69/$E69,2))</f>
        <v/>
      </c>
      <c r="P69" s="19">
        <f>IF($F69="","",ROUND($D69*N69/$E69,2))</f>
        <v/>
      </c>
      <c r="Q69" s="19">
        <f>IF($F69="","",ROUND(P69-$D69,2))</f>
        <v/>
      </c>
      <c r="R69" s="19">
        <f>IF($F69="","",ROUND(Rates!$B$8*(MAX(0,P69-Rates!$B$9)-MAX(0,$D69-Rates!$B$9)),2))</f>
        <v/>
      </c>
      <c r="S69" s="19">
        <f>IF($F69="","",ROUND(Rates!$B$10*IF(Rates!$B$11="Full",P69-$D69,MAX(0,MIN(P69,Rates!$B$13)-Rates!$B$12)-MAX(0,MIN($D69,Rates!$B$13)-Rates!$B$12)),2))</f>
        <v/>
      </c>
      <c r="T69" s="19">
        <f>IF($F69="","",ROUND(Q69+R69+S69,2))</f>
        <v/>
      </c>
    </row>
    <row r="70">
      <c r="A70" s="13" t="n"/>
      <c r="B70" s="13" t="n"/>
      <c r="C70" s="14" t="n"/>
      <c r="D70" s="14" t="n"/>
      <c r="E70" s="15" t="n"/>
      <c r="F70" s="16" t="n"/>
      <c r="G70" s="13" t="n"/>
      <c r="H70" s="13" t="n"/>
      <c r="I70" s="13" t="n"/>
      <c r="J70" s="17">
        <f>IF($F70="","",DATEDIF($F70,Rates!$B$2,"Y"))</f>
        <v/>
      </c>
      <c r="K70" s="18">
        <f>IF($F70="","",IF(UPPER($I70)="Y",Rates!$B$7,IF(J70&gt;=21,Rates!$B$4,IF(J70&gt;=18,Rates!$B$5,Rates!$B$6))))</f>
        <v/>
      </c>
      <c r="L70" s="17">
        <f>IF($F70="","",IF($E70&lt;K70,"Uplift needed","OK"))</f>
        <v/>
      </c>
      <c r="M70" s="17">
        <f>IF($F70="","",IF(AND(J70&lt;21,DATEDIF($F70,Rates!$B$3,"Y")&gt;=21),"Turns 21",IF(AND(J70&lt;18,DATEDIF($F70,Rates!$B$3,"Y")&gt;=18),"Turns 18","")))</f>
        <v/>
      </c>
      <c r="N70" s="18">
        <f>IF($F70="","",MAX($E70,K70))</f>
        <v/>
      </c>
      <c r="O70" s="19">
        <f>IF($F70="","",ROUND($C70*N70/$E70,2))</f>
        <v/>
      </c>
      <c r="P70" s="19">
        <f>IF($F70="","",ROUND($D70*N70/$E70,2))</f>
        <v/>
      </c>
      <c r="Q70" s="19">
        <f>IF($F70="","",ROUND(P70-$D70,2))</f>
        <v/>
      </c>
      <c r="R70" s="19">
        <f>IF($F70="","",ROUND(Rates!$B$8*(MAX(0,P70-Rates!$B$9)-MAX(0,$D70-Rates!$B$9)),2))</f>
        <v/>
      </c>
      <c r="S70" s="19">
        <f>IF($F70="","",ROUND(Rates!$B$10*IF(Rates!$B$11="Full",P70-$D70,MAX(0,MIN(P70,Rates!$B$13)-Rates!$B$12)-MAX(0,MIN($D70,Rates!$B$13)-Rates!$B$12)),2))</f>
        <v/>
      </c>
      <c r="T70" s="19">
        <f>IF($F70="","",ROUND(Q70+R70+S70,2))</f>
        <v/>
      </c>
    </row>
    <row r="71">
      <c r="A71" s="13" t="n"/>
      <c r="B71" s="13" t="n"/>
      <c r="C71" s="14" t="n"/>
      <c r="D71" s="14" t="n"/>
      <c r="E71" s="15" t="n"/>
      <c r="F71" s="16" t="n"/>
      <c r="G71" s="13" t="n"/>
      <c r="H71" s="13" t="n"/>
      <c r="I71" s="13" t="n"/>
      <c r="J71" s="17">
        <f>IF($F71="","",DATEDIF($F71,Rates!$B$2,"Y"))</f>
        <v/>
      </c>
      <c r="K71" s="18">
        <f>IF($F71="","",IF(UPPER($I71)="Y",Rates!$B$7,IF(J71&gt;=21,Rates!$B$4,IF(J71&gt;=18,Rates!$B$5,Rates!$B$6))))</f>
        <v/>
      </c>
      <c r="L71" s="17">
        <f>IF($F71="","",IF($E71&lt;K71,"Uplift needed","OK"))</f>
        <v/>
      </c>
      <c r="M71" s="17">
        <f>IF($F71="","",IF(AND(J71&lt;21,DATEDIF($F71,Rates!$B$3,"Y")&gt;=21),"Turns 21",IF(AND(J71&lt;18,DATEDIF($F71,Rates!$B$3,"Y")&gt;=18),"Turns 18","")))</f>
        <v/>
      </c>
      <c r="N71" s="18">
        <f>IF($F71="","",MAX($E71,K71))</f>
        <v/>
      </c>
      <c r="O71" s="19">
        <f>IF($F71="","",ROUND($C71*N71/$E71,2))</f>
        <v/>
      </c>
      <c r="P71" s="19">
        <f>IF($F71="","",ROUND($D71*N71/$E71,2))</f>
        <v/>
      </c>
      <c r="Q71" s="19">
        <f>IF($F71="","",ROUND(P71-$D71,2))</f>
        <v/>
      </c>
      <c r="R71" s="19">
        <f>IF($F71="","",ROUND(Rates!$B$8*(MAX(0,P71-Rates!$B$9)-MAX(0,$D71-Rates!$B$9)),2))</f>
        <v/>
      </c>
      <c r="S71" s="19">
        <f>IF($F71="","",ROUND(Rates!$B$10*IF(Rates!$B$11="Full",P71-$D71,MAX(0,MIN(P71,Rates!$B$13)-Rates!$B$12)-MAX(0,MIN($D71,Rates!$B$13)-Rates!$B$12)),2))</f>
        <v/>
      </c>
      <c r="T71" s="19">
        <f>IF($F71="","",ROUND(Q71+R71+S71,2))</f>
        <v/>
      </c>
    </row>
    <row r="72">
      <c r="A72" s="13" t="n"/>
      <c r="B72" s="13" t="n"/>
      <c r="C72" s="14" t="n"/>
      <c r="D72" s="14" t="n"/>
      <c r="E72" s="15" t="n"/>
      <c r="F72" s="16" t="n"/>
      <c r="G72" s="13" t="n"/>
      <c r="H72" s="13" t="n"/>
      <c r="I72" s="13" t="n"/>
      <c r="J72" s="17">
        <f>IF($F72="","",DATEDIF($F72,Rates!$B$2,"Y"))</f>
        <v/>
      </c>
      <c r="K72" s="18">
        <f>IF($F72="","",IF(UPPER($I72)="Y",Rates!$B$7,IF(J72&gt;=21,Rates!$B$4,IF(J72&gt;=18,Rates!$B$5,Rates!$B$6))))</f>
        <v/>
      </c>
      <c r="L72" s="17">
        <f>IF($F72="","",IF($E72&lt;K72,"Uplift needed","OK"))</f>
        <v/>
      </c>
      <c r="M72" s="17">
        <f>IF($F72="","",IF(AND(J72&lt;21,DATEDIF($F72,Rates!$B$3,"Y")&gt;=21),"Turns 21",IF(AND(J72&lt;18,DATEDIF($F72,Rates!$B$3,"Y")&gt;=18),"Turns 18","")))</f>
        <v/>
      </c>
      <c r="N72" s="18">
        <f>IF($F72="","",MAX($E72,K72))</f>
        <v/>
      </c>
      <c r="O72" s="19">
        <f>IF($F72="","",ROUND($C72*N72/$E72,2))</f>
        <v/>
      </c>
      <c r="P72" s="19">
        <f>IF($F72="","",ROUND($D72*N72/$E72,2))</f>
        <v/>
      </c>
      <c r="Q72" s="19">
        <f>IF($F72="","",ROUND(P72-$D72,2))</f>
        <v/>
      </c>
      <c r="R72" s="19">
        <f>IF($F72="","",ROUND(Rates!$B$8*(MAX(0,P72-Rates!$B$9)-MAX(0,$D72-Rates!$B$9)),2))</f>
        <v/>
      </c>
      <c r="S72" s="19">
        <f>IF($F72="","",ROUND(Rates!$B$10*IF(Rates!$B$11="Full",P72-$D72,MAX(0,MIN(P72,Rates!$B$13)-Rates!$B$12)-MAX(0,MIN($D72,Rates!$B$13)-Rates!$B$12)),2))</f>
        <v/>
      </c>
      <c r="T72" s="19">
        <f>IF($F72="","",ROUND(Q72+R72+S72,2))</f>
        <v/>
      </c>
    </row>
    <row r="73">
      <c r="A73" s="13" t="n"/>
      <c r="B73" s="13" t="n"/>
      <c r="C73" s="14" t="n"/>
      <c r="D73" s="14" t="n"/>
      <c r="E73" s="15" t="n"/>
      <c r="F73" s="16" t="n"/>
      <c r="G73" s="13" t="n"/>
      <c r="H73" s="13" t="n"/>
      <c r="I73" s="13" t="n"/>
      <c r="J73" s="17">
        <f>IF($F73="","",DATEDIF($F73,Rates!$B$2,"Y"))</f>
        <v/>
      </c>
      <c r="K73" s="18">
        <f>IF($F73="","",IF(UPPER($I73)="Y",Rates!$B$7,IF(J73&gt;=21,Rates!$B$4,IF(J73&gt;=18,Rates!$B$5,Rates!$B$6))))</f>
        <v/>
      </c>
      <c r="L73" s="17">
        <f>IF($F73="","",IF($E73&lt;K73,"Uplift needed","OK"))</f>
        <v/>
      </c>
      <c r="M73" s="17">
        <f>IF($F73="","",IF(AND(J73&lt;21,DATEDIF($F73,Rates!$B$3,"Y")&gt;=21),"Turns 21",IF(AND(J73&lt;18,DATEDIF($F73,Rates!$B$3,"Y")&gt;=18),"Turns 18","")))</f>
        <v/>
      </c>
      <c r="N73" s="18">
        <f>IF($F73="","",MAX($E73,K73))</f>
        <v/>
      </c>
      <c r="O73" s="19">
        <f>IF($F73="","",ROUND($C73*N73/$E73,2))</f>
        <v/>
      </c>
      <c r="P73" s="19">
        <f>IF($F73="","",ROUND($D73*N73/$E73,2))</f>
        <v/>
      </c>
      <c r="Q73" s="19">
        <f>IF($F73="","",ROUND(P73-$D73,2))</f>
        <v/>
      </c>
      <c r="R73" s="19">
        <f>IF($F73="","",ROUND(Rates!$B$8*(MAX(0,P73-Rates!$B$9)-MAX(0,$D73-Rates!$B$9)),2))</f>
        <v/>
      </c>
      <c r="S73" s="19">
        <f>IF($F73="","",ROUND(Rates!$B$10*IF(Rates!$B$11="Full",P73-$D73,MAX(0,MIN(P73,Rates!$B$13)-Rates!$B$12)-MAX(0,MIN($D73,Rates!$B$13)-Rates!$B$12)),2))</f>
        <v/>
      </c>
      <c r="T73" s="19">
        <f>IF($F73="","",ROUND(Q73+R73+S73,2))</f>
        <v/>
      </c>
    </row>
    <row r="74">
      <c r="A74" s="13" t="n"/>
      <c r="B74" s="13" t="n"/>
      <c r="C74" s="14" t="n"/>
      <c r="D74" s="14" t="n"/>
      <c r="E74" s="15" t="n"/>
      <c r="F74" s="16" t="n"/>
      <c r="G74" s="13" t="n"/>
      <c r="H74" s="13" t="n"/>
      <c r="I74" s="13" t="n"/>
      <c r="J74" s="17">
        <f>IF($F74="","",DATEDIF($F74,Rates!$B$2,"Y"))</f>
        <v/>
      </c>
      <c r="K74" s="18">
        <f>IF($F74="","",IF(UPPER($I74)="Y",Rates!$B$7,IF(J74&gt;=21,Rates!$B$4,IF(J74&gt;=18,Rates!$B$5,Rates!$B$6))))</f>
        <v/>
      </c>
      <c r="L74" s="17">
        <f>IF($F74="","",IF($E74&lt;K74,"Uplift needed","OK"))</f>
        <v/>
      </c>
      <c r="M74" s="17">
        <f>IF($F74="","",IF(AND(J74&lt;21,DATEDIF($F74,Rates!$B$3,"Y")&gt;=21),"Turns 21",IF(AND(J74&lt;18,DATEDIF($F74,Rates!$B$3,"Y")&gt;=18),"Turns 18","")))</f>
        <v/>
      </c>
      <c r="N74" s="18">
        <f>IF($F74="","",MAX($E74,K74))</f>
        <v/>
      </c>
      <c r="O74" s="19">
        <f>IF($F74="","",ROUND($C74*N74/$E74,2))</f>
        <v/>
      </c>
      <c r="P74" s="19">
        <f>IF($F74="","",ROUND($D74*N74/$E74,2))</f>
        <v/>
      </c>
      <c r="Q74" s="19">
        <f>IF($F74="","",ROUND(P74-$D74,2))</f>
        <v/>
      </c>
      <c r="R74" s="19">
        <f>IF($F74="","",ROUND(Rates!$B$8*(MAX(0,P74-Rates!$B$9)-MAX(0,$D74-Rates!$B$9)),2))</f>
        <v/>
      </c>
      <c r="S74" s="19">
        <f>IF($F74="","",ROUND(Rates!$B$10*IF(Rates!$B$11="Full",P74-$D74,MAX(0,MIN(P74,Rates!$B$13)-Rates!$B$12)-MAX(0,MIN($D74,Rates!$B$13)-Rates!$B$12)),2))</f>
        <v/>
      </c>
      <c r="T74" s="19">
        <f>IF($F74="","",ROUND(Q74+R74+S74,2))</f>
        <v/>
      </c>
    </row>
    <row r="75">
      <c r="A75" s="13" t="n"/>
      <c r="B75" s="13" t="n"/>
      <c r="C75" s="14" t="n"/>
      <c r="D75" s="14" t="n"/>
      <c r="E75" s="15" t="n"/>
      <c r="F75" s="16" t="n"/>
      <c r="G75" s="13" t="n"/>
      <c r="H75" s="13" t="n"/>
      <c r="I75" s="13" t="n"/>
      <c r="J75" s="17">
        <f>IF($F75="","",DATEDIF($F75,Rates!$B$2,"Y"))</f>
        <v/>
      </c>
      <c r="K75" s="18">
        <f>IF($F75="","",IF(UPPER($I75)="Y",Rates!$B$7,IF(J75&gt;=21,Rates!$B$4,IF(J75&gt;=18,Rates!$B$5,Rates!$B$6))))</f>
        <v/>
      </c>
      <c r="L75" s="17">
        <f>IF($F75="","",IF($E75&lt;K75,"Uplift needed","OK"))</f>
        <v/>
      </c>
      <c r="M75" s="17">
        <f>IF($F75="","",IF(AND(J75&lt;21,DATEDIF($F75,Rates!$B$3,"Y")&gt;=21),"Turns 21",IF(AND(J75&lt;18,DATEDIF($F75,Rates!$B$3,"Y")&gt;=18),"Turns 18","")))</f>
        <v/>
      </c>
      <c r="N75" s="18">
        <f>IF($F75="","",MAX($E75,K75))</f>
        <v/>
      </c>
      <c r="O75" s="19">
        <f>IF($F75="","",ROUND($C75*N75/$E75,2))</f>
        <v/>
      </c>
      <c r="P75" s="19">
        <f>IF($F75="","",ROUND($D75*N75/$E75,2))</f>
        <v/>
      </c>
      <c r="Q75" s="19">
        <f>IF($F75="","",ROUND(P75-$D75,2))</f>
        <v/>
      </c>
      <c r="R75" s="19">
        <f>IF($F75="","",ROUND(Rates!$B$8*(MAX(0,P75-Rates!$B$9)-MAX(0,$D75-Rates!$B$9)),2))</f>
        <v/>
      </c>
      <c r="S75" s="19">
        <f>IF($F75="","",ROUND(Rates!$B$10*IF(Rates!$B$11="Full",P75-$D75,MAX(0,MIN(P75,Rates!$B$13)-Rates!$B$12)-MAX(0,MIN($D75,Rates!$B$13)-Rates!$B$12)),2))</f>
        <v/>
      </c>
      <c r="T75" s="19">
        <f>IF($F75="","",ROUND(Q75+R75+S75,2))</f>
        <v/>
      </c>
    </row>
    <row r="76">
      <c r="A76" s="13" t="n"/>
      <c r="B76" s="13" t="n"/>
      <c r="C76" s="14" t="n"/>
      <c r="D76" s="14" t="n"/>
      <c r="E76" s="15" t="n"/>
      <c r="F76" s="16" t="n"/>
      <c r="G76" s="13" t="n"/>
      <c r="H76" s="13" t="n"/>
      <c r="I76" s="13" t="n"/>
      <c r="J76" s="17">
        <f>IF($F76="","",DATEDIF($F76,Rates!$B$2,"Y"))</f>
        <v/>
      </c>
      <c r="K76" s="18">
        <f>IF($F76="","",IF(UPPER($I76)="Y",Rates!$B$7,IF(J76&gt;=21,Rates!$B$4,IF(J76&gt;=18,Rates!$B$5,Rates!$B$6))))</f>
        <v/>
      </c>
      <c r="L76" s="17">
        <f>IF($F76="","",IF($E76&lt;K76,"Uplift needed","OK"))</f>
        <v/>
      </c>
      <c r="M76" s="17">
        <f>IF($F76="","",IF(AND(J76&lt;21,DATEDIF($F76,Rates!$B$3,"Y")&gt;=21),"Turns 21",IF(AND(J76&lt;18,DATEDIF($F76,Rates!$B$3,"Y")&gt;=18),"Turns 18","")))</f>
        <v/>
      </c>
      <c r="N76" s="18">
        <f>IF($F76="","",MAX($E76,K76))</f>
        <v/>
      </c>
      <c r="O76" s="19">
        <f>IF($F76="","",ROUND($C76*N76/$E76,2))</f>
        <v/>
      </c>
      <c r="P76" s="19">
        <f>IF($F76="","",ROUND($D76*N76/$E76,2))</f>
        <v/>
      </c>
      <c r="Q76" s="19">
        <f>IF($F76="","",ROUND(P76-$D76,2))</f>
        <v/>
      </c>
      <c r="R76" s="19">
        <f>IF($F76="","",ROUND(Rates!$B$8*(MAX(0,P76-Rates!$B$9)-MAX(0,$D76-Rates!$B$9)),2))</f>
        <v/>
      </c>
      <c r="S76" s="19">
        <f>IF($F76="","",ROUND(Rates!$B$10*IF(Rates!$B$11="Full",P76-$D76,MAX(0,MIN(P76,Rates!$B$13)-Rates!$B$12)-MAX(0,MIN($D76,Rates!$B$13)-Rates!$B$12)),2))</f>
        <v/>
      </c>
      <c r="T76" s="19">
        <f>IF($F76="","",ROUND(Q76+R76+S76,2))</f>
        <v/>
      </c>
    </row>
    <row r="77">
      <c r="A77" s="13" t="n"/>
      <c r="B77" s="13" t="n"/>
      <c r="C77" s="14" t="n"/>
      <c r="D77" s="14" t="n"/>
      <c r="E77" s="15" t="n"/>
      <c r="F77" s="16" t="n"/>
      <c r="G77" s="13" t="n"/>
      <c r="H77" s="13" t="n"/>
      <c r="I77" s="13" t="n"/>
      <c r="J77" s="17">
        <f>IF($F77="","",DATEDIF($F77,Rates!$B$2,"Y"))</f>
        <v/>
      </c>
      <c r="K77" s="18">
        <f>IF($F77="","",IF(UPPER($I77)="Y",Rates!$B$7,IF(J77&gt;=21,Rates!$B$4,IF(J77&gt;=18,Rates!$B$5,Rates!$B$6))))</f>
        <v/>
      </c>
      <c r="L77" s="17">
        <f>IF($F77="","",IF($E77&lt;K77,"Uplift needed","OK"))</f>
        <v/>
      </c>
      <c r="M77" s="17">
        <f>IF($F77="","",IF(AND(J77&lt;21,DATEDIF($F77,Rates!$B$3,"Y")&gt;=21),"Turns 21",IF(AND(J77&lt;18,DATEDIF($F77,Rates!$B$3,"Y")&gt;=18),"Turns 18","")))</f>
        <v/>
      </c>
      <c r="N77" s="18">
        <f>IF($F77="","",MAX($E77,K77))</f>
        <v/>
      </c>
      <c r="O77" s="19">
        <f>IF($F77="","",ROUND($C77*N77/$E77,2))</f>
        <v/>
      </c>
      <c r="P77" s="19">
        <f>IF($F77="","",ROUND($D77*N77/$E77,2))</f>
        <v/>
      </c>
      <c r="Q77" s="19">
        <f>IF($F77="","",ROUND(P77-$D77,2))</f>
        <v/>
      </c>
      <c r="R77" s="19">
        <f>IF($F77="","",ROUND(Rates!$B$8*(MAX(0,P77-Rates!$B$9)-MAX(0,$D77-Rates!$B$9)),2))</f>
        <v/>
      </c>
      <c r="S77" s="19">
        <f>IF($F77="","",ROUND(Rates!$B$10*IF(Rates!$B$11="Full",P77-$D77,MAX(0,MIN(P77,Rates!$B$13)-Rates!$B$12)-MAX(0,MIN($D77,Rates!$B$13)-Rates!$B$12)),2))</f>
        <v/>
      </c>
      <c r="T77" s="19">
        <f>IF($F77="","",ROUND(Q77+R77+S77,2))</f>
        <v/>
      </c>
    </row>
    <row r="78">
      <c r="A78" s="13" t="n"/>
      <c r="B78" s="13" t="n"/>
      <c r="C78" s="14" t="n"/>
      <c r="D78" s="14" t="n"/>
      <c r="E78" s="15" t="n"/>
      <c r="F78" s="16" t="n"/>
      <c r="G78" s="13" t="n"/>
      <c r="H78" s="13" t="n"/>
      <c r="I78" s="13" t="n"/>
      <c r="J78" s="17">
        <f>IF($F78="","",DATEDIF($F78,Rates!$B$2,"Y"))</f>
        <v/>
      </c>
      <c r="K78" s="18">
        <f>IF($F78="","",IF(UPPER($I78)="Y",Rates!$B$7,IF(J78&gt;=21,Rates!$B$4,IF(J78&gt;=18,Rates!$B$5,Rates!$B$6))))</f>
        <v/>
      </c>
      <c r="L78" s="17">
        <f>IF($F78="","",IF($E78&lt;K78,"Uplift needed","OK"))</f>
        <v/>
      </c>
      <c r="M78" s="17">
        <f>IF($F78="","",IF(AND(J78&lt;21,DATEDIF($F78,Rates!$B$3,"Y")&gt;=21),"Turns 21",IF(AND(J78&lt;18,DATEDIF($F78,Rates!$B$3,"Y")&gt;=18),"Turns 18","")))</f>
        <v/>
      </c>
      <c r="N78" s="18">
        <f>IF($F78="","",MAX($E78,K78))</f>
        <v/>
      </c>
      <c r="O78" s="19">
        <f>IF($F78="","",ROUND($C78*N78/$E78,2))</f>
        <v/>
      </c>
      <c r="P78" s="19">
        <f>IF($F78="","",ROUND($D78*N78/$E78,2))</f>
        <v/>
      </c>
      <c r="Q78" s="19">
        <f>IF($F78="","",ROUND(P78-$D78,2))</f>
        <v/>
      </c>
      <c r="R78" s="19">
        <f>IF($F78="","",ROUND(Rates!$B$8*(MAX(0,P78-Rates!$B$9)-MAX(0,$D78-Rates!$B$9)),2))</f>
        <v/>
      </c>
      <c r="S78" s="19">
        <f>IF($F78="","",ROUND(Rates!$B$10*IF(Rates!$B$11="Full",P78-$D78,MAX(0,MIN(P78,Rates!$B$13)-Rates!$B$12)-MAX(0,MIN($D78,Rates!$B$13)-Rates!$B$12)),2))</f>
        <v/>
      </c>
      <c r="T78" s="19">
        <f>IF($F78="","",ROUND(Q78+R78+S78,2))</f>
        <v/>
      </c>
    </row>
    <row r="79">
      <c r="A79" s="13" t="n"/>
      <c r="B79" s="13" t="n"/>
      <c r="C79" s="14" t="n"/>
      <c r="D79" s="14" t="n"/>
      <c r="E79" s="15" t="n"/>
      <c r="F79" s="16" t="n"/>
      <c r="G79" s="13" t="n"/>
      <c r="H79" s="13" t="n"/>
      <c r="I79" s="13" t="n"/>
      <c r="J79" s="17">
        <f>IF($F79="","",DATEDIF($F79,Rates!$B$2,"Y"))</f>
        <v/>
      </c>
      <c r="K79" s="18">
        <f>IF($F79="","",IF(UPPER($I79)="Y",Rates!$B$7,IF(J79&gt;=21,Rates!$B$4,IF(J79&gt;=18,Rates!$B$5,Rates!$B$6))))</f>
        <v/>
      </c>
      <c r="L79" s="17">
        <f>IF($F79="","",IF($E79&lt;K79,"Uplift needed","OK"))</f>
        <v/>
      </c>
      <c r="M79" s="17">
        <f>IF($F79="","",IF(AND(J79&lt;21,DATEDIF($F79,Rates!$B$3,"Y")&gt;=21),"Turns 21",IF(AND(J79&lt;18,DATEDIF($F79,Rates!$B$3,"Y")&gt;=18),"Turns 18","")))</f>
        <v/>
      </c>
      <c r="N79" s="18">
        <f>IF($F79="","",MAX($E79,K79))</f>
        <v/>
      </c>
      <c r="O79" s="19">
        <f>IF($F79="","",ROUND($C79*N79/$E79,2))</f>
        <v/>
      </c>
      <c r="P79" s="19">
        <f>IF($F79="","",ROUND($D79*N79/$E79,2))</f>
        <v/>
      </c>
      <c r="Q79" s="19">
        <f>IF($F79="","",ROUND(P79-$D79,2))</f>
        <v/>
      </c>
      <c r="R79" s="19">
        <f>IF($F79="","",ROUND(Rates!$B$8*(MAX(0,P79-Rates!$B$9)-MAX(0,$D79-Rates!$B$9)),2))</f>
        <v/>
      </c>
      <c r="S79" s="19">
        <f>IF($F79="","",ROUND(Rates!$B$10*IF(Rates!$B$11="Full",P79-$D79,MAX(0,MIN(P79,Rates!$B$13)-Rates!$B$12)-MAX(0,MIN($D79,Rates!$B$13)-Rates!$B$12)),2))</f>
        <v/>
      </c>
      <c r="T79" s="19">
        <f>IF($F79="","",ROUND(Q79+R79+S79,2))</f>
        <v/>
      </c>
    </row>
    <row r="80">
      <c r="A80" s="13" t="n"/>
      <c r="B80" s="13" t="n"/>
      <c r="C80" s="14" t="n"/>
      <c r="D80" s="14" t="n"/>
      <c r="E80" s="15" t="n"/>
      <c r="F80" s="16" t="n"/>
      <c r="G80" s="13" t="n"/>
      <c r="H80" s="13" t="n"/>
      <c r="I80" s="13" t="n"/>
      <c r="J80" s="17">
        <f>IF($F80="","",DATEDIF($F80,Rates!$B$2,"Y"))</f>
        <v/>
      </c>
      <c r="K80" s="18">
        <f>IF($F80="","",IF(UPPER($I80)="Y",Rates!$B$7,IF(J80&gt;=21,Rates!$B$4,IF(J80&gt;=18,Rates!$B$5,Rates!$B$6))))</f>
        <v/>
      </c>
      <c r="L80" s="17">
        <f>IF($F80="","",IF($E80&lt;K80,"Uplift needed","OK"))</f>
        <v/>
      </c>
      <c r="M80" s="17">
        <f>IF($F80="","",IF(AND(J80&lt;21,DATEDIF($F80,Rates!$B$3,"Y")&gt;=21),"Turns 21",IF(AND(J80&lt;18,DATEDIF($F80,Rates!$B$3,"Y")&gt;=18),"Turns 18","")))</f>
        <v/>
      </c>
      <c r="N80" s="18">
        <f>IF($F80="","",MAX($E80,K80))</f>
        <v/>
      </c>
      <c r="O80" s="19">
        <f>IF($F80="","",ROUND($C80*N80/$E80,2))</f>
        <v/>
      </c>
      <c r="P80" s="19">
        <f>IF($F80="","",ROUND($D80*N80/$E80,2))</f>
        <v/>
      </c>
      <c r="Q80" s="19">
        <f>IF($F80="","",ROUND(P80-$D80,2))</f>
        <v/>
      </c>
      <c r="R80" s="19">
        <f>IF($F80="","",ROUND(Rates!$B$8*(MAX(0,P80-Rates!$B$9)-MAX(0,$D80-Rates!$B$9)),2))</f>
        <v/>
      </c>
      <c r="S80" s="19">
        <f>IF($F80="","",ROUND(Rates!$B$10*IF(Rates!$B$11="Full",P80-$D80,MAX(0,MIN(P80,Rates!$B$13)-Rates!$B$12)-MAX(0,MIN($D80,Rates!$B$13)-Rates!$B$12)),2))</f>
        <v/>
      </c>
      <c r="T80" s="19">
        <f>IF($F80="","",ROUND(Q80+R80+S80,2))</f>
        <v/>
      </c>
    </row>
    <row r="81">
      <c r="A81" s="13" t="n"/>
      <c r="B81" s="13" t="n"/>
      <c r="C81" s="14" t="n"/>
      <c r="D81" s="14" t="n"/>
      <c r="E81" s="15" t="n"/>
      <c r="F81" s="16" t="n"/>
      <c r="G81" s="13" t="n"/>
      <c r="H81" s="13" t="n"/>
      <c r="I81" s="13" t="n"/>
      <c r="J81" s="17">
        <f>IF($F81="","",DATEDIF($F81,Rates!$B$2,"Y"))</f>
        <v/>
      </c>
      <c r="K81" s="18">
        <f>IF($F81="","",IF(UPPER($I81)="Y",Rates!$B$7,IF(J81&gt;=21,Rates!$B$4,IF(J81&gt;=18,Rates!$B$5,Rates!$B$6))))</f>
        <v/>
      </c>
      <c r="L81" s="17">
        <f>IF($F81="","",IF($E81&lt;K81,"Uplift needed","OK"))</f>
        <v/>
      </c>
      <c r="M81" s="17">
        <f>IF($F81="","",IF(AND(J81&lt;21,DATEDIF($F81,Rates!$B$3,"Y")&gt;=21),"Turns 21",IF(AND(J81&lt;18,DATEDIF($F81,Rates!$B$3,"Y")&gt;=18),"Turns 18","")))</f>
        <v/>
      </c>
      <c r="N81" s="18">
        <f>IF($F81="","",MAX($E81,K81))</f>
        <v/>
      </c>
      <c r="O81" s="19">
        <f>IF($F81="","",ROUND($C81*N81/$E81,2))</f>
        <v/>
      </c>
      <c r="P81" s="19">
        <f>IF($F81="","",ROUND($D81*N81/$E81,2))</f>
        <v/>
      </c>
      <c r="Q81" s="19">
        <f>IF($F81="","",ROUND(P81-$D81,2))</f>
        <v/>
      </c>
      <c r="R81" s="19">
        <f>IF($F81="","",ROUND(Rates!$B$8*(MAX(0,P81-Rates!$B$9)-MAX(0,$D81-Rates!$B$9)),2))</f>
        <v/>
      </c>
      <c r="S81" s="19">
        <f>IF($F81="","",ROUND(Rates!$B$10*IF(Rates!$B$11="Full",P81-$D81,MAX(0,MIN(P81,Rates!$B$13)-Rates!$B$12)-MAX(0,MIN($D81,Rates!$B$13)-Rates!$B$12)),2))</f>
        <v/>
      </c>
      <c r="T81" s="19">
        <f>IF($F81="","",ROUND(Q81+R81+S81,2))</f>
        <v/>
      </c>
    </row>
    <row r="82">
      <c r="A82" s="13" t="n"/>
      <c r="B82" s="13" t="n"/>
      <c r="C82" s="14" t="n"/>
      <c r="D82" s="14" t="n"/>
      <c r="E82" s="15" t="n"/>
      <c r="F82" s="16" t="n"/>
      <c r="G82" s="13" t="n"/>
      <c r="H82" s="13" t="n"/>
      <c r="I82" s="13" t="n"/>
      <c r="J82" s="17">
        <f>IF($F82="","",DATEDIF($F82,Rates!$B$2,"Y"))</f>
        <v/>
      </c>
      <c r="K82" s="18">
        <f>IF($F82="","",IF(UPPER($I82)="Y",Rates!$B$7,IF(J82&gt;=21,Rates!$B$4,IF(J82&gt;=18,Rates!$B$5,Rates!$B$6))))</f>
        <v/>
      </c>
      <c r="L82" s="17">
        <f>IF($F82="","",IF($E82&lt;K82,"Uplift needed","OK"))</f>
        <v/>
      </c>
      <c r="M82" s="17">
        <f>IF($F82="","",IF(AND(J82&lt;21,DATEDIF($F82,Rates!$B$3,"Y")&gt;=21),"Turns 21",IF(AND(J82&lt;18,DATEDIF($F82,Rates!$B$3,"Y")&gt;=18),"Turns 18","")))</f>
        <v/>
      </c>
      <c r="N82" s="18">
        <f>IF($F82="","",MAX($E82,K82))</f>
        <v/>
      </c>
      <c r="O82" s="19">
        <f>IF($F82="","",ROUND($C82*N82/$E82,2))</f>
        <v/>
      </c>
      <c r="P82" s="19">
        <f>IF($F82="","",ROUND($D82*N82/$E82,2))</f>
        <v/>
      </c>
      <c r="Q82" s="19">
        <f>IF($F82="","",ROUND(P82-$D82,2))</f>
        <v/>
      </c>
      <c r="R82" s="19">
        <f>IF($F82="","",ROUND(Rates!$B$8*(MAX(0,P82-Rates!$B$9)-MAX(0,$D82-Rates!$B$9)),2))</f>
        <v/>
      </c>
      <c r="S82" s="19">
        <f>IF($F82="","",ROUND(Rates!$B$10*IF(Rates!$B$11="Full",P82-$D82,MAX(0,MIN(P82,Rates!$B$13)-Rates!$B$12)-MAX(0,MIN($D82,Rates!$B$13)-Rates!$B$12)),2))</f>
        <v/>
      </c>
      <c r="T82" s="19">
        <f>IF($F82="","",ROUND(Q82+R82+S82,2))</f>
        <v/>
      </c>
    </row>
    <row r="83">
      <c r="A83" s="13" t="n"/>
      <c r="B83" s="13" t="n"/>
      <c r="C83" s="14" t="n"/>
      <c r="D83" s="14" t="n"/>
      <c r="E83" s="15" t="n"/>
      <c r="F83" s="16" t="n"/>
      <c r="G83" s="13" t="n"/>
      <c r="H83" s="13" t="n"/>
      <c r="I83" s="13" t="n"/>
      <c r="J83" s="17">
        <f>IF($F83="","",DATEDIF($F83,Rates!$B$2,"Y"))</f>
        <v/>
      </c>
      <c r="K83" s="18">
        <f>IF($F83="","",IF(UPPER($I83)="Y",Rates!$B$7,IF(J83&gt;=21,Rates!$B$4,IF(J83&gt;=18,Rates!$B$5,Rates!$B$6))))</f>
        <v/>
      </c>
      <c r="L83" s="17">
        <f>IF($F83="","",IF($E83&lt;K83,"Uplift needed","OK"))</f>
        <v/>
      </c>
      <c r="M83" s="17">
        <f>IF($F83="","",IF(AND(J83&lt;21,DATEDIF($F83,Rates!$B$3,"Y")&gt;=21),"Turns 21",IF(AND(J83&lt;18,DATEDIF($F83,Rates!$B$3,"Y")&gt;=18),"Turns 18","")))</f>
        <v/>
      </c>
      <c r="N83" s="18">
        <f>IF($F83="","",MAX($E83,K83))</f>
        <v/>
      </c>
      <c r="O83" s="19">
        <f>IF($F83="","",ROUND($C83*N83/$E83,2))</f>
        <v/>
      </c>
      <c r="P83" s="19">
        <f>IF($F83="","",ROUND($D83*N83/$E83,2))</f>
        <v/>
      </c>
      <c r="Q83" s="19">
        <f>IF($F83="","",ROUND(P83-$D83,2))</f>
        <v/>
      </c>
      <c r="R83" s="19">
        <f>IF($F83="","",ROUND(Rates!$B$8*(MAX(0,P83-Rates!$B$9)-MAX(0,$D83-Rates!$B$9)),2))</f>
        <v/>
      </c>
      <c r="S83" s="19">
        <f>IF($F83="","",ROUND(Rates!$B$10*IF(Rates!$B$11="Full",P83-$D83,MAX(0,MIN(P83,Rates!$B$13)-Rates!$B$12)-MAX(0,MIN($D83,Rates!$B$13)-Rates!$B$12)),2))</f>
        <v/>
      </c>
      <c r="T83" s="19">
        <f>IF($F83="","",ROUND(Q83+R83+S83,2))</f>
        <v/>
      </c>
    </row>
    <row r="84">
      <c r="A84" s="13" t="n"/>
      <c r="B84" s="13" t="n"/>
      <c r="C84" s="14" t="n"/>
      <c r="D84" s="14" t="n"/>
      <c r="E84" s="15" t="n"/>
      <c r="F84" s="16" t="n"/>
      <c r="G84" s="13" t="n"/>
      <c r="H84" s="13" t="n"/>
      <c r="I84" s="13" t="n"/>
      <c r="J84" s="17">
        <f>IF($F84="","",DATEDIF($F84,Rates!$B$2,"Y"))</f>
        <v/>
      </c>
      <c r="K84" s="18">
        <f>IF($F84="","",IF(UPPER($I84)="Y",Rates!$B$7,IF(J84&gt;=21,Rates!$B$4,IF(J84&gt;=18,Rates!$B$5,Rates!$B$6))))</f>
        <v/>
      </c>
      <c r="L84" s="17">
        <f>IF($F84="","",IF($E84&lt;K84,"Uplift needed","OK"))</f>
        <v/>
      </c>
      <c r="M84" s="17">
        <f>IF($F84="","",IF(AND(J84&lt;21,DATEDIF($F84,Rates!$B$3,"Y")&gt;=21),"Turns 21",IF(AND(J84&lt;18,DATEDIF($F84,Rates!$B$3,"Y")&gt;=18),"Turns 18","")))</f>
        <v/>
      </c>
      <c r="N84" s="18">
        <f>IF($F84="","",MAX($E84,K84))</f>
        <v/>
      </c>
      <c r="O84" s="19">
        <f>IF($F84="","",ROUND($C84*N84/$E84,2))</f>
        <v/>
      </c>
      <c r="P84" s="19">
        <f>IF($F84="","",ROUND($D84*N84/$E84,2))</f>
        <v/>
      </c>
      <c r="Q84" s="19">
        <f>IF($F84="","",ROUND(P84-$D84,2))</f>
        <v/>
      </c>
      <c r="R84" s="19">
        <f>IF($F84="","",ROUND(Rates!$B$8*(MAX(0,P84-Rates!$B$9)-MAX(0,$D84-Rates!$B$9)),2))</f>
        <v/>
      </c>
      <c r="S84" s="19">
        <f>IF($F84="","",ROUND(Rates!$B$10*IF(Rates!$B$11="Full",P84-$D84,MAX(0,MIN(P84,Rates!$B$13)-Rates!$B$12)-MAX(0,MIN($D84,Rates!$B$13)-Rates!$B$12)),2))</f>
        <v/>
      </c>
      <c r="T84" s="19">
        <f>IF($F84="","",ROUND(Q84+R84+S84,2))</f>
        <v/>
      </c>
    </row>
    <row r="85">
      <c r="A85" s="13" t="n"/>
      <c r="B85" s="13" t="n"/>
      <c r="C85" s="14" t="n"/>
      <c r="D85" s="14" t="n"/>
      <c r="E85" s="15" t="n"/>
      <c r="F85" s="16" t="n"/>
      <c r="G85" s="13" t="n"/>
      <c r="H85" s="13" t="n"/>
      <c r="I85" s="13" t="n"/>
      <c r="J85" s="17">
        <f>IF($F85="","",DATEDIF($F85,Rates!$B$2,"Y"))</f>
        <v/>
      </c>
      <c r="K85" s="18">
        <f>IF($F85="","",IF(UPPER($I85)="Y",Rates!$B$7,IF(J85&gt;=21,Rates!$B$4,IF(J85&gt;=18,Rates!$B$5,Rates!$B$6))))</f>
        <v/>
      </c>
      <c r="L85" s="17">
        <f>IF($F85="","",IF($E85&lt;K85,"Uplift needed","OK"))</f>
        <v/>
      </c>
      <c r="M85" s="17">
        <f>IF($F85="","",IF(AND(J85&lt;21,DATEDIF($F85,Rates!$B$3,"Y")&gt;=21),"Turns 21",IF(AND(J85&lt;18,DATEDIF($F85,Rates!$B$3,"Y")&gt;=18),"Turns 18","")))</f>
        <v/>
      </c>
      <c r="N85" s="18">
        <f>IF($F85="","",MAX($E85,K85))</f>
        <v/>
      </c>
      <c r="O85" s="19">
        <f>IF($F85="","",ROUND($C85*N85/$E85,2))</f>
        <v/>
      </c>
      <c r="P85" s="19">
        <f>IF($F85="","",ROUND($D85*N85/$E85,2))</f>
        <v/>
      </c>
      <c r="Q85" s="19">
        <f>IF($F85="","",ROUND(P85-$D85,2))</f>
        <v/>
      </c>
      <c r="R85" s="19">
        <f>IF($F85="","",ROUND(Rates!$B$8*(MAX(0,P85-Rates!$B$9)-MAX(0,$D85-Rates!$B$9)),2))</f>
        <v/>
      </c>
      <c r="S85" s="19">
        <f>IF($F85="","",ROUND(Rates!$B$10*IF(Rates!$B$11="Full",P85-$D85,MAX(0,MIN(P85,Rates!$B$13)-Rates!$B$12)-MAX(0,MIN($D85,Rates!$B$13)-Rates!$B$12)),2))</f>
        <v/>
      </c>
      <c r="T85" s="19">
        <f>IF($F85="","",ROUND(Q85+R85+S85,2))</f>
        <v/>
      </c>
    </row>
    <row r="86">
      <c r="A86" s="13" t="n"/>
      <c r="B86" s="13" t="n"/>
      <c r="C86" s="14" t="n"/>
      <c r="D86" s="14" t="n"/>
      <c r="E86" s="15" t="n"/>
      <c r="F86" s="16" t="n"/>
      <c r="G86" s="13" t="n"/>
      <c r="H86" s="13" t="n"/>
      <c r="I86" s="13" t="n"/>
      <c r="J86" s="17">
        <f>IF($F86="","",DATEDIF($F86,Rates!$B$2,"Y"))</f>
        <v/>
      </c>
      <c r="K86" s="18">
        <f>IF($F86="","",IF(UPPER($I86)="Y",Rates!$B$7,IF(J86&gt;=21,Rates!$B$4,IF(J86&gt;=18,Rates!$B$5,Rates!$B$6))))</f>
        <v/>
      </c>
      <c r="L86" s="17">
        <f>IF($F86="","",IF($E86&lt;K86,"Uplift needed","OK"))</f>
        <v/>
      </c>
      <c r="M86" s="17">
        <f>IF($F86="","",IF(AND(J86&lt;21,DATEDIF($F86,Rates!$B$3,"Y")&gt;=21),"Turns 21",IF(AND(J86&lt;18,DATEDIF($F86,Rates!$B$3,"Y")&gt;=18),"Turns 18","")))</f>
        <v/>
      </c>
      <c r="N86" s="18">
        <f>IF($F86="","",MAX($E86,K86))</f>
        <v/>
      </c>
      <c r="O86" s="19">
        <f>IF($F86="","",ROUND($C86*N86/$E86,2))</f>
        <v/>
      </c>
      <c r="P86" s="19">
        <f>IF($F86="","",ROUND($D86*N86/$E86,2))</f>
        <v/>
      </c>
      <c r="Q86" s="19">
        <f>IF($F86="","",ROUND(P86-$D86,2))</f>
        <v/>
      </c>
      <c r="R86" s="19">
        <f>IF($F86="","",ROUND(Rates!$B$8*(MAX(0,P86-Rates!$B$9)-MAX(0,$D86-Rates!$B$9)),2))</f>
        <v/>
      </c>
      <c r="S86" s="19">
        <f>IF($F86="","",ROUND(Rates!$B$10*IF(Rates!$B$11="Full",P86-$D86,MAX(0,MIN(P86,Rates!$B$13)-Rates!$B$12)-MAX(0,MIN($D86,Rates!$B$13)-Rates!$B$12)),2))</f>
        <v/>
      </c>
      <c r="T86" s="19">
        <f>IF($F86="","",ROUND(Q86+R86+S86,2))</f>
        <v/>
      </c>
    </row>
    <row r="87">
      <c r="A87" s="13" t="n"/>
      <c r="B87" s="13" t="n"/>
      <c r="C87" s="14" t="n"/>
      <c r="D87" s="14" t="n"/>
      <c r="E87" s="15" t="n"/>
      <c r="F87" s="16" t="n"/>
      <c r="G87" s="13" t="n"/>
      <c r="H87" s="13" t="n"/>
      <c r="I87" s="13" t="n"/>
      <c r="J87" s="17">
        <f>IF($F87="","",DATEDIF($F87,Rates!$B$2,"Y"))</f>
        <v/>
      </c>
      <c r="K87" s="18">
        <f>IF($F87="","",IF(UPPER($I87)="Y",Rates!$B$7,IF(J87&gt;=21,Rates!$B$4,IF(J87&gt;=18,Rates!$B$5,Rates!$B$6))))</f>
        <v/>
      </c>
      <c r="L87" s="17">
        <f>IF($F87="","",IF($E87&lt;K87,"Uplift needed","OK"))</f>
        <v/>
      </c>
      <c r="M87" s="17">
        <f>IF($F87="","",IF(AND(J87&lt;21,DATEDIF($F87,Rates!$B$3,"Y")&gt;=21),"Turns 21",IF(AND(J87&lt;18,DATEDIF($F87,Rates!$B$3,"Y")&gt;=18),"Turns 18","")))</f>
        <v/>
      </c>
      <c r="N87" s="18">
        <f>IF($F87="","",MAX($E87,K87))</f>
        <v/>
      </c>
      <c r="O87" s="19">
        <f>IF($F87="","",ROUND($C87*N87/$E87,2))</f>
        <v/>
      </c>
      <c r="P87" s="19">
        <f>IF($F87="","",ROUND($D87*N87/$E87,2))</f>
        <v/>
      </c>
      <c r="Q87" s="19">
        <f>IF($F87="","",ROUND(P87-$D87,2))</f>
        <v/>
      </c>
      <c r="R87" s="19">
        <f>IF($F87="","",ROUND(Rates!$B$8*(MAX(0,P87-Rates!$B$9)-MAX(0,$D87-Rates!$B$9)),2))</f>
        <v/>
      </c>
      <c r="S87" s="19">
        <f>IF($F87="","",ROUND(Rates!$B$10*IF(Rates!$B$11="Full",P87-$D87,MAX(0,MIN(P87,Rates!$B$13)-Rates!$B$12)-MAX(0,MIN($D87,Rates!$B$13)-Rates!$B$12)),2))</f>
        <v/>
      </c>
      <c r="T87" s="19">
        <f>IF($F87="","",ROUND(Q87+R87+S87,2))</f>
        <v/>
      </c>
    </row>
    <row r="88">
      <c r="A88" s="13" t="n"/>
      <c r="B88" s="13" t="n"/>
      <c r="C88" s="14" t="n"/>
      <c r="D88" s="14" t="n"/>
      <c r="E88" s="15" t="n"/>
      <c r="F88" s="16" t="n"/>
      <c r="G88" s="13" t="n"/>
      <c r="H88" s="13" t="n"/>
      <c r="I88" s="13" t="n"/>
      <c r="J88" s="17">
        <f>IF($F88="","",DATEDIF($F88,Rates!$B$2,"Y"))</f>
        <v/>
      </c>
      <c r="K88" s="18">
        <f>IF($F88="","",IF(UPPER($I88)="Y",Rates!$B$7,IF(J88&gt;=21,Rates!$B$4,IF(J88&gt;=18,Rates!$B$5,Rates!$B$6))))</f>
        <v/>
      </c>
      <c r="L88" s="17">
        <f>IF($F88="","",IF($E88&lt;K88,"Uplift needed","OK"))</f>
        <v/>
      </c>
      <c r="M88" s="17">
        <f>IF($F88="","",IF(AND(J88&lt;21,DATEDIF($F88,Rates!$B$3,"Y")&gt;=21),"Turns 21",IF(AND(J88&lt;18,DATEDIF($F88,Rates!$B$3,"Y")&gt;=18),"Turns 18","")))</f>
        <v/>
      </c>
      <c r="N88" s="18">
        <f>IF($F88="","",MAX($E88,K88))</f>
        <v/>
      </c>
      <c r="O88" s="19">
        <f>IF($F88="","",ROUND($C88*N88/$E88,2))</f>
        <v/>
      </c>
      <c r="P88" s="19">
        <f>IF($F88="","",ROUND($D88*N88/$E88,2))</f>
        <v/>
      </c>
      <c r="Q88" s="19">
        <f>IF($F88="","",ROUND(P88-$D88,2))</f>
        <v/>
      </c>
      <c r="R88" s="19">
        <f>IF($F88="","",ROUND(Rates!$B$8*(MAX(0,P88-Rates!$B$9)-MAX(0,$D88-Rates!$B$9)),2))</f>
        <v/>
      </c>
      <c r="S88" s="19">
        <f>IF($F88="","",ROUND(Rates!$B$10*IF(Rates!$B$11="Full",P88-$D88,MAX(0,MIN(P88,Rates!$B$13)-Rates!$B$12)-MAX(0,MIN($D88,Rates!$B$13)-Rates!$B$12)),2))</f>
        <v/>
      </c>
      <c r="T88" s="19">
        <f>IF($F88="","",ROUND(Q88+R88+S88,2))</f>
        <v/>
      </c>
    </row>
    <row r="89">
      <c r="A89" s="13" t="n"/>
      <c r="B89" s="13" t="n"/>
      <c r="C89" s="14" t="n"/>
      <c r="D89" s="14" t="n"/>
      <c r="E89" s="15" t="n"/>
      <c r="F89" s="16" t="n"/>
      <c r="G89" s="13" t="n"/>
      <c r="H89" s="13" t="n"/>
      <c r="I89" s="13" t="n"/>
      <c r="J89" s="17">
        <f>IF($F89="","",DATEDIF($F89,Rates!$B$2,"Y"))</f>
        <v/>
      </c>
      <c r="K89" s="18">
        <f>IF($F89="","",IF(UPPER($I89)="Y",Rates!$B$7,IF(J89&gt;=21,Rates!$B$4,IF(J89&gt;=18,Rates!$B$5,Rates!$B$6))))</f>
        <v/>
      </c>
      <c r="L89" s="17">
        <f>IF($F89="","",IF($E89&lt;K89,"Uplift needed","OK"))</f>
        <v/>
      </c>
      <c r="M89" s="17">
        <f>IF($F89="","",IF(AND(J89&lt;21,DATEDIF($F89,Rates!$B$3,"Y")&gt;=21),"Turns 21",IF(AND(J89&lt;18,DATEDIF($F89,Rates!$B$3,"Y")&gt;=18),"Turns 18","")))</f>
        <v/>
      </c>
      <c r="N89" s="18">
        <f>IF($F89="","",MAX($E89,K89))</f>
        <v/>
      </c>
      <c r="O89" s="19">
        <f>IF($F89="","",ROUND($C89*N89/$E89,2))</f>
        <v/>
      </c>
      <c r="P89" s="19">
        <f>IF($F89="","",ROUND($D89*N89/$E89,2))</f>
        <v/>
      </c>
      <c r="Q89" s="19">
        <f>IF($F89="","",ROUND(P89-$D89,2))</f>
        <v/>
      </c>
      <c r="R89" s="19">
        <f>IF($F89="","",ROUND(Rates!$B$8*(MAX(0,P89-Rates!$B$9)-MAX(0,$D89-Rates!$B$9)),2))</f>
        <v/>
      </c>
      <c r="S89" s="19">
        <f>IF($F89="","",ROUND(Rates!$B$10*IF(Rates!$B$11="Full",P89-$D89,MAX(0,MIN(P89,Rates!$B$13)-Rates!$B$12)-MAX(0,MIN($D89,Rates!$B$13)-Rates!$B$12)),2))</f>
        <v/>
      </c>
      <c r="T89" s="19">
        <f>IF($F89="","",ROUND(Q89+R89+S89,2))</f>
        <v/>
      </c>
    </row>
    <row r="90">
      <c r="A90" s="13" t="n"/>
      <c r="B90" s="13" t="n"/>
      <c r="C90" s="14" t="n"/>
      <c r="D90" s="14" t="n"/>
      <c r="E90" s="15" t="n"/>
      <c r="F90" s="16" t="n"/>
      <c r="G90" s="13" t="n"/>
      <c r="H90" s="13" t="n"/>
      <c r="I90" s="13" t="n"/>
      <c r="J90" s="17">
        <f>IF($F90="","",DATEDIF($F90,Rates!$B$2,"Y"))</f>
        <v/>
      </c>
      <c r="K90" s="18">
        <f>IF($F90="","",IF(UPPER($I90)="Y",Rates!$B$7,IF(J90&gt;=21,Rates!$B$4,IF(J90&gt;=18,Rates!$B$5,Rates!$B$6))))</f>
        <v/>
      </c>
      <c r="L90" s="17">
        <f>IF($F90="","",IF($E90&lt;K90,"Uplift needed","OK"))</f>
        <v/>
      </c>
      <c r="M90" s="17">
        <f>IF($F90="","",IF(AND(J90&lt;21,DATEDIF($F90,Rates!$B$3,"Y")&gt;=21),"Turns 21",IF(AND(J90&lt;18,DATEDIF($F90,Rates!$B$3,"Y")&gt;=18),"Turns 18","")))</f>
        <v/>
      </c>
      <c r="N90" s="18">
        <f>IF($F90="","",MAX($E90,K90))</f>
        <v/>
      </c>
      <c r="O90" s="19">
        <f>IF($F90="","",ROUND($C90*N90/$E90,2))</f>
        <v/>
      </c>
      <c r="P90" s="19">
        <f>IF($F90="","",ROUND($D90*N90/$E90,2))</f>
        <v/>
      </c>
      <c r="Q90" s="19">
        <f>IF($F90="","",ROUND(P90-$D90,2))</f>
        <v/>
      </c>
      <c r="R90" s="19">
        <f>IF($F90="","",ROUND(Rates!$B$8*(MAX(0,P90-Rates!$B$9)-MAX(0,$D90-Rates!$B$9)),2))</f>
        <v/>
      </c>
      <c r="S90" s="19">
        <f>IF($F90="","",ROUND(Rates!$B$10*IF(Rates!$B$11="Full",P90-$D90,MAX(0,MIN(P90,Rates!$B$13)-Rates!$B$12)-MAX(0,MIN($D90,Rates!$B$13)-Rates!$B$12)),2))</f>
        <v/>
      </c>
      <c r="T90" s="19">
        <f>IF($F90="","",ROUND(Q90+R90+S90,2))</f>
        <v/>
      </c>
    </row>
    <row r="91">
      <c r="A91" s="13" t="n"/>
      <c r="B91" s="13" t="n"/>
      <c r="C91" s="14" t="n"/>
      <c r="D91" s="14" t="n"/>
      <c r="E91" s="15" t="n"/>
      <c r="F91" s="16" t="n"/>
      <c r="G91" s="13" t="n"/>
      <c r="H91" s="13" t="n"/>
      <c r="I91" s="13" t="n"/>
      <c r="J91" s="17">
        <f>IF($F91="","",DATEDIF($F91,Rates!$B$2,"Y"))</f>
        <v/>
      </c>
      <c r="K91" s="18">
        <f>IF($F91="","",IF(UPPER($I91)="Y",Rates!$B$7,IF(J91&gt;=21,Rates!$B$4,IF(J91&gt;=18,Rates!$B$5,Rates!$B$6))))</f>
        <v/>
      </c>
      <c r="L91" s="17">
        <f>IF($F91="","",IF($E91&lt;K91,"Uplift needed","OK"))</f>
        <v/>
      </c>
      <c r="M91" s="17">
        <f>IF($F91="","",IF(AND(J91&lt;21,DATEDIF($F91,Rates!$B$3,"Y")&gt;=21),"Turns 21",IF(AND(J91&lt;18,DATEDIF($F91,Rates!$B$3,"Y")&gt;=18),"Turns 18","")))</f>
        <v/>
      </c>
      <c r="N91" s="18">
        <f>IF($F91="","",MAX($E91,K91))</f>
        <v/>
      </c>
      <c r="O91" s="19">
        <f>IF($F91="","",ROUND($C91*N91/$E91,2))</f>
        <v/>
      </c>
      <c r="P91" s="19">
        <f>IF($F91="","",ROUND($D91*N91/$E91,2))</f>
        <v/>
      </c>
      <c r="Q91" s="19">
        <f>IF($F91="","",ROUND(P91-$D91,2))</f>
        <v/>
      </c>
      <c r="R91" s="19">
        <f>IF($F91="","",ROUND(Rates!$B$8*(MAX(0,P91-Rates!$B$9)-MAX(0,$D91-Rates!$B$9)),2))</f>
        <v/>
      </c>
      <c r="S91" s="19">
        <f>IF($F91="","",ROUND(Rates!$B$10*IF(Rates!$B$11="Full",P91-$D91,MAX(0,MIN(P91,Rates!$B$13)-Rates!$B$12)-MAX(0,MIN($D91,Rates!$B$13)-Rates!$B$12)),2))</f>
        <v/>
      </c>
      <c r="T91" s="19">
        <f>IF($F91="","",ROUND(Q91+R91+S91,2))</f>
        <v/>
      </c>
    </row>
    <row r="92">
      <c r="A92" s="13" t="n"/>
      <c r="B92" s="13" t="n"/>
      <c r="C92" s="14" t="n"/>
      <c r="D92" s="14" t="n"/>
      <c r="E92" s="15" t="n"/>
      <c r="F92" s="16" t="n"/>
      <c r="G92" s="13" t="n"/>
      <c r="H92" s="13" t="n"/>
      <c r="I92" s="13" t="n"/>
      <c r="J92" s="17">
        <f>IF($F92="","",DATEDIF($F92,Rates!$B$2,"Y"))</f>
        <v/>
      </c>
      <c r="K92" s="18">
        <f>IF($F92="","",IF(UPPER($I92)="Y",Rates!$B$7,IF(J92&gt;=21,Rates!$B$4,IF(J92&gt;=18,Rates!$B$5,Rates!$B$6))))</f>
        <v/>
      </c>
      <c r="L92" s="17">
        <f>IF($F92="","",IF($E92&lt;K92,"Uplift needed","OK"))</f>
        <v/>
      </c>
      <c r="M92" s="17">
        <f>IF($F92="","",IF(AND(J92&lt;21,DATEDIF($F92,Rates!$B$3,"Y")&gt;=21),"Turns 21",IF(AND(J92&lt;18,DATEDIF($F92,Rates!$B$3,"Y")&gt;=18),"Turns 18","")))</f>
        <v/>
      </c>
      <c r="N92" s="18">
        <f>IF($F92="","",MAX($E92,K92))</f>
        <v/>
      </c>
      <c r="O92" s="19">
        <f>IF($F92="","",ROUND($C92*N92/$E92,2))</f>
        <v/>
      </c>
      <c r="P92" s="19">
        <f>IF($F92="","",ROUND($D92*N92/$E92,2))</f>
        <v/>
      </c>
      <c r="Q92" s="19">
        <f>IF($F92="","",ROUND(P92-$D92,2))</f>
        <v/>
      </c>
      <c r="R92" s="19">
        <f>IF($F92="","",ROUND(Rates!$B$8*(MAX(0,P92-Rates!$B$9)-MAX(0,$D92-Rates!$B$9)),2))</f>
        <v/>
      </c>
      <c r="S92" s="19">
        <f>IF($F92="","",ROUND(Rates!$B$10*IF(Rates!$B$11="Full",P92-$D92,MAX(0,MIN(P92,Rates!$B$13)-Rates!$B$12)-MAX(0,MIN($D92,Rates!$B$13)-Rates!$B$12)),2))</f>
        <v/>
      </c>
      <c r="T92" s="19">
        <f>IF($F92="","",ROUND(Q92+R92+S92,2))</f>
        <v/>
      </c>
    </row>
    <row r="93">
      <c r="A93" s="13" t="n"/>
      <c r="B93" s="13" t="n"/>
      <c r="C93" s="14" t="n"/>
      <c r="D93" s="14" t="n"/>
      <c r="E93" s="15" t="n"/>
      <c r="F93" s="16" t="n"/>
      <c r="G93" s="13" t="n"/>
      <c r="H93" s="13" t="n"/>
      <c r="I93" s="13" t="n"/>
      <c r="J93" s="17">
        <f>IF($F93="","",DATEDIF($F93,Rates!$B$2,"Y"))</f>
        <v/>
      </c>
      <c r="K93" s="18">
        <f>IF($F93="","",IF(UPPER($I93)="Y",Rates!$B$7,IF(J93&gt;=21,Rates!$B$4,IF(J93&gt;=18,Rates!$B$5,Rates!$B$6))))</f>
        <v/>
      </c>
      <c r="L93" s="17">
        <f>IF($F93="","",IF($E93&lt;K93,"Uplift needed","OK"))</f>
        <v/>
      </c>
      <c r="M93" s="17">
        <f>IF($F93="","",IF(AND(J93&lt;21,DATEDIF($F93,Rates!$B$3,"Y")&gt;=21),"Turns 21",IF(AND(J93&lt;18,DATEDIF($F93,Rates!$B$3,"Y")&gt;=18),"Turns 18","")))</f>
        <v/>
      </c>
      <c r="N93" s="18">
        <f>IF($F93="","",MAX($E93,K93))</f>
        <v/>
      </c>
      <c r="O93" s="19">
        <f>IF($F93="","",ROUND($C93*N93/$E93,2))</f>
        <v/>
      </c>
      <c r="P93" s="19">
        <f>IF($F93="","",ROUND($D93*N93/$E93,2))</f>
        <v/>
      </c>
      <c r="Q93" s="19">
        <f>IF($F93="","",ROUND(P93-$D93,2))</f>
        <v/>
      </c>
      <c r="R93" s="19">
        <f>IF($F93="","",ROUND(Rates!$B$8*(MAX(0,P93-Rates!$B$9)-MAX(0,$D93-Rates!$B$9)),2))</f>
        <v/>
      </c>
      <c r="S93" s="19">
        <f>IF($F93="","",ROUND(Rates!$B$10*IF(Rates!$B$11="Full",P93-$D93,MAX(0,MIN(P93,Rates!$B$13)-Rates!$B$12)-MAX(0,MIN($D93,Rates!$B$13)-Rates!$B$12)),2))</f>
        <v/>
      </c>
      <c r="T93" s="19">
        <f>IF($F93="","",ROUND(Q93+R93+S93,2))</f>
        <v/>
      </c>
    </row>
    <row r="94">
      <c r="A94" s="13" t="n"/>
      <c r="B94" s="13" t="n"/>
      <c r="C94" s="14" t="n"/>
      <c r="D94" s="14" t="n"/>
      <c r="E94" s="15" t="n"/>
      <c r="F94" s="16" t="n"/>
      <c r="G94" s="13" t="n"/>
      <c r="H94" s="13" t="n"/>
      <c r="I94" s="13" t="n"/>
      <c r="J94" s="17">
        <f>IF($F94="","",DATEDIF($F94,Rates!$B$2,"Y"))</f>
        <v/>
      </c>
      <c r="K94" s="18">
        <f>IF($F94="","",IF(UPPER($I94)="Y",Rates!$B$7,IF(J94&gt;=21,Rates!$B$4,IF(J94&gt;=18,Rates!$B$5,Rates!$B$6))))</f>
        <v/>
      </c>
      <c r="L94" s="17">
        <f>IF($F94="","",IF($E94&lt;K94,"Uplift needed","OK"))</f>
        <v/>
      </c>
      <c r="M94" s="17">
        <f>IF($F94="","",IF(AND(J94&lt;21,DATEDIF($F94,Rates!$B$3,"Y")&gt;=21),"Turns 21",IF(AND(J94&lt;18,DATEDIF($F94,Rates!$B$3,"Y")&gt;=18),"Turns 18","")))</f>
        <v/>
      </c>
      <c r="N94" s="18">
        <f>IF($F94="","",MAX($E94,K94))</f>
        <v/>
      </c>
      <c r="O94" s="19">
        <f>IF($F94="","",ROUND($C94*N94/$E94,2))</f>
        <v/>
      </c>
      <c r="P94" s="19">
        <f>IF($F94="","",ROUND($D94*N94/$E94,2))</f>
        <v/>
      </c>
      <c r="Q94" s="19">
        <f>IF($F94="","",ROUND(P94-$D94,2))</f>
        <v/>
      </c>
      <c r="R94" s="19">
        <f>IF($F94="","",ROUND(Rates!$B$8*(MAX(0,P94-Rates!$B$9)-MAX(0,$D94-Rates!$B$9)),2))</f>
        <v/>
      </c>
      <c r="S94" s="19">
        <f>IF($F94="","",ROUND(Rates!$B$10*IF(Rates!$B$11="Full",P94-$D94,MAX(0,MIN(P94,Rates!$B$13)-Rates!$B$12)-MAX(0,MIN($D94,Rates!$B$13)-Rates!$B$12)),2))</f>
        <v/>
      </c>
      <c r="T94" s="19">
        <f>IF($F94="","",ROUND(Q94+R94+S94,2))</f>
        <v/>
      </c>
    </row>
    <row r="95">
      <c r="A95" s="13" t="n"/>
      <c r="B95" s="13" t="n"/>
      <c r="C95" s="14" t="n"/>
      <c r="D95" s="14" t="n"/>
      <c r="E95" s="15" t="n"/>
      <c r="F95" s="16" t="n"/>
      <c r="G95" s="13" t="n"/>
      <c r="H95" s="13" t="n"/>
      <c r="I95" s="13" t="n"/>
      <c r="J95" s="17">
        <f>IF($F95="","",DATEDIF($F95,Rates!$B$2,"Y"))</f>
        <v/>
      </c>
      <c r="K95" s="18">
        <f>IF($F95="","",IF(UPPER($I95)="Y",Rates!$B$7,IF(J95&gt;=21,Rates!$B$4,IF(J95&gt;=18,Rates!$B$5,Rates!$B$6))))</f>
        <v/>
      </c>
      <c r="L95" s="17">
        <f>IF($F95="","",IF($E95&lt;K95,"Uplift needed","OK"))</f>
        <v/>
      </c>
      <c r="M95" s="17">
        <f>IF($F95="","",IF(AND(J95&lt;21,DATEDIF($F95,Rates!$B$3,"Y")&gt;=21),"Turns 21",IF(AND(J95&lt;18,DATEDIF($F95,Rates!$B$3,"Y")&gt;=18),"Turns 18","")))</f>
        <v/>
      </c>
      <c r="N95" s="18">
        <f>IF($F95="","",MAX($E95,K95))</f>
        <v/>
      </c>
      <c r="O95" s="19">
        <f>IF($F95="","",ROUND($C95*N95/$E95,2))</f>
        <v/>
      </c>
      <c r="P95" s="19">
        <f>IF($F95="","",ROUND($D95*N95/$E95,2))</f>
        <v/>
      </c>
      <c r="Q95" s="19">
        <f>IF($F95="","",ROUND(P95-$D95,2))</f>
        <v/>
      </c>
      <c r="R95" s="19">
        <f>IF($F95="","",ROUND(Rates!$B$8*(MAX(0,P95-Rates!$B$9)-MAX(0,$D95-Rates!$B$9)),2))</f>
        <v/>
      </c>
      <c r="S95" s="19">
        <f>IF($F95="","",ROUND(Rates!$B$10*IF(Rates!$B$11="Full",P95-$D95,MAX(0,MIN(P95,Rates!$B$13)-Rates!$B$12)-MAX(0,MIN($D95,Rates!$B$13)-Rates!$B$12)),2))</f>
        <v/>
      </c>
      <c r="T95" s="19">
        <f>IF($F95="","",ROUND(Q95+R95+S95,2))</f>
        <v/>
      </c>
    </row>
    <row r="96">
      <c r="A96" s="13" t="n"/>
      <c r="B96" s="13" t="n"/>
      <c r="C96" s="14" t="n"/>
      <c r="D96" s="14" t="n"/>
      <c r="E96" s="15" t="n"/>
      <c r="F96" s="16" t="n"/>
      <c r="G96" s="13" t="n"/>
      <c r="H96" s="13" t="n"/>
      <c r="I96" s="13" t="n"/>
      <c r="J96" s="17">
        <f>IF($F96="","",DATEDIF($F96,Rates!$B$2,"Y"))</f>
        <v/>
      </c>
      <c r="K96" s="18">
        <f>IF($F96="","",IF(UPPER($I96)="Y",Rates!$B$7,IF(J96&gt;=21,Rates!$B$4,IF(J96&gt;=18,Rates!$B$5,Rates!$B$6))))</f>
        <v/>
      </c>
      <c r="L96" s="17">
        <f>IF($F96="","",IF($E96&lt;K96,"Uplift needed","OK"))</f>
        <v/>
      </c>
      <c r="M96" s="17">
        <f>IF($F96="","",IF(AND(J96&lt;21,DATEDIF($F96,Rates!$B$3,"Y")&gt;=21),"Turns 21",IF(AND(J96&lt;18,DATEDIF($F96,Rates!$B$3,"Y")&gt;=18),"Turns 18","")))</f>
        <v/>
      </c>
      <c r="N96" s="18">
        <f>IF($F96="","",MAX($E96,K96))</f>
        <v/>
      </c>
      <c r="O96" s="19">
        <f>IF($F96="","",ROUND($C96*N96/$E96,2))</f>
        <v/>
      </c>
      <c r="P96" s="19">
        <f>IF($F96="","",ROUND($D96*N96/$E96,2))</f>
        <v/>
      </c>
      <c r="Q96" s="19">
        <f>IF($F96="","",ROUND(P96-$D96,2))</f>
        <v/>
      </c>
      <c r="R96" s="19">
        <f>IF($F96="","",ROUND(Rates!$B$8*(MAX(0,P96-Rates!$B$9)-MAX(0,$D96-Rates!$B$9)),2))</f>
        <v/>
      </c>
      <c r="S96" s="19">
        <f>IF($F96="","",ROUND(Rates!$B$10*IF(Rates!$B$11="Full",P96-$D96,MAX(0,MIN(P96,Rates!$B$13)-Rates!$B$12)-MAX(0,MIN($D96,Rates!$B$13)-Rates!$B$12)),2))</f>
        <v/>
      </c>
      <c r="T96" s="19">
        <f>IF($F96="","",ROUND(Q96+R96+S96,2))</f>
        <v/>
      </c>
    </row>
    <row r="97">
      <c r="A97" s="13" t="n"/>
      <c r="B97" s="13" t="n"/>
      <c r="C97" s="14" t="n"/>
      <c r="D97" s="14" t="n"/>
      <c r="E97" s="15" t="n"/>
      <c r="F97" s="16" t="n"/>
      <c r="G97" s="13" t="n"/>
      <c r="H97" s="13" t="n"/>
      <c r="I97" s="13" t="n"/>
      <c r="J97" s="17">
        <f>IF($F97="","",DATEDIF($F97,Rates!$B$2,"Y"))</f>
        <v/>
      </c>
      <c r="K97" s="18">
        <f>IF($F97="","",IF(UPPER($I97)="Y",Rates!$B$7,IF(J97&gt;=21,Rates!$B$4,IF(J97&gt;=18,Rates!$B$5,Rates!$B$6))))</f>
        <v/>
      </c>
      <c r="L97" s="17">
        <f>IF($F97="","",IF($E97&lt;K97,"Uplift needed","OK"))</f>
        <v/>
      </c>
      <c r="M97" s="17">
        <f>IF($F97="","",IF(AND(J97&lt;21,DATEDIF($F97,Rates!$B$3,"Y")&gt;=21),"Turns 21",IF(AND(J97&lt;18,DATEDIF($F97,Rates!$B$3,"Y")&gt;=18),"Turns 18","")))</f>
        <v/>
      </c>
      <c r="N97" s="18">
        <f>IF($F97="","",MAX($E97,K97))</f>
        <v/>
      </c>
      <c r="O97" s="19">
        <f>IF($F97="","",ROUND($C97*N97/$E97,2))</f>
        <v/>
      </c>
      <c r="P97" s="19">
        <f>IF($F97="","",ROUND($D97*N97/$E97,2))</f>
        <v/>
      </c>
      <c r="Q97" s="19">
        <f>IF($F97="","",ROUND(P97-$D97,2))</f>
        <v/>
      </c>
      <c r="R97" s="19">
        <f>IF($F97="","",ROUND(Rates!$B$8*(MAX(0,P97-Rates!$B$9)-MAX(0,$D97-Rates!$B$9)),2))</f>
        <v/>
      </c>
      <c r="S97" s="19">
        <f>IF($F97="","",ROUND(Rates!$B$10*IF(Rates!$B$11="Full",P97-$D97,MAX(0,MIN(P97,Rates!$B$13)-Rates!$B$12)-MAX(0,MIN($D97,Rates!$B$13)-Rates!$B$12)),2))</f>
        <v/>
      </c>
      <c r="T97" s="19">
        <f>IF($F97="","",ROUND(Q97+R97+S97,2))</f>
        <v/>
      </c>
    </row>
    <row r="98">
      <c r="A98" s="13" t="n"/>
      <c r="B98" s="13" t="n"/>
      <c r="C98" s="14" t="n"/>
      <c r="D98" s="14" t="n"/>
      <c r="E98" s="15" t="n"/>
      <c r="F98" s="16" t="n"/>
      <c r="G98" s="13" t="n"/>
      <c r="H98" s="13" t="n"/>
      <c r="I98" s="13" t="n"/>
      <c r="J98" s="17">
        <f>IF($F98="","",DATEDIF($F98,Rates!$B$2,"Y"))</f>
        <v/>
      </c>
      <c r="K98" s="18">
        <f>IF($F98="","",IF(UPPER($I98)="Y",Rates!$B$7,IF(J98&gt;=21,Rates!$B$4,IF(J98&gt;=18,Rates!$B$5,Rates!$B$6))))</f>
        <v/>
      </c>
      <c r="L98" s="17">
        <f>IF($F98="","",IF($E98&lt;K98,"Uplift needed","OK"))</f>
        <v/>
      </c>
      <c r="M98" s="17">
        <f>IF($F98="","",IF(AND(J98&lt;21,DATEDIF($F98,Rates!$B$3,"Y")&gt;=21),"Turns 21",IF(AND(J98&lt;18,DATEDIF($F98,Rates!$B$3,"Y")&gt;=18),"Turns 18","")))</f>
        <v/>
      </c>
      <c r="N98" s="18">
        <f>IF($F98="","",MAX($E98,K98))</f>
        <v/>
      </c>
      <c r="O98" s="19">
        <f>IF($F98="","",ROUND($C98*N98/$E98,2))</f>
        <v/>
      </c>
      <c r="P98" s="19">
        <f>IF($F98="","",ROUND($D98*N98/$E98,2))</f>
        <v/>
      </c>
      <c r="Q98" s="19">
        <f>IF($F98="","",ROUND(P98-$D98,2))</f>
        <v/>
      </c>
      <c r="R98" s="19">
        <f>IF($F98="","",ROUND(Rates!$B$8*(MAX(0,P98-Rates!$B$9)-MAX(0,$D98-Rates!$B$9)),2))</f>
        <v/>
      </c>
      <c r="S98" s="19">
        <f>IF($F98="","",ROUND(Rates!$B$10*IF(Rates!$B$11="Full",P98-$D98,MAX(0,MIN(P98,Rates!$B$13)-Rates!$B$12)-MAX(0,MIN($D98,Rates!$B$13)-Rates!$B$12)),2))</f>
        <v/>
      </c>
      <c r="T98" s="19">
        <f>IF($F98="","",ROUND(Q98+R98+S98,2))</f>
        <v/>
      </c>
    </row>
    <row r="99">
      <c r="A99" s="13" t="n"/>
      <c r="B99" s="13" t="n"/>
      <c r="C99" s="14" t="n"/>
      <c r="D99" s="14" t="n"/>
      <c r="E99" s="15" t="n"/>
      <c r="F99" s="16" t="n"/>
      <c r="G99" s="13" t="n"/>
      <c r="H99" s="13" t="n"/>
      <c r="I99" s="13" t="n"/>
      <c r="J99" s="17">
        <f>IF($F99="","",DATEDIF($F99,Rates!$B$2,"Y"))</f>
        <v/>
      </c>
      <c r="K99" s="18">
        <f>IF($F99="","",IF(UPPER($I99)="Y",Rates!$B$7,IF(J99&gt;=21,Rates!$B$4,IF(J99&gt;=18,Rates!$B$5,Rates!$B$6))))</f>
        <v/>
      </c>
      <c r="L99" s="17">
        <f>IF($F99="","",IF($E99&lt;K99,"Uplift needed","OK"))</f>
        <v/>
      </c>
      <c r="M99" s="17">
        <f>IF($F99="","",IF(AND(J99&lt;21,DATEDIF($F99,Rates!$B$3,"Y")&gt;=21),"Turns 21",IF(AND(J99&lt;18,DATEDIF($F99,Rates!$B$3,"Y")&gt;=18),"Turns 18","")))</f>
        <v/>
      </c>
      <c r="N99" s="18">
        <f>IF($F99="","",MAX($E99,K99))</f>
        <v/>
      </c>
      <c r="O99" s="19">
        <f>IF($F99="","",ROUND($C99*N99/$E99,2))</f>
        <v/>
      </c>
      <c r="P99" s="19">
        <f>IF($F99="","",ROUND($D99*N99/$E99,2))</f>
        <v/>
      </c>
      <c r="Q99" s="19">
        <f>IF($F99="","",ROUND(P99-$D99,2))</f>
        <v/>
      </c>
      <c r="R99" s="19">
        <f>IF($F99="","",ROUND(Rates!$B$8*(MAX(0,P99-Rates!$B$9)-MAX(0,$D99-Rates!$B$9)),2))</f>
        <v/>
      </c>
      <c r="S99" s="19">
        <f>IF($F99="","",ROUND(Rates!$B$10*IF(Rates!$B$11="Full",P99-$D99,MAX(0,MIN(P99,Rates!$B$13)-Rates!$B$12)-MAX(0,MIN($D99,Rates!$B$13)-Rates!$B$12)),2))</f>
        <v/>
      </c>
      <c r="T99" s="19">
        <f>IF($F99="","",ROUND(Q99+R99+S99,2))</f>
        <v/>
      </c>
    </row>
    <row r="100">
      <c r="A100" s="13" t="n"/>
      <c r="B100" s="13" t="n"/>
      <c r="C100" s="14" t="n"/>
      <c r="D100" s="14" t="n"/>
      <c r="E100" s="15" t="n"/>
      <c r="F100" s="16" t="n"/>
      <c r="G100" s="13" t="n"/>
      <c r="H100" s="13" t="n"/>
      <c r="I100" s="13" t="n"/>
      <c r="J100" s="17">
        <f>IF($F100="","",DATEDIF($F100,Rates!$B$2,"Y"))</f>
        <v/>
      </c>
      <c r="K100" s="18">
        <f>IF($F100="","",IF(UPPER($I100)="Y",Rates!$B$7,IF(J100&gt;=21,Rates!$B$4,IF(J100&gt;=18,Rates!$B$5,Rates!$B$6))))</f>
        <v/>
      </c>
      <c r="L100" s="17">
        <f>IF($F100="","",IF($E100&lt;K100,"Uplift needed","OK"))</f>
        <v/>
      </c>
      <c r="M100" s="17">
        <f>IF($F100="","",IF(AND(J100&lt;21,DATEDIF($F100,Rates!$B$3,"Y")&gt;=21),"Turns 21",IF(AND(J100&lt;18,DATEDIF($F100,Rates!$B$3,"Y")&gt;=18),"Turns 18","")))</f>
        <v/>
      </c>
      <c r="N100" s="18">
        <f>IF($F100="","",MAX($E100,K100))</f>
        <v/>
      </c>
      <c r="O100" s="19">
        <f>IF($F100="","",ROUND($C100*N100/$E100,2))</f>
        <v/>
      </c>
      <c r="P100" s="19">
        <f>IF($F100="","",ROUND($D100*N100/$E100,2))</f>
        <v/>
      </c>
      <c r="Q100" s="19">
        <f>IF($F100="","",ROUND(P100-$D100,2))</f>
        <v/>
      </c>
      <c r="R100" s="19">
        <f>IF($F100="","",ROUND(Rates!$B$8*(MAX(0,P100-Rates!$B$9)-MAX(0,$D100-Rates!$B$9)),2))</f>
        <v/>
      </c>
      <c r="S100" s="19">
        <f>IF($F100="","",ROUND(Rates!$B$10*IF(Rates!$B$11="Full",P100-$D100,MAX(0,MIN(P100,Rates!$B$13)-Rates!$B$12)-MAX(0,MIN($D100,Rates!$B$13)-Rates!$B$12)),2))</f>
        <v/>
      </c>
      <c r="T100" s="19">
        <f>IF($F100="","",ROUND(Q100+R100+S100,2))</f>
        <v/>
      </c>
    </row>
    <row r="101">
      <c r="A101" s="13" t="n"/>
      <c r="B101" s="13" t="n"/>
      <c r="C101" s="14" t="n"/>
      <c r="D101" s="14" t="n"/>
      <c r="E101" s="15" t="n"/>
      <c r="F101" s="16" t="n"/>
      <c r="G101" s="13" t="n"/>
      <c r="H101" s="13" t="n"/>
      <c r="I101" s="13" t="n"/>
      <c r="J101" s="17">
        <f>IF($F101="","",DATEDIF($F101,Rates!$B$2,"Y"))</f>
        <v/>
      </c>
      <c r="K101" s="18">
        <f>IF($F101="","",IF(UPPER($I101)="Y",Rates!$B$7,IF(J101&gt;=21,Rates!$B$4,IF(J101&gt;=18,Rates!$B$5,Rates!$B$6))))</f>
        <v/>
      </c>
      <c r="L101" s="17">
        <f>IF($F101="","",IF($E101&lt;K101,"Uplift needed","OK"))</f>
        <v/>
      </c>
      <c r="M101" s="17">
        <f>IF($F101="","",IF(AND(J101&lt;21,DATEDIF($F101,Rates!$B$3,"Y")&gt;=21),"Turns 21",IF(AND(J101&lt;18,DATEDIF($F101,Rates!$B$3,"Y")&gt;=18),"Turns 18","")))</f>
        <v/>
      </c>
      <c r="N101" s="18">
        <f>IF($F101="","",MAX($E101,K101))</f>
        <v/>
      </c>
      <c r="O101" s="19">
        <f>IF($F101="","",ROUND($C101*N101/$E101,2))</f>
        <v/>
      </c>
      <c r="P101" s="19">
        <f>IF($F101="","",ROUND($D101*N101/$E101,2))</f>
        <v/>
      </c>
      <c r="Q101" s="19">
        <f>IF($F101="","",ROUND(P101-$D101,2))</f>
        <v/>
      </c>
      <c r="R101" s="19">
        <f>IF($F101="","",ROUND(Rates!$B$8*(MAX(0,P101-Rates!$B$9)-MAX(0,$D101-Rates!$B$9)),2))</f>
        <v/>
      </c>
      <c r="S101" s="19">
        <f>IF($F101="","",ROUND(Rates!$B$10*IF(Rates!$B$11="Full",P101-$D101,MAX(0,MIN(P101,Rates!$B$13)-Rates!$B$12)-MAX(0,MIN($D101,Rates!$B$13)-Rates!$B$12)),2))</f>
        <v/>
      </c>
      <c r="T101" s="19">
        <f>IF($F101="","",ROUND(Q101+R101+S101,2))</f>
        <v/>
      </c>
    </row>
    <row r="102">
      <c r="A102" s="13" t="n"/>
      <c r="B102" s="13" t="n"/>
      <c r="C102" s="14" t="n"/>
      <c r="D102" s="14" t="n"/>
      <c r="E102" s="15" t="n"/>
      <c r="F102" s="16" t="n"/>
      <c r="G102" s="13" t="n"/>
      <c r="H102" s="13" t="n"/>
      <c r="I102" s="13" t="n"/>
      <c r="J102" s="17">
        <f>IF($F102="","",DATEDIF($F102,Rates!$B$2,"Y"))</f>
        <v/>
      </c>
      <c r="K102" s="18">
        <f>IF($F102="","",IF(UPPER($I102)="Y",Rates!$B$7,IF(J102&gt;=21,Rates!$B$4,IF(J102&gt;=18,Rates!$B$5,Rates!$B$6))))</f>
        <v/>
      </c>
      <c r="L102" s="17">
        <f>IF($F102="","",IF($E102&lt;K102,"Uplift needed","OK"))</f>
        <v/>
      </c>
      <c r="M102" s="17">
        <f>IF($F102="","",IF(AND(J102&lt;21,DATEDIF($F102,Rates!$B$3,"Y")&gt;=21),"Turns 21",IF(AND(J102&lt;18,DATEDIF($F102,Rates!$B$3,"Y")&gt;=18),"Turns 18","")))</f>
        <v/>
      </c>
      <c r="N102" s="18">
        <f>IF($F102="","",MAX($E102,K102))</f>
        <v/>
      </c>
      <c r="O102" s="19">
        <f>IF($F102="","",ROUND($C102*N102/$E102,2))</f>
        <v/>
      </c>
      <c r="P102" s="19">
        <f>IF($F102="","",ROUND($D102*N102/$E102,2))</f>
        <v/>
      </c>
      <c r="Q102" s="19">
        <f>IF($F102="","",ROUND(P102-$D102,2))</f>
        <v/>
      </c>
      <c r="R102" s="19">
        <f>IF($F102="","",ROUND(Rates!$B$8*(MAX(0,P102-Rates!$B$9)-MAX(0,$D102-Rates!$B$9)),2))</f>
        <v/>
      </c>
      <c r="S102" s="19">
        <f>IF($F102="","",ROUND(Rates!$B$10*IF(Rates!$B$11="Full",P102-$D102,MAX(0,MIN(P102,Rates!$B$13)-Rates!$B$12)-MAX(0,MIN($D102,Rates!$B$13)-Rates!$B$12)),2))</f>
        <v/>
      </c>
      <c r="T102" s="19">
        <f>IF($F102="","",ROUND(Q102+R102+S102,2))</f>
        <v/>
      </c>
    </row>
    <row r="103">
      <c r="A103" s="13" t="n"/>
      <c r="B103" s="13" t="n"/>
      <c r="C103" s="14" t="n"/>
      <c r="D103" s="14" t="n"/>
      <c r="E103" s="15" t="n"/>
      <c r="F103" s="16" t="n"/>
      <c r="G103" s="13" t="n"/>
      <c r="H103" s="13" t="n"/>
      <c r="I103" s="13" t="n"/>
      <c r="J103" s="17">
        <f>IF($F103="","",DATEDIF($F103,Rates!$B$2,"Y"))</f>
        <v/>
      </c>
      <c r="K103" s="18">
        <f>IF($F103="","",IF(UPPER($I103)="Y",Rates!$B$7,IF(J103&gt;=21,Rates!$B$4,IF(J103&gt;=18,Rates!$B$5,Rates!$B$6))))</f>
        <v/>
      </c>
      <c r="L103" s="17">
        <f>IF($F103="","",IF($E103&lt;K103,"Uplift needed","OK"))</f>
        <v/>
      </c>
      <c r="M103" s="17">
        <f>IF($F103="","",IF(AND(J103&lt;21,DATEDIF($F103,Rates!$B$3,"Y")&gt;=21),"Turns 21",IF(AND(J103&lt;18,DATEDIF($F103,Rates!$B$3,"Y")&gt;=18),"Turns 18","")))</f>
        <v/>
      </c>
      <c r="N103" s="18">
        <f>IF($F103="","",MAX($E103,K103))</f>
        <v/>
      </c>
      <c r="O103" s="19">
        <f>IF($F103="","",ROUND($C103*N103/$E103,2))</f>
        <v/>
      </c>
      <c r="P103" s="19">
        <f>IF($F103="","",ROUND($D103*N103/$E103,2))</f>
        <v/>
      </c>
      <c r="Q103" s="19">
        <f>IF($F103="","",ROUND(P103-$D103,2))</f>
        <v/>
      </c>
      <c r="R103" s="19">
        <f>IF($F103="","",ROUND(Rates!$B$8*(MAX(0,P103-Rates!$B$9)-MAX(0,$D103-Rates!$B$9)),2))</f>
        <v/>
      </c>
      <c r="S103" s="19">
        <f>IF($F103="","",ROUND(Rates!$B$10*IF(Rates!$B$11="Full",P103-$D103,MAX(0,MIN(P103,Rates!$B$13)-Rates!$B$12)-MAX(0,MIN($D103,Rates!$B$13)-Rates!$B$12)),2))</f>
        <v/>
      </c>
      <c r="T103" s="19">
        <f>IF($F103="","",ROUND(Q103+R103+S103,2))</f>
        <v/>
      </c>
    </row>
    <row r="104">
      <c r="A104" s="13" t="n"/>
      <c r="B104" s="13" t="n"/>
      <c r="C104" s="14" t="n"/>
      <c r="D104" s="14" t="n"/>
      <c r="E104" s="15" t="n"/>
      <c r="F104" s="16" t="n"/>
      <c r="G104" s="13" t="n"/>
      <c r="H104" s="13" t="n"/>
      <c r="I104" s="13" t="n"/>
      <c r="J104" s="17">
        <f>IF($F104="","",DATEDIF($F104,Rates!$B$2,"Y"))</f>
        <v/>
      </c>
      <c r="K104" s="18">
        <f>IF($F104="","",IF(UPPER($I104)="Y",Rates!$B$7,IF(J104&gt;=21,Rates!$B$4,IF(J104&gt;=18,Rates!$B$5,Rates!$B$6))))</f>
        <v/>
      </c>
      <c r="L104" s="17">
        <f>IF($F104="","",IF($E104&lt;K104,"Uplift needed","OK"))</f>
        <v/>
      </c>
      <c r="M104" s="17">
        <f>IF($F104="","",IF(AND(J104&lt;21,DATEDIF($F104,Rates!$B$3,"Y")&gt;=21),"Turns 21",IF(AND(J104&lt;18,DATEDIF($F104,Rates!$B$3,"Y")&gt;=18),"Turns 18","")))</f>
        <v/>
      </c>
      <c r="N104" s="18">
        <f>IF($F104="","",MAX($E104,K104))</f>
        <v/>
      </c>
      <c r="O104" s="19">
        <f>IF($F104="","",ROUND($C104*N104/$E104,2))</f>
        <v/>
      </c>
      <c r="P104" s="19">
        <f>IF($F104="","",ROUND($D104*N104/$E104,2))</f>
        <v/>
      </c>
      <c r="Q104" s="19">
        <f>IF($F104="","",ROUND(P104-$D104,2))</f>
        <v/>
      </c>
      <c r="R104" s="19">
        <f>IF($F104="","",ROUND(Rates!$B$8*(MAX(0,P104-Rates!$B$9)-MAX(0,$D104-Rates!$B$9)),2))</f>
        <v/>
      </c>
      <c r="S104" s="19">
        <f>IF($F104="","",ROUND(Rates!$B$10*IF(Rates!$B$11="Full",P104-$D104,MAX(0,MIN(P104,Rates!$B$13)-Rates!$B$12)-MAX(0,MIN($D104,Rates!$B$13)-Rates!$B$12)),2))</f>
        <v/>
      </c>
      <c r="T104" s="19">
        <f>IF($F104="","",ROUND(Q104+R104+S104,2))</f>
        <v/>
      </c>
    </row>
    <row r="105">
      <c r="A105" s="13" t="n"/>
      <c r="B105" s="13" t="n"/>
      <c r="C105" s="14" t="n"/>
      <c r="D105" s="14" t="n"/>
      <c r="E105" s="15" t="n"/>
      <c r="F105" s="16" t="n"/>
      <c r="G105" s="13" t="n"/>
      <c r="H105" s="13" t="n"/>
      <c r="I105" s="13" t="n"/>
      <c r="J105" s="17">
        <f>IF($F105="","",DATEDIF($F105,Rates!$B$2,"Y"))</f>
        <v/>
      </c>
      <c r="K105" s="18">
        <f>IF($F105="","",IF(UPPER($I105)="Y",Rates!$B$7,IF(J105&gt;=21,Rates!$B$4,IF(J105&gt;=18,Rates!$B$5,Rates!$B$6))))</f>
        <v/>
      </c>
      <c r="L105" s="17">
        <f>IF($F105="","",IF($E105&lt;K105,"Uplift needed","OK"))</f>
        <v/>
      </c>
      <c r="M105" s="17">
        <f>IF($F105="","",IF(AND(J105&lt;21,DATEDIF($F105,Rates!$B$3,"Y")&gt;=21),"Turns 21",IF(AND(J105&lt;18,DATEDIF($F105,Rates!$B$3,"Y")&gt;=18),"Turns 18","")))</f>
        <v/>
      </c>
      <c r="N105" s="18">
        <f>IF($F105="","",MAX($E105,K105))</f>
        <v/>
      </c>
      <c r="O105" s="19">
        <f>IF($F105="","",ROUND($C105*N105/$E105,2))</f>
        <v/>
      </c>
      <c r="P105" s="19">
        <f>IF($F105="","",ROUND($D105*N105/$E105,2))</f>
        <v/>
      </c>
      <c r="Q105" s="19">
        <f>IF($F105="","",ROUND(P105-$D105,2))</f>
        <v/>
      </c>
      <c r="R105" s="19">
        <f>IF($F105="","",ROUND(Rates!$B$8*(MAX(0,P105-Rates!$B$9)-MAX(0,$D105-Rates!$B$9)),2))</f>
        <v/>
      </c>
      <c r="S105" s="19">
        <f>IF($F105="","",ROUND(Rates!$B$10*IF(Rates!$B$11="Full",P105-$D105,MAX(0,MIN(P105,Rates!$B$13)-Rates!$B$12)-MAX(0,MIN($D105,Rates!$B$13)-Rates!$B$12)),2))</f>
        <v/>
      </c>
      <c r="T105" s="19">
        <f>IF($F105="","",ROUND(Q105+R105+S105,2))</f>
        <v/>
      </c>
    </row>
    <row r="106">
      <c r="A106" s="13" t="n"/>
      <c r="B106" s="13" t="n"/>
      <c r="C106" s="14" t="n"/>
      <c r="D106" s="14" t="n"/>
      <c r="E106" s="15" t="n"/>
      <c r="F106" s="16" t="n"/>
      <c r="G106" s="13" t="n"/>
      <c r="H106" s="13" t="n"/>
      <c r="I106" s="13" t="n"/>
      <c r="J106" s="17">
        <f>IF($F106="","",DATEDIF($F106,Rates!$B$2,"Y"))</f>
        <v/>
      </c>
      <c r="K106" s="18">
        <f>IF($F106="","",IF(UPPER($I106)="Y",Rates!$B$7,IF(J106&gt;=21,Rates!$B$4,IF(J106&gt;=18,Rates!$B$5,Rates!$B$6))))</f>
        <v/>
      </c>
      <c r="L106" s="17">
        <f>IF($F106="","",IF($E106&lt;K106,"Uplift needed","OK"))</f>
        <v/>
      </c>
      <c r="M106" s="17">
        <f>IF($F106="","",IF(AND(J106&lt;21,DATEDIF($F106,Rates!$B$3,"Y")&gt;=21),"Turns 21",IF(AND(J106&lt;18,DATEDIF($F106,Rates!$B$3,"Y")&gt;=18),"Turns 18","")))</f>
        <v/>
      </c>
      <c r="N106" s="18">
        <f>IF($F106="","",MAX($E106,K106))</f>
        <v/>
      </c>
      <c r="O106" s="19">
        <f>IF($F106="","",ROUND($C106*N106/$E106,2))</f>
        <v/>
      </c>
      <c r="P106" s="19">
        <f>IF($F106="","",ROUND($D106*N106/$E106,2))</f>
        <v/>
      </c>
      <c r="Q106" s="19">
        <f>IF($F106="","",ROUND(P106-$D106,2))</f>
        <v/>
      </c>
      <c r="R106" s="19">
        <f>IF($F106="","",ROUND(Rates!$B$8*(MAX(0,P106-Rates!$B$9)-MAX(0,$D106-Rates!$B$9)),2))</f>
        <v/>
      </c>
      <c r="S106" s="19">
        <f>IF($F106="","",ROUND(Rates!$B$10*IF(Rates!$B$11="Full",P106-$D106,MAX(0,MIN(P106,Rates!$B$13)-Rates!$B$12)-MAX(0,MIN($D106,Rates!$B$13)-Rates!$B$12)),2))</f>
        <v/>
      </c>
      <c r="T106" s="19">
        <f>IF($F106="","",ROUND(Q106+R106+S106,2))</f>
        <v/>
      </c>
    </row>
    <row r="107">
      <c r="A107" s="13" t="n"/>
      <c r="B107" s="13" t="n"/>
      <c r="C107" s="14" t="n"/>
      <c r="D107" s="14" t="n"/>
      <c r="E107" s="15" t="n"/>
      <c r="F107" s="16" t="n"/>
      <c r="G107" s="13" t="n"/>
      <c r="H107" s="13" t="n"/>
      <c r="I107" s="13" t="n"/>
      <c r="J107" s="17">
        <f>IF($F107="","",DATEDIF($F107,Rates!$B$2,"Y"))</f>
        <v/>
      </c>
      <c r="K107" s="18">
        <f>IF($F107="","",IF(UPPER($I107)="Y",Rates!$B$7,IF(J107&gt;=21,Rates!$B$4,IF(J107&gt;=18,Rates!$B$5,Rates!$B$6))))</f>
        <v/>
      </c>
      <c r="L107" s="17">
        <f>IF($F107="","",IF($E107&lt;K107,"Uplift needed","OK"))</f>
        <v/>
      </c>
      <c r="M107" s="17">
        <f>IF($F107="","",IF(AND(J107&lt;21,DATEDIF($F107,Rates!$B$3,"Y")&gt;=21),"Turns 21",IF(AND(J107&lt;18,DATEDIF($F107,Rates!$B$3,"Y")&gt;=18),"Turns 18","")))</f>
        <v/>
      </c>
      <c r="N107" s="18">
        <f>IF($F107="","",MAX($E107,K107))</f>
        <v/>
      </c>
      <c r="O107" s="19">
        <f>IF($F107="","",ROUND($C107*N107/$E107,2))</f>
        <v/>
      </c>
      <c r="P107" s="19">
        <f>IF($F107="","",ROUND($D107*N107/$E107,2))</f>
        <v/>
      </c>
      <c r="Q107" s="19">
        <f>IF($F107="","",ROUND(P107-$D107,2))</f>
        <v/>
      </c>
      <c r="R107" s="19">
        <f>IF($F107="","",ROUND(Rates!$B$8*(MAX(0,P107-Rates!$B$9)-MAX(0,$D107-Rates!$B$9)),2))</f>
        <v/>
      </c>
      <c r="S107" s="19">
        <f>IF($F107="","",ROUND(Rates!$B$10*IF(Rates!$B$11="Full",P107-$D107,MAX(0,MIN(P107,Rates!$B$13)-Rates!$B$12)-MAX(0,MIN($D107,Rates!$B$13)-Rates!$B$12)),2))</f>
        <v/>
      </c>
      <c r="T107" s="19">
        <f>IF($F107="","",ROUND(Q107+R107+S107,2))</f>
        <v/>
      </c>
    </row>
    <row r="108">
      <c r="A108" s="13" t="n"/>
      <c r="B108" s="13" t="n"/>
      <c r="C108" s="14" t="n"/>
      <c r="D108" s="14" t="n"/>
      <c r="E108" s="15" t="n"/>
      <c r="F108" s="16" t="n"/>
      <c r="G108" s="13" t="n"/>
      <c r="H108" s="13" t="n"/>
      <c r="I108" s="13" t="n"/>
      <c r="J108" s="17">
        <f>IF($F108="","",DATEDIF($F108,Rates!$B$2,"Y"))</f>
        <v/>
      </c>
      <c r="K108" s="18">
        <f>IF($F108="","",IF(UPPER($I108)="Y",Rates!$B$7,IF(J108&gt;=21,Rates!$B$4,IF(J108&gt;=18,Rates!$B$5,Rates!$B$6))))</f>
        <v/>
      </c>
      <c r="L108" s="17">
        <f>IF($F108="","",IF($E108&lt;K108,"Uplift needed","OK"))</f>
        <v/>
      </c>
      <c r="M108" s="17">
        <f>IF($F108="","",IF(AND(J108&lt;21,DATEDIF($F108,Rates!$B$3,"Y")&gt;=21),"Turns 21",IF(AND(J108&lt;18,DATEDIF($F108,Rates!$B$3,"Y")&gt;=18),"Turns 18","")))</f>
        <v/>
      </c>
      <c r="N108" s="18">
        <f>IF($F108="","",MAX($E108,K108))</f>
        <v/>
      </c>
      <c r="O108" s="19">
        <f>IF($F108="","",ROUND($C108*N108/$E108,2))</f>
        <v/>
      </c>
      <c r="P108" s="19">
        <f>IF($F108="","",ROUND($D108*N108/$E108,2))</f>
        <v/>
      </c>
      <c r="Q108" s="19">
        <f>IF($F108="","",ROUND(P108-$D108,2))</f>
        <v/>
      </c>
      <c r="R108" s="19">
        <f>IF($F108="","",ROUND(Rates!$B$8*(MAX(0,P108-Rates!$B$9)-MAX(0,$D108-Rates!$B$9)),2))</f>
        <v/>
      </c>
      <c r="S108" s="19">
        <f>IF($F108="","",ROUND(Rates!$B$10*IF(Rates!$B$11="Full",P108-$D108,MAX(0,MIN(P108,Rates!$B$13)-Rates!$B$12)-MAX(0,MIN($D108,Rates!$B$13)-Rates!$B$12)),2))</f>
        <v/>
      </c>
      <c r="T108" s="19">
        <f>IF($F108="","",ROUND(Q108+R108+S108,2))</f>
        <v/>
      </c>
    </row>
    <row r="109">
      <c r="A109" s="13" t="n"/>
      <c r="B109" s="13" t="n"/>
      <c r="C109" s="14" t="n"/>
      <c r="D109" s="14" t="n"/>
      <c r="E109" s="15" t="n"/>
      <c r="F109" s="16" t="n"/>
      <c r="G109" s="13" t="n"/>
      <c r="H109" s="13" t="n"/>
      <c r="I109" s="13" t="n"/>
      <c r="J109" s="17">
        <f>IF($F109="","",DATEDIF($F109,Rates!$B$2,"Y"))</f>
        <v/>
      </c>
      <c r="K109" s="18">
        <f>IF($F109="","",IF(UPPER($I109)="Y",Rates!$B$7,IF(J109&gt;=21,Rates!$B$4,IF(J109&gt;=18,Rates!$B$5,Rates!$B$6))))</f>
        <v/>
      </c>
      <c r="L109" s="17">
        <f>IF($F109="","",IF($E109&lt;K109,"Uplift needed","OK"))</f>
        <v/>
      </c>
      <c r="M109" s="17">
        <f>IF($F109="","",IF(AND(J109&lt;21,DATEDIF($F109,Rates!$B$3,"Y")&gt;=21),"Turns 21",IF(AND(J109&lt;18,DATEDIF($F109,Rates!$B$3,"Y")&gt;=18),"Turns 18","")))</f>
        <v/>
      </c>
      <c r="N109" s="18">
        <f>IF($F109="","",MAX($E109,K109))</f>
        <v/>
      </c>
      <c r="O109" s="19">
        <f>IF($F109="","",ROUND($C109*N109/$E109,2))</f>
        <v/>
      </c>
      <c r="P109" s="19">
        <f>IF($F109="","",ROUND($D109*N109/$E109,2))</f>
        <v/>
      </c>
      <c r="Q109" s="19">
        <f>IF($F109="","",ROUND(P109-$D109,2))</f>
        <v/>
      </c>
      <c r="R109" s="19">
        <f>IF($F109="","",ROUND(Rates!$B$8*(MAX(0,P109-Rates!$B$9)-MAX(0,$D109-Rates!$B$9)),2))</f>
        <v/>
      </c>
      <c r="S109" s="19">
        <f>IF($F109="","",ROUND(Rates!$B$10*IF(Rates!$B$11="Full",P109-$D109,MAX(0,MIN(P109,Rates!$B$13)-Rates!$B$12)-MAX(0,MIN($D109,Rates!$B$13)-Rates!$B$12)),2))</f>
        <v/>
      </c>
      <c r="T109" s="19">
        <f>IF($F109="","",ROUND(Q109+R109+S109,2))</f>
        <v/>
      </c>
    </row>
    <row r="110">
      <c r="A110" s="13" t="n"/>
      <c r="B110" s="13" t="n"/>
      <c r="C110" s="14" t="n"/>
      <c r="D110" s="14" t="n"/>
      <c r="E110" s="15" t="n"/>
      <c r="F110" s="16" t="n"/>
      <c r="G110" s="13" t="n"/>
      <c r="H110" s="13" t="n"/>
      <c r="I110" s="13" t="n"/>
      <c r="J110" s="17">
        <f>IF($F110="","",DATEDIF($F110,Rates!$B$2,"Y"))</f>
        <v/>
      </c>
      <c r="K110" s="18">
        <f>IF($F110="","",IF(UPPER($I110)="Y",Rates!$B$7,IF(J110&gt;=21,Rates!$B$4,IF(J110&gt;=18,Rates!$B$5,Rates!$B$6))))</f>
        <v/>
      </c>
      <c r="L110" s="17">
        <f>IF($F110="","",IF($E110&lt;K110,"Uplift needed","OK"))</f>
        <v/>
      </c>
      <c r="M110" s="17">
        <f>IF($F110="","",IF(AND(J110&lt;21,DATEDIF($F110,Rates!$B$3,"Y")&gt;=21),"Turns 21",IF(AND(J110&lt;18,DATEDIF($F110,Rates!$B$3,"Y")&gt;=18),"Turns 18","")))</f>
        <v/>
      </c>
      <c r="N110" s="18">
        <f>IF($F110="","",MAX($E110,K110))</f>
        <v/>
      </c>
      <c r="O110" s="19">
        <f>IF($F110="","",ROUND($C110*N110/$E110,2))</f>
        <v/>
      </c>
      <c r="P110" s="19">
        <f>IF($F110="","",ROUND($D110*N110/$E110,2))</f>
        <v/>
      </c>
      <c r="Q110" s="19">
        <f>IF($F110="","",ROUND(P110-$D110,2))</f>
        <v/>
      </c>
      <c r="R110" s="19">
        <f>IF($F110="","",ROUND(Rates!$B$8*(MAX(0,P110-Rates!$B$9)-MAX(0,$D110-Rates!$B$9)),2))</f>
        <v/>
      </c>
      <c r="S110" s="19">
        <f>IF($F110="","",ROUND(Rates!$B$10*IF(Rates!$B$11="Full",P110-$D110,MAX(0,MIN(P110,Rates!$B$13)-Rates!$B$12)-MAX(0,MIN($D110,Rates!$B$13)-Rates!$B$12)),2))</f>
        <v/>
      </c>
      <c r="T110" s="19">
        <f>IF($F110="","",ROUND(Q110+R110+S110,2))</f>
        <v/>
      </c>
    </row>
    <row r="111">
      <c r="A111" s="13" t="n"/>
      <c r="B111" s="13" t="n"/>
      <c r="C111" s="14" t="n"/>
      <c r="D111" s="14" t="n"/>
      <c r="E111" s="15" t="n"/>
      <c r="F111" s="16" t="n"/>
      <c r="G111" s="13" t="n"/>
      <c r="H111" s="13" t="n"/>
      <c r="I111" s="13" t="n"/>
      <c r="J111" s="17">
        <f>IF($F111="","",DATEDIF($F111,Rates!$B$2,"Y"))</f>
        <v/>
      </c>
      <c r="K111" s="18">
        <f>IF($F111="","",IF(UPPER($I111)="Y",Rates!$B$7,IF(J111&gt;=21,Rates!$B$4,IF(J111&gt;=18,Rates!$B$5,Rates!$B$6))))</f>
        <v/>
      </c>
      <c r="L111" s="17">
        <f>IF($F111="","",IF($E111&lt;K111,"Uplift needed","OK"))</f>
        <v/>
      </c>
      <c r="M111" s="17">
        <f>IF($F111="","",IF(AND(J111&lt;21,DATEDIF($F111,Rates!$B$3,"Y")&gt;=21),"Turns 21",IF(AND(J111&lt;18,DATEDIF($F111,Rates!$B$3,"Y")&gt;=18),"Turns 18","")))</f>
        <v/>
      </c>
      <c r="N111" s="18">
        <f>IF($F111="","",MAX($E111,K111))</f>
        <v/>
      </c>
      <c r="O111" s="19">
        <f>IF($F111="","",ROUND($C111*N111/$E111,2))</f>
        <v/>
      </c>
      <c r="P111" s="19">
        <f>IF($F111="","",ROUND($D111*N111/$E111,2))</f>
        <v/>
      </c>
      <c r="Q111" s="19">
        <f>IF($F111="","",ROUND(P111-$D111,2))</f>
        <v/>
      </c>
      <c r="R111" s="19">
        <f>IF($F111="","",ROUND(Rates!$B$8*(MAX(0,P111-Rates!$B$9)-MAX(0,$D111-Rates!$B$9)),2))</f>
        <v/>
      </c>
      <c r="S111" s="19">
        <f>IF($F111="","",ROUND(Rates!$B$10*IF(Rates!$B$11="Full",P111-$D111,MAX(0,MIN(P111,Rates!$B$13)-Rates!$B$12)-MAX(0,MIN($D111,Rates!$B$13)-Rates!$B$12)),2))</f>
        <v/>
      </c>
      <c r="T111" s="19">
        <f>IF($F111="","",ROUND(Q111+R111+S111,2))</f>
        <v/>
      </c>
    </row>
    <row r="112">
      <c r="A112" s="13" t="n"/>
      <c r="B112" s="13" t="n"/>
      <c r="C112" s="14" t="n"/>
      <c r="D112" s="14" t="n"/>
      <c r="E112" s="15" t="n"/>
      <c r="F112" s="16" t="n"/>
      <c r="G112" s="13" t="n"/>
      <c r="H112" s="13" t="n"/>
      <c r="I112" s="13" t="n"/>
      <c r="J112" s="17">
        <f>IF($F112="","",DATEDIF($F112,Rates!$B$2,"Y"))</f>
        <v/>
      </c>
      <c r="K112" s="18">
        <f>IF($F112="","",IF(UPPER($I112)="Y",Rates!$B$7,IF(J112&gt;=21,Rates!$B$4,IF(J112&gt;=18,Rates!$B$5,Rates!$B$6))))</f>
        <v/>
      </c>
      <c r="L112" s="17">
        <f>IF($F112="","",IF($E112&lt;K112,"Uplift needed","OK"))</f>
        <v/>
      </c>
      <c r="M112" s="17">
        <f>IF($F112="","",IF(AND(J112&lt;21,DATEDIF($F112,Rates!$B$3,"Y")&gt;=21),"Turns 21",IF(AND(J112&lt;18,DATEDIF($F112,Rates!$B$3,"Y")&gt;=18),"Turns 18","")))</f>
        <v/>
      </c>
      <c r="N112" s="18">
        <f>IF($F112="","",MAX($E112,K112))</f>
        <v/>
      </c>
      <c r="O112" s="19">
        <f>IF($F112="","",ROUND($C112*N112/$E112,2))</f>
        <v/>
      </c>
      <c r="P112" s="19">
        <f>IF($F112="","",ROUND($D112*N112/$E112,2))</f>
        <v/>
      </c>
      <c r="Q112" s="19">
        <f>IF($F112="","",ROUND(P112-$D112,2))</f>
        <v/>
      </c>
      <c r="R112" s="19">
        <f>IF($F112="","",ROUND(Rates!$B$8*(MAX(0,P112-Rates!$B$9)-MAX(0,$D112-Rates!$B$9)),2))</f>
        <v/>
      </c>
      <c r="S112" s="19">
        <f>IF($F112="","",ROUND(Rates!$B$10*IF(Rates!$B$11="Full",P112-$D112,MAX(0,MIN(P112,Rates!$B$13)-Rates!$B$12)-MAX(0,MIN($D112,Rates!$B$13)-Rates!$B$12)),2))</f>
        <v/>
      </c>
      <c r="T112" s="19">
        <f>IF($F112="","",ROUND(Q112+R112+S112,2))</f>
        <v/>
      </c>
    </row>
    <row r="113">
      <c r="A113" s="13" t="n"/>
      <c r="B113" s="13" t="n"/>
      <c r="C113" s="14" t="n"/>
      <c r="D113" s="14" t="n"/>
      <c r="E113" s="15" t="n"/>
      <c r="F113" s="16" t="n"/>
      <c r="G113" s="13" t="n"/>
      <c r="H113" s="13" t="n"/>
      <c r="I113" s="13" t="n"/>
      <c r="J113" s="17">
        <f>IF($F113="","",DATEDIF($F113,Rates!$B$2,"Y"))</f>
        <v/>
      </c>
      <c r="K113" s="18">
        <f>IF($F113="","",IF(UPPER($I113)="Y",Rates!$B$7,IF(J113&gt;=21,Rates!$B$4,IF(J113&gt;=18,Rates!$B$5,Rates!$B$6))))</f>
        <v/>
      </c>
      <c r="L113" s="17">
        <f>IF($F113="","",IF($E113&lt;K113,"Uplift needed","OK"))</f>
        <v/>
      </c>
      <c r="M113" s="17">
        <f>IF($F113="","",IF(AND(J113&lt;21,DATEDIF($F113,Rates!$B$3,"Y")&gt;=21),"Turns 21",IF(AND(J113&lt;18,DATEDIF($F113,Rates!$B$3,"Y")&gt;=18),"Turns 18","")))</f>
        <v/>
      </c>
      <c r="N113" s="18">
        <f>IF($F113="","",MAX($E113,K113))</f>
        <v/>
      </c>
      <c r="O113" s="19">
        <f>IF($F113="","",ROUND($C113*N113/$E113,2))</f>
        <v/>
      </c>
      <c r="P113" s="19">
        <f>IF($F113="","",ROUND($D113*N113/$E113,2))</f>
        <v/>
      </c>
      <c r="Q113" s="19">
        <f>IF($F113="","",ROUND(P113-$D113,2))</f>
        <v/>
      </c>
      <c r="R113" s="19">
        <f>IF($F113="","",ROUND(Rates!$B$8*(MAX(0,P113-Rates!$B$9)-MAX(0,$D113-Rates!$B$9)),2))</f>
        <v/>
      </c>
      <c r="S113" s="19">
        <f>IF($F113="","",ROUND(Rates!$B$10*IF(Rates!$B$11="Full",P113-$D113,MAX(0,MIN(P113,Rates!$B$13)-Rates!$B$12)-MAX(0,MIN($D113,Rates!$B$13)-Rates!$B$12)),2))</f>
        <v/>
      </c>
      <c r="T113" s="19">
        <f>IF($F113="","",ROUND(Q113+R113+S113,2))</f>
        <v/>
      </c>
    </row>
    <row r="114">
      <c r="A114" s="13" t="n"/>
      <c r="B114" s="13" t="n"/>
      <c r="C114" s="14" t="n"/>
      <c r="D114" s="14" t="n"/>
      <c r="E114" s="15" t="n"/>
      <c r="F114" s="16" t="n"/>
      <c r="G114" s="13" t="n"/>
      <c r="H114" s="13" t="n"/>
      <c r="I114" s="13" t="n"/>
      <c r="J114" s="17">
        <f>IF($F114="","",DATEDIF($F114,Rates!$B$2,"Y"))</f>
        <v/>
      </c>
      <c r="K114" s="18">
        <f>IF($F114="","",IF(UPPER($I114)="Y",Rates!$B$7,IF(J114&gt;=21,Rates!$B$4,IF(J114&gt;=18,Rates!$B$5,Rates!$B$6))))</f>
        <v/>
      </c>
      <c r="L114" s="17">
        <f>IF($F114="","",IF($E114&lt;K114,"Uplift needed","OK"))</f>
        <v/>
      </c>
      <c r="M114" s="17">
        <f>IF($F114="","",IF(AND(J114&lt;21,DATEDIF($F114,Rates!$B$3,"Y")&gt;=21),"Turns 21",IF(AND(J114&lt;18,DATEDIF($F114,Rates!$B$3,"Y")&gt;=18),"Turns 18","")))</f>
        <v/>
      </c>
      <c r="N114" s="18">
        <f>IF($F114="","",MAX($E114,K114))</f>
        <v/>
      </c>
      <c r="O114" s="19">
        <f>IF($F114="","",ROUND($C114*N114/$E114,2))</f>
        <v/>
      </c>
      <c r="P114" s="19">
        <f>IF($F114="","",ROUND($D114*N114/$E114,2))</f>
        <v/>
      </c>
      <c r="Q114" s="19">
        <f>IF($F114="","",ROUND(P114-$D114,2))</f>
        <v/>
      </c>
      <c r="R114" s="19">
        <f>IF($F114="","",ROUND(Rates!$B$8*(MAX(0,P114-Rates!$B$9)-MAX(0,$D114-Rates!$B$9)),2))</f>
        <v/>
      </c>
      <c r="S114" s="19">
        <f>IF($F114="","",ROUND(Rates!$B$10*IF(Rates!$B$11="Full",P114-$D114,MAX(0,MIN(P114,Rates!$B$13)-Rates!$B$12)-MAX(0,MIN($D114,Rates!$B$13)-Rates!$B$12)),2))</f>
        <v/>
      </c>
      <c r="T114" s="19">
        <f>IF($F114="","",ROUND(Q114+R114+S114,2))</f>
        <v/>
      </c>
    </row>
    <row r="115">
      <c r="A115" s="13" t="n"/>
      <c r="B115" s="13" t="n"/>
      <c r="C115" s="14" t="n"/>
      <c r="D115" s="14" t="n"/>
      <c r="E115" s="15" t="n"/>
      <c r="F115" s="16" t="n"/>
      <c r="G115" s="13" t="n"/>
      <c r="H115" s="13" t="n"/>
      <c r="I115" s="13" t="n"/>
      <c r="J115" s="17">
        <f>IF($F115="","",DATEDIF($F115,Rates!$B$2,"Y"))</f>
        <v/>
      </c>
      <c r="K115" s="18">
        <f>IF($F115="","",IF(UPPER($I115)="Y",Rates!$B$7,IF(J115&gt;=21,Rates!$B$4,IF(J115&gt;=18,Rates!$B$5,Rates!$B$6))))</f>
        <v/>
      </c>
      <c r="L115" s="17">
        <f>IF($F115="","",IF($E115&lt;K115,"Uplift needed","OK"))</f>
        <v/>
      </c>
      <c r="M115" s="17">
        <f>IF($F115="","",IF(AND(J115&lt;21,DATEDIF($F115,Rates!$B$3,"Y")&gt;=21),"Turns 21",IF(AND(J115&lt;18,DATEDIF($F115,Rates!$B$3,"Y")&gt;=18),"Turns 18","")))</f>
        <v/>
      </c>
      <c r="N115" s="18">
        <f>IF($F115="","",MAX($E115,K115))</f>
        <v/>
      </c>
      <c r="O115" s="19">
        <f>IF($F115="","",ROUND($C115*N115/$E115,2))</f>
        <v/>
      </c>
      <c r="P115" s="19">
        <f>IF($F115="","",ROUND($D115*N115/$E115,2))</f>
        <v/>
      </c>
      <c r="Q115" s="19">
        <f>IF($F115="","",ROUND(P115-$D115,2))</f>
        <v/>
      </c>
      <c r="R115" s="19">
        <f>IF($F115="","",ROUND(Rates!$B$8*(MAX(0,P115-Rates!$B$9)-MAX(0,$D115-Rates!$B$9)),2))</f>
        <v/>
      </c>
      <c r="S115" s="19">
        <f>IF($F115="","",ROUND(Rates!$B$10*IF(Rates!$B$11="Full",P115-$D115,MAX(0,MIN(P115,Rates!$B$13)-Rates!$B$12)-MAX(0,MIN($D115,Rates!$B$13)-Rates!$B$12)),2))</f>
        <v/>
      </c>
      <c r="T115" s="19">
        <f>IF($F115="","",ROUND(Q115+R115+S115,2))</f>
        <v/>
      </c>
    </row>
    <row r="116">
      <c r="A116" s="13" t="n"/>
      <c r="B116" s="13" t="n"/>
      <c r="C116" s="14" t="n"/>
      <c r="D116" s="14" t="n"/>
      <c r="E116" s="15" t="n"/>
      <c r="F116" s="16" t="n"/>
      <c r="G116" s="13" t="n"/>
      <c r="H116" s="13" t="n"/>
      <c r="I116" s="13" t="n"/>
      <c r="J116" s="17">
        <f>IF($F116="","",DATEDIF($F116,Rates!$B$2,"Y"))</f>
        <v/>
      </c>
      <c r="K116" s="18">
        <f>IF($F116="","",IF(UPPER($I116)="Y",Rates!$B$7,IF(J116&gt;=21,Rates!$B$4,IF(J116&gt;=18,Rates!$B$5,Rates!$B$6))))</f>
        <v/>
      </c>
      <c r="L116" s="17">
        <f>IF($F116="","",IF($E116&lt;K116,"Uplift needed","OK"))</f>
        <v/>
      </c>
      <c r="M116" s="17">
        <f>IF($F116="","",IF(AND(J116&lt;21,DATEDIF($F116,Rates!$B$3,"Y")&gt;=21),"Turns 21",IF(AND(J116&lt;18,DATEDIF($F116,Rates!$B$3,"Y")&gt;=18),"Turns 18","")))</f>
        <v/>
      </c>
      <c r="N116" s="18">
        <f>IF($F116="","",MAX($E116,K116))</f>
        <v/>
      </c>
      <c r="O116" s="19">
        <f>IF($F116="","",ROUND($C116*N116/$E116,2))</f>
        <v/>
      </c>
      <c r="P116" s="19">
        <f>IF($F116="","",ROUND($D116*N116/$E116,2))</f>
        <v/>
      </c>
      <c r="Q116" s="19">
        <f>IF($F116="","",ROUND(P116-$D116,2))</f>
        <v/>
      </c>
      <c r="R116" s="19">
        <f>IF($F116="","",ROUND(Rates!$B$8*(MAX(0,P116-Rates!$B$9)-MAX(0,$D116-Rates!$B$9)),2))</f>
        <v/>
      </c>
      <c r="S116" s="19">
        <f>IF($F116="","",ROUND(Rates!$B$10*IF(Rates!$B$11="Full",P116-$D116,MAX(0,MIN(P116,Rates!$B$13)-Rates!$B$12)-MAX(0,MIN($D116,Rates!$B$13)-Rates!$B$12)),2))</f>
        <v/>
      </c>
      <c r="T116" s="19">
        <f>IF($F116="","",ROUND(Q116+R116+S116,2))</f>
        <v/>
      </c>
    </row>
    <row r="117">
      <c r="A117" s="13" t="n"/>
      <c r="B117" s="13" t="n"/>
      <c r="C117" s="14" t="n"/>
      <c r="D117" s="14" t="n"/>
      <c r="E117" s="15" t="n"/>
      <c r="F117" s="16" t="n"/>
      <c r="G117" s="13" t="n"/>
      <c r="H117" s="13" t="n"/>
      <c r="I117" s="13" t="n"/>
      <c r="J117" s="17">
        <f>IF($F117="","",DATEDIF($F117,Rates!$B$2,"Y"))</f>
        <v/>
      </c>
      <c r="K117" s="18">
        <f>IF($F117="","",IF(UPPER($I117)="Y",Rates!$B$7,IF(J117&gt;=21,Rates!$B$4,IF(J117&gt;=18,Rates!$B$5,Rates!$B$6))))</f>
        <v/>
      </c>
      <c r="L117" s="17">
        <f>IF($F117="","",IF($E117&lt;K117,"Uplift needed","OK"))</f>
        <v/>
      </c>
      <c r="M117" s="17">
        <f>IF($F117="","",IF(AND(J117&lt;21,DATEDIF($F117,Rates!$B$3,"Y")&gt;=21),"Turns 21",IF(AND(J117&lt;18,DATEDIF($F117,Rates!$B$3,"Y")&gt;=18),"Turns 18","")))</f>
        <v/>
      </c>
      <c r="N117" s="18">
        <f>IF($F117="","",MAX($E117,K117))</f>
        <v/>
      </c>
      <c r="O117" s="19">
        <f>IF($F117="","",ROUND($C117*N117/$E117,2))</f>
        <v/>
      </c>
      <c r="P117" s="19">
        <f>IF($F117="","",ROUND($D117*N117/$E117,2))</f>
        <v/>
      </c>
      <c r="Q117" s="19">
        <f>IF($F117="","",ROUND(P117-$D117,2))</f>
        <v/>
      </c>
      <c r="R117" s="19">
        <f>IF($F117="","",ROUND(Rates!$B$8*(MAX(0,P117-Rates!$B$9)-MAX(0,$D117-Rates!$B$9)),2))</f>
        <v/>
      </c>
      <c r="S117" s="19">
        <f>IF($F117="","",ROUND(Rates!$B$10*IF(Rates!$B$11="Full",P117-$D117,MAX(0,MIN(P117,Rates!$B$13)-Rates!$B$12)-MAX(0,MIN($D117,Rates!$B$13)-Rates!$B$12)),2))</f>
        <v/>
      </c>
      <c r="T117" s="19">
        <f>IF($F117="","",ROUND(Q117+R117+S117,2))</f>
        <v/>
      </c>
    </row>
    <row r="118">
      <c r="A118" s="13" t="n"/>
      <c r="B118" s="13" t="n"/>
      <c r="C118" s="14" t="n"/>
      <c r="D118" s="14" t="n"/>
      <c r="E118" s="15" t="n"/>
      <c r="F118" s="16" t="n"/>
      <c r="G118" s="13" t="n"/>
      <c r="H118" s="13" t="n"/>
      <c r="I118" s="13" t="n"/>
      <c r="J118" s="17">
        <f>IF($F118="","",DATEDIF($F118,Rates!$B$2,"Y"))</f>
        <v/>
      </c>
      <c r="K118" s="18">
        <f>IF($F118="","",IF(UPPER($I118)="Y",Rates!$B$7,IF(J118&gt;=21,Rates!$B$4,IF(J118&gt;=18,Rates!$B$5,Rates!$B$6))))</f>
        <v/>
      </c>
      <c r="L118" s="17">
        <f>IF($F118="","",IF($E118&lt;K118,"Uplift needed","OK"))</f>
        <v/>
      </c>
      <c r="M118" s="17">
        <f>IF($F118="","",IF(AND(J118&lt;21,DATEDIF($F118,Rates!$B$3,"Y")&gt;=21),"Turns 21",IF(AND(J118&lt;18,DATEDIF($F118,Rates!$B$3,"Y")&gt;=18),"Turns 18","")))</f>
        <v/>
      </c>
      <c r="N118" s="18">
        <f>IF($F118="","",MAX($E118,K118))</f>
        <v/>
      </c>
      <c r="O118" s="19">
        <f>IF($F118="","",ROUND($C118*N118/$E118,2))</f>
        <v/>
      </c>
      <c r="P118" s="19">
        <f>IF($F118="","",ROUND($D118*N118/$E118,2))</f>
        <v/>
      </c>
      <c r="Q118" s="19">
        <f>IF($F118="","",ROUND(P118-$D118,2))</f>
        <v/>
      </c>
      <c r="R118" s="19">
        <f>IF($F118="","",ROUND(Rates!$B$8*(MAX(0,P118-Rates!$B$9)-MAX(0,$D118-Rates!$B$9)),2))</f>
        <v/>
      </c>
      <c r="S118" s="19">
        <f>IF($F118="","",ROUND(Rates!$B$10*IF(Rates!$B$11="Full",P118-$D118,MAX(0,MIN(P118,Rates!$B$13)-Rates!$B$12)-MAX(0,MIN($D118,Rates!$B$13)-Rates!$B$12)),2))</f>
        <v/>
      </c>
      <c r="T118" s="19">
        <f>IF($F118="","",ROUND(Q118+R118+S118,2))</f>
        <v/>
      </c>
    </row>
    <row r="119">
      <c r="A119" s="13" t="n"/>
      <c r="B119" s="13" t="n"/>
      <c r="C119" s="14" t="n"/>
      <c r="D119" s="14" t="n"/>
      <c r="E119" s="15" t="n"/>
      <c r="F119" s="16" t="n"/>
      <c r="G119" s="13" t="n"/>
      <c r="H119" s="13" t="n"/>
      <c r="I119" s="13" t="n"/>
      <c r="J119" s="17">
        <f>IF($F119="","",DATEDIF($F119,Rates!$B$2,"Y"))</f>
        <v/>
      </c>
      <c r="K119" s="18">
        <f>IF($F119="","",IF(UPPER($I119)="Y",Rates!$B$7,IF(J119&gt;=21,Rates!$B$4,IF(J119&gt;=18,Rates!$B$5,Rates!$B$6))))</f>
        <v/>
      </c>
      <c r="L119" s="17">
        <f>IF($F119="","",IF($E119&lt;K119,"Uplift needed","OK"))</f>
        <v/>
      </c>
      <c r="M119" s="17">
        <f>IF($F119="","",IF(AND(J119&lt;21,DATEDIF($F119,Rates!$B$3,"Y")&gt;=21),"Turns 21",IF(AND(J119&lt;18,DATEDIF($F119,Rates!$B$3,"Y")&gt;=18),"Turns 18","")))</f>
        <v/>
      </c>
      <c r="N119" s="18">
        <f>IF($F119="","",MAX($E119,K119))</f>
        <v/>
      </c>
      <c r="O119" s="19">
        <f>IF($F119="","",ROUND($C119*N119/$E119,2))</f>
        <v/>
      </c>
      <c r="P119" s="19">
        <f>IF($F119="","",ROUND($D119*N119/$E119,2))</f>
        <v/>
      </c>
      <c r="Q119" s="19">
        <f>IF($F119="","",ROUND(P119-$D119,2))</f>
        <v/>
      </c>
      <c r="R119" s="19">
        <f>IF($F119="","",ROUND(Rates!$B$8*(MAX(0,P119-Rates!$B$9)-MAX(0,$D119-Rates!$B$9)),2))</f>
        <v/>
      </c>
      <c r="S119" s="19">
        <f>IF($F119="","",ROUND(Rates!$B$10*IF(Rates!$B$11="Full",P119-$D119,MAX(0,MIN(P119,Rates!$B$13)-Rates!$B$12)-MAX(0,MIN($D119,Rates!$B$13)-Rates!$B$12)),2))</f>
        <v/>
      </c>
      <c r="T119" s="19">
        <f>IF($F119="","",ROUND(Q119+R119+S119,2))</f>
        <v/>
      </c>
    </row>
    <row r="120">
      <c r="A120" s="13" t="n"/>
      <c r="B120" s="13" t="n"/>
      <c r="C120" s="14" t="n"/>
      <c r="D120" s="14" t="n"/>
      <c r="E120" s="15" t="n"/>
      <c r="F120" s="16" t="n"/>
      <c r="G120" s="13" t="n"/>
      <c r="H120" s="13" t="n"/>
      <c r="I120" s="13" t="n"/>
      <c r="J120" s="17">
        <f>IF($F120="","",DATEDIF($F120,Rates!$B$2,"Y"))</f>
        <v/>
      </c>
      <c r="K120" s="18">
        <f>IF($F120="","",IF(UPPER($I120)="Y",Rates!$B$7,IF(J120&gt;=21,Rates!$B$4,IF(J120&gt;=18,Rates!$B$5,Rates!$B$6))))</f>
        <v/>
      </c>
      <c r="L120" s="17">
        <f>IF($F120="","",IF($E120&lt;K120,"Uplift needed","OK"))</f>
        <v/>
      </c>
      <c r="M120" s="17">
        <f>IF($F120="","",IF(AND(J120&lt;21,DATEDIF($F120,Rates!$B$3,"Y")&gt;=21),"Turns 21",IF(AND(J120&lt;18,DATEDIF($F120,Rates!$B$3,"Y")&gt;=18),"Turns 18","")))</f>
        <v/>
      </c>
      <c r="N120" s="18">
        <f>IF($F120="","",MAX($E120,K120))</f>
        <v/>
      </c>
      <c r="O120" s="19">
        <f>IF($F120="","",ROUND($C120*N120/$E120,2))</f>
        <v/>
      </c>
      <c r="P120" s="19">
        <f>IF($F120="","",ROUND($D120*N120/$E120,2))</f>
        <v/>
      </c>
      <c r="Q120" s="19">
        <f>IF($F120="","",ROUND(P120-$D120,2))</f>
        <v/>
      </c>
      <c r="R120" s="19">
        <f>IF($F120="","",ROUND(Rates!$B$8*(MAX(0,P120-Rates!$B$9)-MAX(0,$D120-Rates!$B$9)),2))</f>
        <v/>
      </c>
      <c r="S120" s="19">
        <f>IF($F120="","",ROUND(Rates!$B$10*IF(Rates!$B$11="Full",P120-$D120,MAX(0,MIN(P120,Rates!$B$13)-Rates!$B$12)-MAX(0,MIN($D120,Rates!$B$13)-Rates!$B$12)),2))</f>
        <v/>
      </c>
      <c r="T120" s="19">
        <f>IF($F120="","",ROUND(Q120+R120+S120,2))</f>
        <v/>
      </c>
    </row>
    <row r="121">
      <c r="A121" s="13" t="n"/>
      <c r="B121" s="13" t="n"/>
      <c r="C121" s="14" t="n"/>
      <c r="D121" s="14" t="n"/>
      <c r="E121" s="15" t="n"/>
      <c r="F121" s="16" t="n"/>
      <c r="G121" s="13" t="n"/>
      <c r="H121" s="13" t="n"/>
      <c r="I121" s="13" t="n"/>
      <c r="J121" s="17">
        <f>IF($F121="","",DATEDIF($F121,Rates!$B$2,"Y"))</f>
        <v/>
      </c>
      <c r="K121" s="18">
        <f>IF($F121="","",IF(UPPER($I121)="Y",Rates!$B$7,IF(J121&gt;=21,Rates!$B$4,IF(J121&gt;=18,Rates!$B$5,Rates!$B$6))))</f>
        <v/>
      </c>
      <c r="L121" s="17">
        <f>IF($F121="","",IF($E121&lt;K121,"Uplift needed","OK"))</f>
        <v/>
      </c>
      <c r="M121" s="17">
        <f>IF($F121="","",IF(AND(J121&lt;21,DATEDIF($F121,Rates!$B$3,"Y")&gt;=21),"Turns 21",IF(AND(J121&lt;18,DATEDIF($F121,Rates!$B$3,"Y")&gt;=18),"Turns 18","")))</f>
        <v/>
      </c>
      <c r="N121" s="18">
        <f>IF($F121="","",MAX($E121,K121))</f>
        <v/>
      </c>
      <c r="O121" s="19">
        <f>IF($F121="","",ROUND($C121*N121/$E121,2))</f>
        <v/>
      </c>
      <c r="P121" s="19">
        <f>IF($F121="","",ROUND($D121*N121/$E121,2))</f>
        <v/>
      </c>
      <c r="Q121" s="19">
        <f>IF($F121="","",ROUND(P121-$D121,2))</f>
        <v/>
      </c>
      <c r="R121" s="19">
        <f>IF($F121="","",ROUND(Rates!$B$8*(MAX(0,P121-Rates!$B$9)-MAX(0,$D121-Rates!$B$9)),2))</f>
        <v/>
      </c>
      <c r="S121" s="19">
        <f>IF($F121="","",ROUND(Rates!$B$10*IF(Rates!$B$11="Full",P121-$D121,MAX(0,MIN(P121,Rates!$B$13)-Rates!$B$12)-MAX(0,MIN($D121,Rates!$B$13)-Rates!$B$12)),2))</f>
        <v/>
      </c>
      <c r="T121" s="19">
        <f>IF($F121="","",ROUND(Q121+R121+S121,2))</f>
        <v/>
      </c>
    </row>
    <row r="122">
      <c r="A122" s="13" t="n"/>
      <c r="B122" s="13" t="n"/>
      <c r="C122" s="14" t="n"/>
      <c r="D122" s="14" t="n"/>
      <c r="E122" s="15" t="n"/>
      <c r="F122" s="16" t="n"/>
      <c r="G122" s="13" t="n"/>
      <c r="H122" s="13" t="n"/>
      <c r="I122" s="13" t="n"/>
      <c r="J122" s="17">
        <f>IF($F122="","",DATEDIF($F122,Rates!$B$2,"Y"))</f>
        <v/>
      </c>
      <c r="K122" s="18">
        <f>IF($F122="","",IF(UPPER($I122)="Y",Rates!$B$7,IF(J122&gt;=21,Rates!$B$4,IF(J122&gt;=18,Rates!$B$5,Rates!$B$6))))</f>
        <v/>
      </c>
      <c r="L122" s="17">
        <f>IF($F122="","",IF($E122&lt;K122,"Uplift needed","OK"))</f>
        <v/>
      </c>
      <c r="M122" s="17">
        <f>IF($F122="","",IF(AND(J122&lt;21,DATEDIF($F122,Rates!$B$3,"Y")&gt;=21),"Turns 21",IF(AND(J122&lt;18,DATEDIF($F122,Rates!$B$3,"Y")&gt;=18),"Turns 18","")))</f>
        <v/>
      </c>
      <c r="N122" s="18">
        <f>IF($F122="","",MAX($E122,K122))</f>
        <v/>
      </c>
      <c r="O122" s="19">
        <f>IF($F122="","",ROUND($C122*N122/$E122,2))</f>
        <v/>
      </c>
      <c r="P122" s="19">
        <f>IF($F122="","",ROUND($D122*N122/$E122,2))</f>
        <v/>
      </c>
      <c r="Q122" s="19">
        <f>IF($F122="","",ROUND(P122-$D122,2))</f>
        <v/>
      </c>
      <c r="R122" s="19">
        <f>IF($F122="","",ROUND(Rates!$B$8*(MAX(0,P122-Rates!$B$9)-MAX(0,$D122-Rates!$B$9)),2))</f>
        <v/>
      </c>
      <c r="S122" s="19">
        <f>IF($F122="","",ROUND(Rates!$B$10*IF(Rates!$B$11="Full",P122-$D122,MAX(0,MIN(P122,Rates!$B$13)-Rates!$B$12)-MAX(0,MIN($D122,Rates!$B$13)-Rates!$B$12)),2))</f>
        <v/>
      </c>
      <c r="T122" s="19">
        <f>IF($F122="","",ROUND(Q122+R122+S122,2))</f>
        <v/>
      </c>
    </row>
    <row r="123">
      <c r="A123" s="13" t="n"/>
      <c r="B123" s="13" t="n"/>
      <c r="C123" s="14" t="n"/>
      <c r="D123" s="14" t="n"/>
      <c r="E123" s="15" t="n"/>
      <c r="F123" s="16" t="n"/>
      <c r="G123" s="13" t="n"/>
      <c r="H123" s="13" t="n"/>
      <c r="I123" s="13" t="n"/>
      <c r="J123" s="17">
        <f>IF($F123="","",DATEDIF($F123,Rates!$B$2,"Y"))</f>
        <v/>
      </c>
      <c r="K123" s="18">
        <f>IF($F123="","",IF(UPPER($I123)="Y",Rates!$B$7,IF(J123&gt;=21,Rates!$B$4,IF(J123&gt;=18,Rates!$B$5,Rates!$B$6))))</f>
        <v/>
      </c>
      <c r="L123" s="17">
        <f>IF($F123="","",IF($E123&lt;K123,"Uplift needed","OK"))</f>
        <v/>
      </c>
      <c r="M123" s="17">
        <f>IF($F123="","",IF(AND(J123&lt;21,DATEDIF($F123,Rates!$B$3,"Y")&gt;=21),"Turns 21",IF(AND(J123&lt;18,DATEDIF($F123,Rates!$B$3,"Y")&gt;=18),"Turns 18","")))</f>
        <v/>
      </c>
      <c r="N123" s="18">
        <f>IF($F123="","",MAX($E123,K123))</f>
        <v/>
      </c>
      <c r="O123" s="19">
        <f>IF($F123="","",ROUND($C123*N123/$E123,2))</f>
        <v/>
      </c>
      <c r="P123" s="19">
        <f>IF($F123="","",ROUND($D123*N123/$E123,2))</f>
        <v/>
      </c>
      <c r="Q123" s="19">
        <f>IF($F123="","",ROUND(P123-$D123,2))</f>
        <v/>
      </c>
      <c r="R123" s="19">
        <f>IF($F123="","",ROUND(Rates!$B$8*(MAX(0,P123-Rates!$B$9)-MAX(0,$D123-Rates!$B$9)),2))</f>
        <v/>
      </c>
      <c r="S123" s="19">
        <f>IF($F123="","",ROUND(Rates!$B$10*IF(Rates!$B$11="Full",P123-$D123,MAX(0,MIN(P123,Rates!$B$13)-Rates!$B$12)-MAX(0,MIN($D123,Rates!$B$13)-Rates!$B$12)),2))</f>
        <v/>
      </c>
      <c r="T123" s="19">
        <f>IF($F123="","",ROUND(Q123+R123+S123,2))</f>
        <v/>
      </c>
    </row>
    <row r="124">
      <c r="A124" s="13" t="n"/>
      <c r="B124" s="13" t="n"/>
      <c r="C124" s="14" t="n"/>
      <c r="D124" s="14" t="n"/>
      <c r="E124" s="15" t="n"/>
      <c r="F124" s="16" t="n"/>
      <c r="G124" s="13" t="n"/>
      <c r="H124" s="13" t="n"/>
      <c r="I124" s="13" t="n"/>
      <c r="J124" s="17">
        <f>IF($F124="","",DATEDIF($F124,Rates!$B$2,"Y"))</f>
        <v/>
      </c>
      <c r="K124" s="18">
        <f>IF($F124="","",IF(UPPER($I124)="Y",Rates!$B$7,IF(J124&gt;=21,Rates!$B$4,IF(J124&gt;=18,Rates!$B$5,Rates!$B$6))))</f>
        <v/>
      </c>
      <c r="L124" s="17">
        <f>IF($F124="","",IF($E124&lt;K124,"Uplift needed","OK"))</f>
        <v/>
      </c>
      <c r="M124" s="17">
        <f>IF($F124="","",IF(AND(J124&lt;21,DATEDIF($F124,Rates!$B$3,"Y")&gt;=21),"Turns 21",IF(AND(J124&lt;18,DATEDIF($F124,Rates!$B$3,"Y")&gt;=18),"Turns 18","")))</f>
        <v/>
      </c>
      <c r="N124" s="18">
        <f>IF($F124="","",MAX($E124,K124))</f>
        <v/>
      </c>
      <c r="O124" s="19">
        <f>IF($F124="","",ROUND($C124*N124/$E124,2))</f>
        <v/>
      </c>
      <c r="P124" s="19">
        <f>IF($F124="","",ROUND($D124*N124/$E124,2))</f>
        <v/>
      </c>
      <c r="Q124" s="19">
        <f>IF($F124="","",ROUND(P124-$D124,2))</f>
        <v/>
      </c>
      <c r="R124" s="19">
        <f>IF($F124="","",ROUND(Rates!$B$8*(MAX(0,P124-Rates!$B$9)-MAX(0,$D124-Rates!$B$9)),2))</f>
        <v/>
      </c>
      <c r="S124" s="19">
        <f>IF($F124="","",ROUND(Rates!$B$10*IF(Rates!$B$11="Full",P124-$D124,MAX(0,MIN(P124,Rates!$B$13)-Rates!$B$12)-MAX(0,MIN($D124,Rates!$B$13)-Rates!$B$12)),2))</f>
        <v/>
      </c>
      <c r="T124" s="19">
        <f>IF($F124="","",ROUND(Q124+R124+S124,2))</f>
        <v/>
      </c>
    </row>
    <row r="125">
      <c r="A125" s="13" t="n"/>
      <c r="B125" s="13" t="n"/>
      <c r="C125" s="14" t="n"/>
      <c r="D125" s="14" t="n"/>
      <c r="E125" s="15" t="n"/>
      <c r="F125" s="16" t="n"/>
      <c r="G125" s="13" t="n"/>
      <c r="H125" s="13" t="n"/>
      <c r="I125" s="13" t="n"/>
      <c r="J125" s="17">
        <f>IF($F125="","",DATEDIF($F125,Rates!$B$2,"Y"))</f>
        <v/>
      </c>
      <c r="K125" s="18">
        <f>IF($F125="","",IF(UPPER($I125)="Y",Rates!$B$7,IF(J125&gt;=21,Rates!$B$4,IF(J125&gt;=18,Rates!$B$5,Rates!$B$6))))</f>
        <v/>
      </c>
      <c r="L125" s="17">
        <f>IF($F125="","",IF($E125&lt;K125,"Uplift needed","OK"))</f>
        <v/>
      </c>
      <c r="M125" s="17">
        <f>IF($F125="","",IF(AND(J125&lt;21,DATEDIF($F125,Rates!$B$3,"Y")&gt;=21),"Turns 21",IF(AND(J125&lt;18,DATEDIF($F125,Rates!$B$3,"Y")&gt;=18),"Turns 18","")))</f>
        <v/>
      </c>
      <c r="N125" s="18">
        <f>IF($F125="","",MAX($E125,K125))</f>
        <v/>
      </c>
      <c r="O125" s="19">
        <f>IF($F125="","",ROUND($C125*N125/$E125,2))</f>
        <v/>
      </c>
      <c r="P125" s="19">
        <f>IF($F125="","",ROUND($D125*N125/$E125,2))</f>
        <v/>
      </c>
      <c r="Q125" s="19">
        <f>IF($F125="","",ROUND(P125-$D125,2))</f>
        <v/>
      </c>
      <c r="R125" s="19">
        <f>IF($F125="","",ROUND(Rates!$B$8*(MAX(0,P125-Rates!$B$9)-MAX(0,$D125-Rates!$B$9)),2))</f>
        <v/>
      </c>
      <c r="S125" s="19">
        <f>IF($F125="","",ROUND(Rates!$B$10*IF(Rates!$B$11="Full",P125-$D125,MAX(0,MIN(P125,Rates!$B$13)-Rates!$B$12)-MAX(0,MIN($D125,Rates!$B$13)-Rates!$B$12)),2))</f>
        <v/>
      </c>
      <c r="T125" s="19">
        <f>IF($F125="","",ROUND(Q125+R125+S125,2))</f>
        <v/>
      </c>
    </row>
    <row r="126">
      <c r="A126" s="13" t="n"/>
      <c r="B126" s="13" t="n"/>
      <c r="C126" s="14" t="n"/>
      <c r="D126" s="14" t="n"/>
      <c r="E126" s="15" t="n"/>
      <c r="F126" s="16" t="n"/>
      <c r="G126" s="13" t="n"/>
      <c r="H126" s="13" t="n"/>
      <c r="I126" s="13" t="n"/>
      <c r="J126" s="17">
        <f>IF($F126="","",DATEDIF($F126,Rates!$B$2,"Y"))</f>
        <v/>
      </c>
      <c r="K126" s="18">
        <f>IF($F126="","",IF(UPPER($I126)="Y",Rates!$B$7,IF(J126&gt;=21,Rates!$B$4,IF(J126&gt;=18,Rates!$B$5,Rates!$B$6))))</f>
        <v/>
      </c>
      <c r="L126" s="17">
        <f>IF($F126="","",IF($E126&lt;K126,"Uplift needed","OK"))</f>
        <v/>
      </c>
      <c r="M126" s="17">
        <f>IF($F126="","",IF(AND(J126&lt;21,DATEDIF($F126,Rates!$B$3,"Y")&gt;=21),"Turns 21",IF(AND(J126&lt;18,DATEDIF($F126,Rates!$B$3,"Y")&gt;=18),"Turns 18","")))</f>
        <v/>
      </c>
      <c r="N126" s="18">
        <f>IF($F126="","",MAX($E126,K126))</f>
        <v/>
      </c>
      <c r="O126" s="19">
        <f>IF($F126="","",ROUND($C126*N126/$E126,2))</f>
        <v/>
      </c>
      <c r="P126" s="19">
        <f>IF($F126="","",ROUND($D126*N126/$E126,2))</f>
        <v/>
      </c>
      <c r="Q126" s="19">
        <f>IF($F126="","",ROUND(P126-$D126,2))</f>
        <v/>
      </c>
      <c r="R126" s="19">
        <f>IF($F126="","",ROUND(Rates!$B$8*(MAX(0,P126-Rates!$B$9)-MAX(0,$D126-Rates!$B$9)),2))</f>
        <v/>
      </c>
      <c r="S126" s="19">
        <f>IF($F126="","",ROUND(Rates!$B$10*IF(Rates!$B$11="Full",P126-$D126,MAX(0,MIN(P126,Rates!$B$13)-Rates!$B$12)-MAX(0,MIN($D126,Rates!$B$13)-Rates!$B$12)),2))</f>
        <v/>
      </c>
      <c r="T126" s="19">
        <f>IF($F126="","",ROUND(Q126+R126+S126,2))</f>
        <v/>
      </c>
    </row>
    <row r="127">
      <c r="A127" s="13" t="n"/>
      <c r="B127" s="13" t="n"/>
      <c r="C127" s="14" t="n"/>
      <c r="D127" s="14" t="n"/>
      <c r="E127" s="15" t="n"/>
      <c r="F127" s="16" t="n"/>
      <c r="G127" s="13" t="n"/>
      <c r="H127" s="13" t="n"/>
      <c r="I127" s="13" t="n"/>
      <c r="J127" s="17">
        <f>IF($F127="","",DATEDIF($F127,Rates!$B$2,"Y"))</f>
        <v/>
      </c>
      <c r="K127" s="18">
        <f>IF($F127="","",IF(UPPER($I127)="Y",Rates!$B$7,IF(J127&gt;=21,Rates!$B$4,IF(J127&gt;=18,Rates!$B$5,Rates!$B$6))))</f>
        <v/>
      </c>
      <c r="L127" s="17">
        <f>IF($F127="","",IF($E127&lt;K127,"Uplift needed","OK"))</f>
        <v/>
      </c>
      <c r="M127" s="17">
        <f>IF($F127="","",IF(AND(J127&lt;21,DATEDIF($F127,Rates!$B$3,"Y")&gt;=21),"Turns 21",IF(AND(J127&lt;18,DATEDIF($F127,Rates!$B$3,"Y")&gt;=18),"Turns 18","")))</f>
        <v/>
      </c>
      <c r="N127" s="18">
        <f>IF($F127="","",MAX($E127,K127))</f>
        <v/>
      </c>
      <c r="O127" s="19">
        <f>IF($F127="","",ROUND($C127*N127/$E127,2))</f>
        <v/>
      </c>
      <c r="P127" s="19">
        <f>IF($F127="","",ROUND($D127*N127/$E127,2))</f>
        <v/>
      </c>
      <c r="Q127" s="19">
        <f>IF($F127="","",ROUND(P127-$D127,2))</f>
        <v/>
      </c>
      <c r="R127" s="19">
        <f>IF($F127="","",ROUND(Rates!$B$8*(MAX(0,P127-Rates!$B$9)-MAX(0,$D127-Rates!$B$9)),2))</f>
        <v/>
      </c>
      <c r="S127" s="19">
        <f>IF($F127="","",ROUND(Rates!$B$10*IF(Rates!$B$11="Full",P127-$D127,MAX(0,MIN(P127,Rates!$B$13)-Rates!$B$12)-MAX(0,MIN($D127,Rates!$B$13)-Rates!$B$12)),2))</f>
        <v/>
      </c>
      <c r="T127" s="19">
        <f>IF($F127="","",ROUND(Q127+R127+S127,2))</f>
        <v/>
      </c>
    </row>
    <row r="128">
      <c r="A128" s="13" t="n"/>
      <c r="B128" s="13" t="n"/>
      <c r="C128" s="14" t="n"/>
      <c r="D128" s="14" t="n"/>
      <c r="E128" s="15" t="n"/>
      <c r="F128" s="16" t="n"/>
      <c r="G128" s="13" t="n"/>
      <c r="H128" s="13" t="n"/>
      <c r="I128" s="13" t="n"/>
      <c r="J128" s="17">
        <f>IF($F128="","",DATEDIF($F128,Rates!$B$2,"Y"))</f>
        <v/>
      </c>
      <c r="K128" s="18">
        <f>IF($F128="","",IF(UPPER($I128)="Y",Rates!$B$7,IF(J128&gt;=21,Rates!$B$4,IF(J128&gt;=18,Rates!$B$5,Rates!$B$6))))</f>
        <v/>
      </c>
      <c r="L128" s="17">
        <f>IF($F128="","",IF($E128&lt;K128,"Uplift needed","OK"))</f>
        <v/>
      </c>
      <c r="M128" s="17">
        <f>IF($F128="","",IF(AND(J128&lt;21,DATEDIF($F128,Rates!$B$3,"Y")&gt;=21),"Turns 21",IF(AND(J128&lt;18,DATEDIF($F128,Rates!$B$3,"Y")&gt;=18),"Turns 18","")))</f>
        <v/>
      </c>
      <c r="N128" s="18">
        <f>IF($F128="","",MAX($E128,K128))</f>
        <v/>
      </c>
      <c r="O128" s="19">
        <f>IF($F128="","",ROUND($C128*N128/$E128,2))</f>
        <v/>
      </c>
      <c r="P128" s="19">
        <f>IF($F128="","",ROUND($D128*N128/$E128,2))</f>
        <v/>
      </c>
      <c r="Q128" s="19">
        <f>IF($F128="","",ROUND(P128-$D128,2))</f>
        <v/>
      </c>
      <c r="R128" s="19">
        <f>IF($F128="","",ROUND(Rates!$B$8*(MAX(0,P128-Rates!$B$9)-MAX(0,$D128-Rates!$B$9)),2))</f>
        <v/>
      </c>
      <c r="S128" s="19">
        <f>IF($F128="","",ROUND(Rates!$B$10*IF(Rates!$B$11="Full",P128-$D128,MAX(0,MIN(P128,Rates!$B$13)-Rates!$B$12)-MAX(0,MIN($D128,Rates!$B$13)-Rates!$B$12)),2))</f>
        <v/>
      </c>
      <c r="T128" s="19">
        <f>IF($F128="","",ROUND(Q128+R128+S128,2))</f>
        <v/>
      </c>
    </row>
    <row r="129">
      <c r="A129" s="13" t="n"/>
      <c r="B129" s="13" t="n"/>
      <c r="C129" s="14" t="n"/>
      <c r="D129" s="14" t="n"/>
      <c r="E129" s="15" t="n"/>
      <c r="F129" s="16" t="n"/>
      <c r="G129" s="13" t="n"/>
      <c r="H129" s="13" t="n"/>
      <c r="I129" s="13" t="n"/>
      <c r="J129" s="17">
        <f>IF($F129="","",DATEDIF($F129,Rates!$B$2,"Y"))</f>
        <v/>
      </c>
      <c r="K129" s="18">
        <f>IF($F129="","",IF(UPPER($I129)="Y",Rates!$B$7,IF(J129&gt;=21,Rates!$B$4,IF(J129&gt;=18,Rates!$B$5,Rates!$B$6))))</f>
        <v/>
      </c>
      <c r="L129" s="17">
        <f>IF($F129="","",IF($E129&lt;K129,"Uplift needed","OK"))</f>
        <v/>
      </c>
      <c r="M129" s="17">
        <f>IF($F129="","",IF(AND(J129&lt;21,DATEDIF($F129,Rates!$B$3,"Y")&gt;=21),"Turns 21",IF(AND(J129&lt;18,DATEDIF($F129,Rates!$B$3,"Y")&gt;=18),"Turns 18","")))</f>
        <v/>
      </c>
      <c r="N129" s="18">
        <f>IF($F129="","",MAX($E129,K129))</f>
        <v/>
      </c>
      <c r="O129" s="19">
        <f>IF($F129="","",ROUND($C129*N129/$E129,2))</f>
        <v/>
      </c>
      <c r="P129" s="19">
        <f>IF($F129="","",ROUND($D129*N129/$E129,2))</f>
        <v/>
      </c>
      <c r="Q129" s="19">
        <f>IF($F129="","",ROUND(P129-$D129,2))</f>
        <v/>
      </c>
      <c r="R129" s="19">
        <f>IF($F129="","",ROUND(Rates!$B$8*(MAX(0,P129-Rates!$B$9)-MAX(0,$D129-Rates!$B$9)),2))</f>
        <v/>
      </c>
      <c r="S129" s="19">
        <f>IF($F129="","",ROUND(Rates!$B$10*IF(Rates!$B$11="Full",P129-$D129,MAX(0,MIN(P129,Rates!$B$13)-Rates!$B$12)-MAX(0,MIN($D129,Rates!$B$13)-Rates!$B$12)),2))</f>
        <v/>
      </c>
      <c r="T129" s="19">
        <f>IF($F129="","",ROUND(Q129+R129+S129,2))</f>
        <v/>
      </c>
    </row>
    <row r="130">
      <c r="A130" s="13" t="n"/>
      <c r="B130" s="13" t="n"/>
      <c r="C130" s="14" t="n"/>
      <c r="D130" s="14" t="n"/>
      <c r="E130" s="15" t="n"/>
      <c r="F130" s="16" t="n"/>
      <c r="G130" s="13" t="n"/>
      <c r="H130" s="13" t="n"/>
      <c r="I130" s="13" t="n"/>
      <c r="J130" s="17">
        <f>IF($F130="","",DATEDIF($F130,Rates!$B$2,"Y"))</f>
        <v/>
      </c>
      <c r="K130" s="18">
        <f>IF($F130="","",IF(UPPER($I130)="Y",Rates!$B$7,IF(J130&gt;=21,Rates!$B$4,IF(J130&gt;=18,Rates!$B$5,Rates!$B$6))))</f>
        <v/>
      </c>
      <c r="L130" s="17">
        <f>IF($F130="","",IF($E130&lt;K130,"Uplift needed","OK"))</f>
        <v/>
      </c>
      <c r="M130" s="17">
        <f>IF($F130="","",IF(AND(J130&lt;21,DATEDIF($F130,Rates!$B$3,"Y")&gt;=21),"Turns 21",IF(AND(J130&lt;18,DATEDIF($F130,Rates!$B$3,"Y")&gt;=18),"Turns 18","")))</f>
        <v/>
      </c>
      <c r="N130" s="18">
        <f>IF($F130="","",MAX($E130,K130))</f>
        <v/>
      </c>
      <c r="O130" s="19">
        <f>IF($F130="","",ROUND($C130*N130/$E130,2))</f>
        <v/>
      </c>
      <c r="P130" s="19">
        <f>IF($F130="","",ROUND($D130*N130/$E130,2))</f>
        <v/>
      </c>
      <c r="Q130" s="19">
        <f>IF($F130="","",ROUND(P130-$D130,2))</f>
        <v/>
      </c>
      <c r="R130" s="19">
        <f>IF($F130="","",ROUND(Rates!$B$8*(MAX(0,P130-Rates!$B$9)-MAX(0,$D130-Rates!$B$9)),2))</f>
        <v/>
      </c>
      <c r="S130" s="19">
        <f>IF($F130="","",ROUND(Rates!$B$10*IF(Rates!$B$11="Full",P130-$D130,MAX(0,MIN(P130,Rates!$B$13)-Rates!$B$12)-MAX(0,MIN($D130,Rates!$B$13)-Rates!$B$12)),2))</f>
        <v/>
      </c>
      <c r="T130" s="19">
        <f>IF($F130="","",ROUND(Q130+R130+S130,2))</f>
        <v/>
      </c>
    </row>
    <row r="131">
      <c r="A131" s="13" t="n"/>
      <c r="B131" s="13" t="n"/>
      <c r="C131" s="14" t="n"/>
      <c r="D131" s="14" t="n"/>
      <c r="E131" s="15" t="n"/>
      <c r="F131" s="16" t="n"/>
      <c r="G131" s="13" t="n"/>
      <c r="H131" s="13" t="n"/>
      <c r="I131" s="13" t="n"/>
      <c r="J131" s="17">
        <f>IF($F131="","",DATEDIF($F131,Rates!$B$2,"Y"))</f>
        <v/>
      </c>
      <c r="K131" s="18">
        <f>IF($F131="","",IF(UPPER($I131)="Y",Rates!$B$7,IF(J131&gt;=21,Rates!$B$4,IF(J131&gt;=18,Rates!$B$5,Rates!$B$6))))</f>
        <v/>
      </c>
      <c r="L131" s="17">
        <f>IF($F131="","",IF($E131&lt;K131,"Uplift needed","OK"))</f>
        <v/>
      </c>
      <c r="M131" s="17">
        <f>IF($F131="","",IF(AND(J131&lt;21,DATEDIF($F131,Rates!$B$3,"Y")&gt;=21),"Turns 21",IF(AND(J131&lt;18,DATEDIF($F131,Rates!$B$3,"Y")&gt;=18),"Turns 18","")))</f>
        <v/>
      </c>
      <c r="N131" s="18">
        <f>IF($F131="","",MAX($E131,K131))</f>
        <v/>
      </c>
      <c r="O131" s="19">
        <f>IF($F131="","",ROUND($C131*N131/$E131,2))</f>
        <v/>
      </c>
      <c r="P131" s="19">
        <f>IF($F131="","",ROUND($D131*N131/$E131,2))</f>
        <v/>
      </c>
      <c r="Q131" s="19">
        <f>IF($F131="","",ROUND(P131-$D131,2))</f>
        <v/>
      </c>
      <c r="R131" s="19">
        <f>IF($F131="","",ROUND(Rates!$B$8*(MAX(0,P131-Rates!$B$9)-MAX(0,$D131-Rates!$B$9)),2))</f>
        <v/>
      </c>
      <c r="S131" s="19">
        <f>IF($F131="","",ROUND(Rates!$B$10*IF(Rates!$B$11="Full",P131-$D131,MAX(0,MIN(P131,Rates!$B$13)-Rates!$B$12)-MAX(0,MIN($D131,Rates!$B$13)-Rates!$B$12)),2))</f>
        <v/>
      </c>
      <c r="T131" s="19">
        <f>IF($F131="","",ROUND(Q131+R131+S131,2))</f>
        <v/>
      </c>
    </row>
    <row r="132">
      <c r="A132" s="13" t="n"/>
      <c r="B132" s="13" t="n"/>
      <c r="C132" s="14" t="n"/>
      <c r="D132" s="14" t="n"/>
      <c r="E132" s="15" t="n"/>
      <c r="F132" s="16" t="n"/>
      <c r="G132" s="13" t="n"/>
      <c r="H132" s="13" t="n"/>
      <c r="I132" s="13" t="n"/>
      <c r="J132" s="17">
        <f>IF($F132="","",DATEDIF($F132,Rates!$B$2,"Y"))</f>
        <v/>
      </c>
      <c r="K132" s="18">
        <f>IF($F132="","",IF(UPPER($I132)="Y",Rates!$B$7,IF(J132&gt;=21,Rates!$B$4,IF(J132&gt;=18,Rates!$B$5,Rates!$B$6))))</f>
        <v/>
      </c>
      <c r="L132" s="17">
        <f>IF($F132="","",IF($E132&lt;K132,"Uplift needed","OK"))</f>
        <v/>
      </c>
      <c r="M132" s="17">
        <f>IF($F132="","",IF(AND(J132&lt;21,DATEDIF($F132,Rates!$B$3,"Y")&gt;=21),"Turns 21",IF(AND(J132&lt;18,DATEDIF($F132,Rates!$B$3,"Y")&gt;=18),"Turns 18","")))</f>
        <v/>
      </c>
      <c r="N132" s="18">
        <f>IF($F132="","",MAX($E132,K132))</f>
        <v/>
      </c>
      <c r="O132" s="19">
        <f>IF($F132="","",ROUND($C132*N132/$E132,2))</f>
        <v/>
      </c>
      <c r="P132" s="19">
        <f>IF($F132="","",ROUND($D132*N132/$E132,2))</f>
        <v/>
      </c>
      <c r="Q132" s="19">
        <f>IF($F132="","",ROUND(P132-$D132,2))</f>
        <v/>
      </c>
      <c r="R132" s="19">
        <f>IF($F132="","",ROUND(Rates!$B$8*(MAX(0,P132-Rates!$B$9)-MAX(0,$D132-Rates!$B$9)),2))</f>
        <v/>
      </c>
      <c r="S132" s="19">
        <f>IF($F132="","",ROUND(Rates!$B$10*IF(Rates!$B$11="Full",P132-$D132,MAX(0,MIN(P132,Rates!$B$13)-Rates!$B$12)-MAX(0,MIN($D132,Rates!$B$13)-Rates!$B$12)),2))</f>
        <v/>
      </c>
      <c r="T132" s="19">
        <f>IF($F132="","",ROUND(Q132+R132+S132,2))</f>
        <v/>
      </c>
    </row>
    <row r="133">
      <c r="A133" s="13" t="n"/>
      <c r="B133" s="13" t="n"/>
      <c r="C133" s="14" t="n"/>
      <c r="D133" s="14" t="n"/>
      <c r="E133" s="15" t="n"/>
      <c r="F133" s="16" t="n"/>
      <c r="G133" s="13" t="n"/>
      <c r="H133" s="13" t="n"/>
      <c r="I133" s="13" t="n"/>
      <c r="J133" s="17">
        <f>IF($F133="","",DATEDIF($F133,Rates!$B$2,"Y"))</f>
        <v/>
      </c>
      <c r="K133" s="18">
        <f>IF($F133="","",IF(UPPER($I133)="Y",Rates!$B$7,IF(J133&gt;=21,Rates!$B$4,IF(J133&gt;=18,Rates!$B$5,Rates!$B$6))))</f>
        <v/>
      </c>
      <c r="L133" s="17">
        <f>IF($F133="","",IF($E133&lt;K133,"Uplift needed","OK"))</f>
        <v/>
      </c>
      <c r="M133" s="17">
        <f>IF($F133="","",IF(AND(J133&lt;21,DATEDIF($F133,Rates!$B$3,"Y")&gt;=21),"Turns 21",IF(AND(J133&lt;18,DATEDIF($F133,Rates!$B$3,"Y")&gt;=18),"Turns 18","")))</f>
        <v/>
      </c>
      <c r="N133" s="18">
        <f>IF($F133="","",MAX($E133,K133))</f>
        <v/>
      </c>
      <c r="O133" s="19">
        <f>IF($F133="","",ROUND($C133*N133/$E133,2))</f>
        <v/>
      </c>
      <c r="P133" s="19">
        <f>IF($F133="","",ROUND($D133*N133/$E133,2))</f>
        <v/>
      </c>
      <c r="Q133" s="19">
        <f>IF($F133="","",ROUND(P133-$D133,2))</f>
        <v/>
      </c>
      <c r="R133" s="19">
        <f>IF($F133="","",ROUND(Rates!$B$8*(MAX(0,P133-Rates!$B$9)-MAX(0,$D133-Rates!$B$9)),2))</f>
        <v/>
      </c>
      <c r="S133" s="19">
        <f>IF($F133="","",ROUND(Rates!$B$10*IF(Rates!$B$11="Full",P133-$D133,MAX(0,MIN(P133,Rates!$B$13)-Rates!$B$12)-MAX(0,MIN($D133,Rates!$B$13)-Rates!$B$12)),2))</f>
        <v/>
      </c>
      <c r="T133" s="19">
        <f>IF($F133="","",ROUND(Q133+R133+S133,2))</f>
        <v/>
      </c>
    </row>
    <row r="134">
      <c r="A134" s="13" t="n"/>
      <c r="B134" s="13" t="n"/>
      <c r="C134" s="14" t="n"/>
      <c r="D134" s="14" t="n"/>
      <c r="E134" s="15" t="n"/>
      <c r="F134" s="16" t="n"/>
      <c r="G134" s="13" t="n"/>
      <c r="H134" s="13" t="n"/>
      <c r="I134" s="13" t="n"/>
      <c r="J134" s="17">
        <f>IF($F134="","",DATEDIF($F134,Rates!$B$2,"Y"))</f>
        <v/>
      </c>
      <c r="K134" s="18">
        <f>IF($F134="","",IF(UPPER($I134)="Y",Rates!$B$7,IF(J134&gt;=21,Rates!$B$4,IF(J134&gt;=18,Rates!$B$5,Rates!$B$6))))</f>
        <v/>
      </c>
      <c r="L134" s="17">
        <f>IF($F134="","",IF($E134&lt;K134,"Uplift needed","OK"))</f>
        <v/>
      </c>
      <c r="M134" s="17">
        <f>IF($F134="","",IF(AND(J134&lt;21,DATEDIF($F134,Rates!$B$3,"Y")&gt;=21),"Turns 21",IF(AND(J134&lt;18,DATEDIF($F134,Rates!$B$3,"Y")&gt;=18),"Turns 18","")))</f>
        <v/>
      </c>
      <c r="N134" s="18">
        <f>IF($F134="","",MAX($E134,K134))</f>
        <v/>
      </c>
      <c r="O134" s="19">
        <f>IF($F134="","",ROUND($C134*N134/$E134,2))</f>
        <v/>
      </c>
      <c r="P134" s="19">
        <f>IF($F134="","",ROUND($D134*N134/$E134,2))</f>
        <v/>
      </c>
      <c r="Q134" s="19">
        <f>IF($F134="","",ROUND(P134-$D134,2))</f>
        <v/>
      </c>
      <c r="R134" s="19">
        <f>IF($F134="","",ROUND(Rates!$B$8*(MAX(0,P134-Rates!$B$9)-MAX(0,$D134-Rates!$B$9)),2))</f>
        <v/>
      </c>
      <c r="S134" s="19">
        <f>IF($F134="","",ROUND(Rates!$B$10*IF(Rates!$B$11="Full",P134-$D134,MAX(0,MIN(P134,Rates!$B$13)-Rates!$B$12)-MAX(0,MIN($D134,Rates!$B$13)-Rates!$B$12)),2))</f>
        <v/>
      </c>
      <c r="T134" s="19">
        <f>IF($F134="","",ROUND(Q134+R134+S134,2))</f>
        <v/>
      </c>
    </row>
    <row r="135">
      <c r="A135" s="13" t="n"/>
      <c r="B135" s="13" t="n"/>
      <c r="C135" s="14" t="n"/>
      <c r="D135" s="14" t="n"/>
      <c r="E135" s="15" t="n"/>
      <c r="F135" s="16" t="n"/>
      <c r="G135" s="13" t="n"/>
      <c r="H135" s="13" t="n"/>
      <c r="I135" s="13" t="n"/>
      <c r="J135" s="17">
        <f>IF($F135="","",DATEDIF($F135,Rates!$B$2,"Y"))</f>
        <v/>
      </c>
      <c r="K135" s="18">
        <f>IF($F135="","",IF(UPPER($I135)="Y",Rates!$B$7,IF(J135&gt;=21,Rates!$B$4,IF(J135&gt;=18,Rates!$B$5,Rates!$B$6))))</f>
        <v/>
      </c>
      <c r="L135" s="17">
        <f>IF($F135="","",IF($E135&lt;K135,"Uplift needed","OK"))</f>
        <v/>
      </c>
      <c r="M135" s="17">
        <f>IF($F135="","",IF(AND(J135&lt;21,DATEDIF($F135,Rates!$B$3,"Y")&gt;=21),"Turns 21",IF(AND(J135&lt;18,DATEDIF($F135,Rates!$B$3,"Y")&gt;=18),"Turns 18","")))</f>
        <v/>
      </c>
      <c r="N135" s="18">
        <f>IF($F135="","",MAX($E135,K135))</f>
        <v/>
      </c>
      <c r="O135" s="19">
        <f>IF($F135="","",ROUND($C135*N135/$E135,2))</f>
        <v/>
      </c>
      <c r="P135" s="19">
        <f>IF($F135="","",ROUND($D135*N135/$E135,2))</f>
        <v/>
      </c>
      <c r="Q135" s="19">
        <f>IF($F135="","",ROUND(P135-$D135,2))</f>
        <v/>
      </c>
      <c r="R135" s="19">
        <f>IF($F135="","",ROUND(Rates!$B$8*(MAX(0,P135-Rates!$B$9)-MAX(0,$D135-Rates!$B$9)),2))</f>
        <v/>
      </c>
      <c r="S135" s="19">
        <f>IF($F135="","",ROUND(Rates!$B$10*IF(Rates!$B$11="Full",P135-$D135,MAX(0,MIN(P135,Rates!$B$13)-Rates!$B$12)-MAX(0,MIN($D135,Rates!$B$13)-Rates!$B$12)),2))</f>
        <v/>
      </c>
      <c r="T135" s="19">
        <f>IF($F135="","",ROUND(Q135+R135+S135,2))</f>
        <v/>
      </c>
    </row>
    <row r="136">
      <c r="A136" s="13" t="n"/>
      <c r="B136" s="13" t="n"/>
      <c r="C136" s="14" t="n"/>
      <c r="D136" s="14" t="n"/>
      <c r="E136" s="15" t="n"/>
      <c r="F136" s="16" t="n"/>
      <c r="G136" s="13" t="n"/>
      <c r="H136" s="13" t="n"/>
      <c r="I136" s="13" t="n"/>
      <c r="J136" s="17">
        <f>IF($F136="","",DATEDIF($F136,Rates!$B$2,"Y"))</f>
        <v/>
      </c>
      <c r="K136" s="18">
        <f>IF($F136="","",IF(UPPER($I136)="Y",Rates!$B$7,IF(J136&gt;=21,Rates!$B$4,IF(J136&gt;=18,Rates!$B$5,Rates!$B$6))))</f>
        <v/>
      </c>
      <c r="L136" s="17">
        <f>IF($F136="","",IF($E136&lt;K136,"Uplift needed","OK"))</f>
        <v/>
      </c>
      <c r="M136" s="17">
        <f>IF($F136="","",IF(AND(J136&lt;21,DATEDIF($F136,Rates!$B$3,"Y")&gt;=21),"Turns 21",IF(AND(J136&lt;18,DATEDIF($F136,Rates!$B$3,"Y")&gt;=18),"Turns 18","")))</f>
        <v/>
      </c>
      <c r="N136" s="18">
        <f>IF($F136="","",MAX($E136,K136))</f>
        <v/>
      </c>
      <c r="O136" s="19">
        <f>IF($F136="","",ROUND($C136*N136/$E136,2))</f>
        <v/>
      </c>
      <c r="P136" s="19">
        <f>IF($F136="","",ROUND($D136*N136/$E136,2))</f>
        <v/>
      </c>
      <c r="Q136" s="19">
        <f>IF($F136="","",ROUND(P136-$D136,2))</f>
        <v/>
      </c>
      <c r="R136" s="19">
        <f>IF($F136="","",ROUND(Rates!$B$8*(MAX(0,P136-Rates!$B$9)-MAX(0,$D136-Rates!$B$9)),2))</f>
        <v/>
      </c>
      <c r="S136" s="19">
        <f>IF($F136="","",ROUND(Rates!$B$10*IF(Rates!$B$11="Full",P136-$D136,MAX(0,MIN(P136,Rates!$B$13)-Rates!$B$12)-MAX(0,MIN($D136,Rates!$B$13)-Rates!$B$12)),2))</f>
        <v/>
      </c>
      <c r="T136" s="19">
        <f>IF($F136="","",ROUND(Q136+R136+S136,2))</f>
        <v/>
      </c>
    </row>
    <row r="137">
      <c r="A137" s="13" t="n"/>
      <c r="B137" s="13" t="n"/>
      <c r="C137" s="14" t="n"/>
      <c r="D137" s="14" t="n"/>
      <c r="E137" s="15" t="n"/>
      <c r="F137" s="16" t="n"/>
      <c r="G137" s="13" t="n"/>
      <c r="H137" s="13" t="n"/>
      <c r="I137" s="13" t="n"/>
      <c r="J137" s="17">
        <f>IF($F137="","",DATEDIF($F137,Rates!$B$2,"Y"))</f>
        <v/>
      </c>
      <c r="K137" s="18">
        <f>IF($F137="","",IF(UPPER($I137)="Y",Rates!$B$7,IF(J137&gt;=21,Rates!$B$4,IF(J137&gt;=18,Rates!$B$5,Rates!$B$6))))</f>
        <v/>
      </c>
      <c r="L137" s="17">
        <f>IF($F137="","",IF($E137&lt;K137,"Uplift needed","OK"))</f>
        <v/>
      </c>
      <c r="M137" s="17">
        <f>IF($F137="","",IF(AND(J137&lt;21,DATEDIF($F137,Rates!$B$3,"Y")&gt;=21),"Turns 21",IF(AND(J137&lt;18,DATEDIF($F137,Rates!$B$3,"Y")&gt;=18),"Turns 18","")))</f>
        <v/>
      </c>
      <c r="N137" s="18">
        <f>IF($F137="","",MAX($E137,K137))</f>
        <v/>
      </c>
      <c r="O137" s="19">
        <f>IF($F137="","",ROUND($C137*N137/$E137,2))</f>
        <v/>
      </c>
      <c r="P137" s="19">
        <f>IF($F137="","",ROUND($D137*N137/$E137,2))</f>
        <v/>
      </c>
      <c r="Q137" s="19">
        <f>IF($F137="","",ROUND(P137-$D137,2))</f>
        <v/>
      </c>
      <c r="R137" s="19">
        <f>IF($F137="","",ROUND(Rates!$B$8*(MAX(0,P137-Rates!$B$9)-MAX(0,$D137-Rates!$B$9)),2))</f>
        <v/>
      </c>
      <c r="S137" s="19">
        <f>IF($F137="","",ROUND(Rates!$B$10*IF(Rates!$B$11="Full",P137-$D137,MAX(0,MIN(P137,Rates!$B$13)-Rates!$B$12)-MAX(0,MIN($D137,Rates!$B$13)-Rates!$B$12)),2))</f>
        <v/>
      </c>
      <c r="T137" s="19">
        <f>IF($F137="","",ROUND(Q137+R137+S137,2))</f>
        <v/>
      </c>
    </row>
    <row r="138">
      <c r="A138" s="13" t="n"/>
      <c r="B138" s="13" t="n"/>
      <c r="C138" s="14" t="n"/>
      <c r="D138" s="14" t="n"/>
      <c r="E138" s="15" t="n"/>
      <c r="F138" s="16" t="n"/>
      <c r="G138" s="13" t="n"/>
      <c r="H138" s="13" t="n"/>
      <c r="I138" s="13" t="n"/>
      <c r="J138" s="17">
        <f>IF($F138="","",DATEDIF($F138,Rates!$B$2,"Y"))</f>
        <v/>
      </c>
      <c r="K138" s="18">
        <f>IF($F138="","",IF(UPPER($I138)="Y",Rates!$B$7,IF(J138&gt;=21,Rates!$B$4,IF(J138&gt;=18,Rates!$B$5,Rates!$B$6))))</f>
        <v/>
      </c>
      <c r="L138" s="17">
        <f>IF($F138="","",IF($E138&lt;K138,"Uplift needed","OK"))</f>
        <v/>
      </c>
      <c r="M138" s="17">
        <f>IF($F138="","",IF(AND(J138&lt;21,DATEDIF($F138,Rates!$B$3,"Y")&gt;=21),"Turns 21",IF(AND(J138&lt;18,DATEDIF($F138,Rates!$B$3,"Y")&gt;=18),"Turns 18","")))</f>
        <v/>
      </c>
      <c r="N138" s="18">
        <f>IF($F138="","",MAX($E138,K138))</f>
        <v/>
      </c>
      <c r="O138" s="19">
        <f>IF($F138="","",ROUND($C138*N138/$E138,2))</f>
        <v/>
      </c>
      <c r="P138" s="19">
        <f>IF($F138="","",ROUND($D138*N138/$E138,2))</f>
        <v/>
      </c>
      <c r="Q138" s="19">
        <f>IF($F138="","",ROUND(P138-$D138,2))</f>
        <v/>
      </c>
      <c r="R138" s="19">
        <f>IF($F138="","",ROUND(Rates!$B$8*(MAX(0,P138-Rates!$B$9)-MAX(0,$D138-Rates!$B$9)),2))</f>
        <v/>
      </c>
      <c r="S138" s="19">
        <f>IF($F138="","",ROUND(Rates!$B$10*IF(Rates!$B$11="Full",P138-$D138,MAX(0,MIN(P138,Rates!$B$13)-Rates!$B$12)-MAX(0,MIN($D138,Rates!$B$13)-Rates!$B$12)),2))</f>
        <v/>
      </c>
      <c r="T138" s="19">
        <f>IF($F138="","",ROUND(Q138+R138+S138,2))</f>
        <v/>
      </c>
    </row>
    <row r="139">
      <c r="A139" s="13" t="n"/>
      <c r="B139" s="13" t="n"/>
      <c r="C139" s="14" t="n"/>
      <c r="D139" s="14" t="n"/>
      <c r="E139" s="15" t="n"/>
      <c r="F139" s="16" t="n"/>
      <c r="G139" s="13" t="n"/>
      <c r="H139" s="13" t="n"/>
      <c r="I139" s="13" t="n"/>
      <c r="J139" s="17">
        <f>IF($F139="","",DATEDIF($F139,Rates!$B$2,"Y"))</f>
        <v/>
      </c>
      <c r="K139" s="18">
        <f>IF($F139="","",IF(UPPER($I139)="Y",Rates!$B$7,IF(J139&gt;=21,Rates!$B$4,IF(J139&gt;=18,Rates!$B$5,Rates!$B$6))))</f>
        <v/>
      </c>
      <c r="L139" s="17">
        <f>IF($F139="","",IF($E139&lt;K139,"Uplift needed","OK"))</f>
        <v/>
      </c>
      <c r="M139" s="17">
        <f>IF($F139="","",IF(AND(J139&lt;21,DATEDIF($F139,Rates!$B$3,"Y")&gt;=21),"Turns 21",IF(AND(J139&lt;18,DATEDIF($F139,Rates!$B$3,"Y")&gt;=18),"Turns 18","")))</f>
        <v/>
      </c>
      <c r="N139" s="18">
        <f>IF($F139="","",MAX($E139,K139))</f>
        <v/>
      </c>
      <c r="O139" s="19">
        <f>IF($F139="","",ROUND($C139*N139/$E139,2))</f>
        <v/>
      </c>
      <c r="P139" s="19">
        <f>IF($F139="","",ROUND($D139*N139/$E139,2))</f>
        <v/>
      </c>
      <c r="Q139" s="19">
        <f>IF($F139="","",ROUND(P139-$D139,2))</f>
        <v/>
      </c>
      <c r="R139" s="19">
        <f>IF($F139="","",ROUND(Rates!$B$8*(MAX(0,P139-Rates!$B$9)-MAX(0,$D139-Rates!$B$9)),2))</f>
        <v/>
      </c>
      <c r="S139" s="19">
        <f>IF($F139="","",ROUND(Rates!$B$10*IF(Rates!$B$11="Full",P139-$D139,MAX(0,MIN(P139,Rates!$B$13)-Rates!$B$12)-MAX(0,MIN($D139,Rates!$B$13)-Rates!$B$12)),2))</f>
        <v/>
      </c>
      <c r="T139" s="19">
        <f>IF($F139="","",ROUND(Q139+R139+S139,2))</f>
        <v/>
      </c>
    </row>
    <row r="140">
      <c r="A140" s="13" t="n"/>
      <c r="B140" s="13" t="n"/>
      <c r="C140" s="14" t="n"/>
      <c r="D140" s="14" t="n"/>
      <c r="E140" s="15" t="n"/>
      <c r="F140" s="16" t="n"/>
      <c r="G140" s="13" t="n"/>
      <c r="H140" s="13" t="n"/>
      <c r="I140" s="13" t="n"/>
      <c r="J140" s="17">
        <f>IF($F140="","",DATEDIF($F140,Rates!$B$2,"Y"))</f>
        <v/>
      </c>
      <c r="K140" s="18">
        <f>IF($F140="","",IF(UPPER($I140)="Y",Rates!$B$7,IF(J140&gt;=21,Rates!$B$4,IF(J140&gt;=18,Rates!$B$5,Rates!$B$6))))</f>
        <v/>
      </c>
      <c r="L140" s="17">
        <f>IF($F140="","",IF($E140&lt;K140,"Uplift needed","OK"))</f>
        <v/>
      </c>
      <c r="M140" s="17">
        <f>IF($F140="","",IF(AND(J140&lt;21,DATEDIF($F140,Rates!$B$3,"Y")&gt;=21),"Turns 21",IF(AND(J140&lt;18,DATEDIF($F140,Rates!$B$3,"Y")&gt;=18),"Turns 18","")))</f>
        <v/>
      </c>
      <c r="N140" s="18">
        <f>IF($F140="","",MAX($E140,K140))</f>
        <v/>
      </c>
      <c r="O140" s="19">
        <f>IF($F140="","",ROUND($C140*N140/$E140,2))</f>
        <v/>
      </c>
      <c r="P140" s="19">
        <f>IF($F140="","",ROUND($D140*N140/$E140,2))</f>
        <v/>
      </c>
      <c r="Q140" s="19">
        <f>IF($F140="","",ROUND(P140-$D140,2))</f>
        <v/>
      </c>
      <c r="R140" s="19">
        <f>IF($F140="","",ROUND(Rates!$B$8*(MAX(0,P140-Rates!$B$9)-MAX(0,$D140-Rates!$B$9)),2))</f>
        <v/>
      </c>
      <c r="S140" s="19">
        <f>IF($F140="","",ROUND(Rates!$B$10*IF(Rates!$B$11="Full",P140-$D140,MAX(0,MIN(P140,Rates!$B$13)-Rates!$B$12)-MAX(0,MIN($D140,Rates!$B$13)-Rates!$B$12)),2))</f>
        <v/>
      </c>
      <c r="T140" s="19">
        <f>IF($F140="","",ROUND(Q140+R140+S140,2))</f>
        <v/>
      </c>
    </row>
    <row r="141">
      <c r="A141" s="13" t="n"/>
      <c r="B141" s="13" t="n"/>
      <c r="C141" s="14" t="n"/>
      <c r="D141" s="14" t="n"/>
      <c r="E141" s="15" t="n"/>
      <c r="F141" s="16" t="n"/>
      <c r="G141" s="13" t="n"/>
      <c r="H141" s="13" t="n"/>
      <c r="I141" s="13" t="n"/>
      <c r="J141" s="17">
        <f>IF($F141="","",DATEDIF($F141,Rates!$B$2,"Y"))</f>
        <v/>
      </c>
      <c r="K141" s="18">
        <f>IF($F141="","",IF(UPPER($I141)="Y",Rates!$B$7,IF(J141&gt;=21,Rates!$B$4,IF(J141&gt;=18,Rates!$B$5,Rates!$B$6))))</f>
        <v/>
      </c>
      <c r="L141" s="17">
        <f>IF($F141="","",IF($E141&lt;K141,"Uplift needed","OK"))</f>
        <v/>
      </c>
      <c r="M141" s="17">
        <f>IF($F141="","",IF(AND(J141&lt;21,DATEDIF($F141,Rates!$B$3,"Y")&gt;=21),"Turns 21",IF(AND(J141&lt;18,DATEDIF($F141,Rates!$B$3,"Y")&gt;=18),"Turns 18","")))</f>
        <v/>
      </c>
      <c r="N141" s="18">
        <f>IF($F141="","",MAX($E141,K141))</f>
        <v/>
      </c>
      <c r="O141" s="19">
        <f>IF($F141="","",ROUND($C141*N141/$E141,2))</f>
        <v/>
      </c>
      <c r="P141" s="19">
        <f>IF($F141="","",ROUND($D141*N141/$E141,2))</f>
        <v/>
      </c>
      <c r="Q141" s="19">
        <f>IF($F141="","",ROUND(P141-$D141,2))</f>
        <v/>
      </c>
      <c r="R141" s="19">
        <f>IF($F141="","",ROUND(Rates!$B$8*(MAX(0,P141-Rates!$B$9)-MAX(0,$D141-Rates!$B$9)),2))</f>
        <v/>
      </c>
      <c r="S141" s="19">
        <f>IF($F141="","",ROUND(Rates!$B$10*IF(Rates!$B$11="Full",P141-$D141,MAX(0,MIN(P141,Rates!$B$13)-Rates!$B$12)-MAX(0,MIN($D141,Rates!$B$13)-Rates!$B$12)),2))</f>
        <v/>
      </c>
      <c r="T141" s="19">
        <f>IF($F141="","",ROUND(Q141+R141+S141,2))</f>
        <v/>
      </c>
    </row>
    <row r="142">
      <c r="A142" s="13" t="n"/>
      <c r="B142" s="13" t="n"/>
      <c r="C142" s="14" t="n"/>
      <c r="D142" s="14" t="n"/>
      <c r="E142" s="15" t="n"/>
      <c r="F142" s="16" t="n"/>
      <c r="G142" s="13" t="n"/>
      <c r="H142" s="13" t="n"/>
      <c r="I142" s="13" t="n"/>
      <c r="J142" s="17">
        <f>IF($F142="","",DATEDIF($F142,Rates!$B$2,"Y"))</f>
        <v/>
      </c>
      <c r="K142" s="18">
        <f>IF($F142="","",IF(UPPER($I142)="Y",Rates!$B$7,IF(J142&gt;=21,Rates!$B$4,IF(J142&gt;=18,Rates!$B$5,Rates!$B$6))))</f>
        <v/>
      </c>
      <c r="L142" s="17">
        <f>IF($F142="","",IF($E142&lt;K142,"Uplift needed","OK"))</f>
        <v/>
      </c>
      <c r="M142" s="17">
        <f>IF($F142="","",IF(AND(J142&lt;21,DATEDIF($F142,Rates!$B$3,"Y")&gt;=21),"Turns 21",IF(AND(J142&lt;18,DATEDIF($F142,Rates!$B$3,"Y")&gt;=18),"Turns 18","")))</f>
        <v/>
      </c>
      <c r="N142" s="18">
        <f>IF($F142="","",MAX($E142,K142))</f>
        <v/>
      </c>
      <c r="O142" s="19">
        <f>IF($F142="","",ROUND($C142*N142/$E142,2))</f>
        <v/>
      </c>
      <c r="P142" s="19">
        <f>IF($F142="","",ROUND($D142*N142/$E142,2))</f>
        <v/>
      </c>
      <c r="Q142" s="19">
        <f>IF($F142="","",ROUND(P142-$D142,2))</f>
        <v/>
      </c>
      <c r="R142" s="19">
        <f>IF($F142="","",ROUND(Rates!$B$8*(MAX(0,P142-Rates!$B$9)-MAX(0,$D142-Rates!$B$9)),2))</f>
        <v/>
      </c>
      <c r="S142" s="19">
        <f>IF($F142="","",ROUND(Rates!$B$10*IF(Rates!$B$11="Full",P142-$D142,MAX(0,MIN(P142,Rates!$B$13)-Rates!$B$12)-MAX(0,MIN($D142,Rates!$B$13)-Rates!$B$12)),2))</f>
        <v/>
      </c>
      <c r="T142" s="19">
        <f>IF($F142="","",ROUND(Q142+R142+S142,2))</f>
        <v/>
      </c>
    </row>
    <row r="143">
      <c r="A143" s="13" t="n"/>
      <c r="B143" s="13" t="n"/>
      <c r="C143" s="14" t="n"/>
      <c r="D143" s="14" t="n"/>
      <c r="E143" s="15" t="n"/>
      <c r="F143" s="16" t="n"/>
      <c r="G143" s="13" t="n"/>
      <c r="H143" s="13" t="n"/>
      <c r="I143" s="13" t="n"/>
      <c r="J143" s="17">
        <f>IF($F143="","",DATEDIF($F143,Rates!$B$2,"Y"))</f>
        <v/>
      </c>
      <c r="K143" s="18">
        <f>IF($F143="","",IF(UPPER($I143)="Y",Rates!$B$7,IF(J143&gt;=21,Rates!$B$4,IF(J143&gt;=18,Rates!$B$5,Rates!$B$6))))</f>
        <v/>
      </c>
      <c r="L143" s="17">
        <f>IF($F143="","",IF($E143&lt;K143,"Uplift needed","OK"))</f>
        <v/>
      </c>
      <c r="M143" s="17">
        <f>IF($F143="","",IF(AND(J143&lt;21,DATEDIF($F143,Rates!$B$3,"Y")&gt;=21),"Turns 21",IF(AND(J143&lt;18,DATEDIF($F143,Rates!$B$3,"Y")&gt;=18),"Turns 18","")))</f>
        <v/>
      </c>
      <c r="N143" s="18">
        <f>IF($F143="","",MAX($E143,K143))</f>
        <v/>
      </c>
      <c r="O143" s="19">
        <f>IF($F143="","",ROUND($C143*N143/$E143,2))</f>
        <v/>
      </c>
      <c r="P143" s="19">
        <f>IF($F143="","",ROUND($D143*N143/$E143,2))</f>
        <v/>
      </c>
      <c r="Q143" s="19">
        <f>IF($F143="","",ROUND(P143-$D143,2))</f>
        <v/>
      </c>
      <c r="R143" s="19">
        <f>IF($F143="","",ROUND(Rates!$B$8*(MAX(0,P143-Rates!$B$9)-MAX(0,$D143-Rates!$B$9)),2))</f>
        <v/>
      </c>
      <c r="S143" s="19">
        <f>IF($F143="","",ROUND(Rates!$B$10*IF(Rates!$B$11="Full",P143-$D143,MAX(0,MIN(P143,Rates!$B$13)-Rates!$B$12)-MAX(0,MIN($D143,Rates!$B$13)-Rates!$B$12)),2))</f>
        <v/>
      </c>
      <c r="T143" s="19">
        <f>IF($F143="","",ROUND(Q143+R143+S143,2))</f>
        <v/>
      </c>
    </row>
    <row r="144">
      <c r="A144" s="13" t="n"/>
      <c r="B144" s="13" t="n"/>
      <c r="C144" s="14" t="n"/>
      <c r="D144" s="14" t="n"/>
      <c r="E144" s="15" t="n"/>
      <c r="F144" s="16" t="n"/>
      <c r="G144" s="13" t="n"/>
      <c r="H144" s="13" t="n"/>
      <c r="I144" s="13" t="n"/>
      <c r="J144" s="17">
        <f>IF($F144="","",DATEDIF($F144,Rates!$B$2,"Y"))</f>
        <v/>
      </c>
      <c r="K144" s="18">
        <f>IF($F144="","",IF(UPPER($I144)="Y",Rates!$B$7,IF(J144&gt;=21,Rates!$B$4,IF(J144&gt;=18,Rates!$B$5,Rates!$B$6))))</f>
        <v/>
      </c>
      <c r="L144" s="17">
        <f>IF($F144="","",IF($E144&lt;K144,"Uplift needed","OK"))</f>
        <v/>
      </c>
      <c r="M144" s="17">
        <f>IF($F144="","",IF(AND(J144&lt;21,DATEDIF($F144,Rates!$B$3,"Y")&gt;=21),"Turns 21",IF(AND(J144&lt;18,DATEDIF($F144,Rates!$B$3,"Y")&gt;=18),"Turns 18","")))</f>
        <v/>
      </c>
      <c r="N144" s="18">
        <f>IF($F144="","",MAX($E144,K144))</f>
        <v/>
      </c>
      <c r="O144" s="19">
        <f>IF($F144="","",ROUND($C144*N144/$E144,2))</f>
        <v/>
      </c>
      <c r="P144" s="19">
        <f>IF($F144="","",ROUND($D144*N144/$E144,2))</f>
        <v/>
      </c>
      <c r="Q144" s="19">
        <f>IF($F144="","",ROUND(P144-$D144,2))</f>
        <v/>
      </c>
      <c r="R144" s="19">
        <f>IF($F144="","",ROUND(Rates!$B$8*(MAX(0,P144-Rates!$B$9)-MAX(0,$D144-Rates!$B$9)),2))</f>
        <v/>
      </c>
      <c r="S144" s="19">
        <f>IF($F144="","",ROUND(Rates!$B$10*IF(Rates!$B$11="Full",P144-$D144,MAX(0,MIN(P144,Rates!$B$13)-Rates!$B$12)-MAX(0,MIN($D144,Rates!$B$13)-Rates!$B$12)),2))</f>
        <v/>
      </c>
      <c r="T144" s="19">
        <f>IF($F144="","",ROUND(Q144+R144+S144,2))</f>
        <v/>
      </c>
    </row>
    <row r="145">
      <c r="A145" s="13" t="n"/>
      <c r="B145" s="13" t="n"/>
      <c r="C145" s="14" t="n"/>
      <c r="D145" s="14" t="n"/>
      <c r="E145" s="15" t="n"/>
      <c r="F145" s="16" t="n"/>
      <c r="G145" s="13" t="n"/>
      <c r="H145" s="13" t="n"/>
      <c r="I145" s="13" t="n"/>
      <c r="J145" s="17">
        <f>IF($F145="","",DATEDIF($F145,Rates!$B$2,"Y"))</f>
        <v/>
      </c>
      <c r="K145" s="18">
        <f>IF($F145="","",IF(UPPER($I145)="Y",Rates!$B$7,IF(J145&gt;=21,Rates!$B$4,IF(J145&gt;=18,Rates!$B$5,Rates!$B$6))))</f>
        <v/>
      </c>
      <c r="L145" s="17">
        <f>IF($F145="","",IF($E145&lt;K145,"Uplift needed","OK"))</f>
        <v/>
      </c>
      <c r="M145" s="17">
        <f>IF($F145="","",IF(AND(J145&lt;21,DATEDIF($F145,Rates!$B$3,"Y")&gt;=21),"Turns 21",IF(AND(J145&lt;18,DATEDIF($F145,Rates!$B$3,"Y")&gt;=18),"Turns 18","")))</f>
        <v/>
      </c>
      <c r="N145" s="18">
        <f>IF($F145="","",MAX($E145,K145))</f>
        <v/>
      </c>
      <c r="O145" s="19">
        <f>IF($F145="","",ROUND($C145*N145/$E145,2))</f>
        <v/>
      </c>
      <c r="P145" s="19">
        <f>IF($F145="","",ROUND($D145*N145/$E145,2))</f>
        <v/>
      </c>
      <c r="Q145" s="19">
        <f>IF($F145="","",ROUND(P145-$D145,2))</f>
        <v/>
      </c>
      <c r="R145" s="19">
        <f>IF($F145="","",ROUND(Rates!$B$8*(MAX(0,P145-Rates!$B$9)-MAX(0,$D145-Rates!$B$9)),2))</f>
        <v/>
      </c>
      <c r="S145" s="19">
        <f>IF($F145="","",ROUND(Rates!$B$10*IF(Rates!$B$11="Full",P145-$D145,MAX(0,MIN(P145,Rates!$B$13)-Rates!$B$12)-MAX(0,MIN($D145,Rates!$B$13)-Rates!$B$12)),2))</f>
        <v/>
      </c>
      <c r="T145" s="19">
        <f>IF($F145="","",ROUND(Q145+R145+S145,2))</f>
        <v/>
      </c>
    </row>
    <row r="146">
      <c r="A146" s="13" t="n"/>
      <c r="B146" s="13" t="n"/>
      <c r="C146" s="14" t="n"/>
      <c r="D146" s="14" t="n"/>
      <c r="E146" s="15" t="n"/>
      <c r="F146" s="16" t="n"/>
      <c r="G146" s="13" t="n"/>
      <c r="H146" s="13" t="n"/>
      <c r="I146" s="13" t="n"/>
      <c r="J146" s="17">
        <f>IF($F146="","",DATEDIF($F146,Rates!$B$2,"Y"))</f>
        <v/>
      </c>
      <c r="K146" s="18">
        <f>IF($F146="","",IF(UPPER($I146)="Y",Rates!$B$7,IF(J146&gt;=21,Rates!$B$4,IF(J146&gt;=18,Rates!$B$5,Rates!$B$6))))</f>
        <v/>
      </c>
      <c r="L146" s="17">
        <f>IF($F146="","",IF($E146&lt;K146,"Uplift needed","OK"))</f>
        <v/>
      </c>
      <c r="M146" s="17">
        <f>IF($F146="","",IF(AND(J146&lt;21,DATEDIF($F146,Rates!$B$3,"Y")&gt;=21),"Turns 21",IF(AND(J146&lt;18,DATEDIF($F146,Rates!$B$3,"Y")&gt;=18),"Turns 18","")))</f>
        <v/>
      </c>
      <c r="N146" s="18">
        <f>IF($F146="","",MAX($E146,K146))</f>
        <v/>
      </c>
      <c r="O146" s="19">
        <f>IF($F146="","",ROUND($C146*N146/$E146,2))</f>
        <v/>
      </c>
      <c r="P146" s="19">
        <f>IF($F146="","",ROUND($D146*N146/$E146,2))</f>
        <v/>
      </c>
      <c r="Q146" s="19">
        <f>IF($F146="","",ROUND(P146-$D146,2))</f>
        <v/>
      </c>
      <c r="R146" s="19">
        <f>IF($F146="","",ROUND(Rates!$B$8*(MAX(0,P146-Rates!$B$9)-MAX(0,$D146-Rates!$B$9)),2))</f>
        <v/>
      </c>
      <c r="S146" s="19">
        <f>IF($F146="","",ROUND(Rates!$B$10*IF(Rates!$B$11="Full",P146-$D146,MAX(0,MIN(P146,Rates!$B$13)-Rates!$B$12)-MAX(0,MIN($D146,Rates!$B$13)-Rates!$B$12)),2))</f>
        <v/>
      </c>
      <c r="T146" s="19">
        <f>IF($F146="","",ROUND(Q146+R146+S146,2))</f>
        <v/>
      </c>
    </row>
    <row r="147">
      <c r="A147" s="13" t="n"/>
      <c r="B147" s="13" t="n"/>
      <c r="C147" s="14" t="n"/>
      <c r="D147" s="14" t="n"/>
      <c r="E147" s="15" t="n"/>
      <c r="F147" s="16" t="n"/>
      <c r="G147" s="13" t="n"/>
      <c r="H147" s="13" t="n"/>
      <c r="I147" s="13" t="n"/>
      <c r="J147" s="17">
        <f>IF($F147="","",DATEDIF($F147,Rates!$B$2,"Y"))</f>
        <v/>
      </c>
      <c r="K147" s="18">
        <f>IF($F147="","",IF(UPPER($I147)="Y",Rates!$B$7,IF(J147&gt;=21,Rates!$B$4,IF(J147&gt;=18,Rates!$B$5,Rates!$B$6))))</f>
        <v/>
      </c>
      <c r="L147" s="17">
        <f>IF($F147="","",IF($E147&lt;K147,"Uplift needed","OK"))</f>
        <v/>
      </c>
      <c r="M147" s="17">
        <f>IF($F147="","",IF(AND(J147&lt;21,DATEDIF($F147,Rates!$B$3,"Y")&gt;=21),"Turns 21",IF(AND(J147&lt;18,DATEDIF($F147,Rates!$B$3,"Y")&gt;=18),"Turns 18","")))</f>
        <v/>
      </c>
      <c r="N147" s="18">
        <f>IF($F147="","",MAX($E147,K147))</f>
        <v/>
      </c>
      <c r="O147" s="19">
        <f>IF($F147="","",ROUND($C147*N147/$E147,2))</f>
        <v/>
      </c>
      <c r="P147" s="19">
        <f>IF($F147="","",ROUND($D147*N147/$E147,2))</f>
        <v/>
      </c>
      <c r="Q147" s="19">
        <f>IF($F147="","",ROUND(P147-$D147,2))</f>
        <v/>
      </c>
      <c r="R147" s="19">
        <f>IF($F147="","",ROUND(Rates!$B$8*(MAX(0,P147-Rates!$B$9)-MAX(0,$D147-Rates!$B$9)),2))</f>
        <v/>
      </c>
      <c r="S147" s="19">
        <f>IF($F147="","",ROUND(Rates!$B$10*IF(Rates!$B$11="Full",P147-$D147,MAX(0,MIN(P147,Rates!$B$13)-Rates!$B$12)-MAX(0,MIN($D147,Rates!$B$13)-Rates!$B$12)),2))</f>
        <v/>
      </c>
      <c r="T147" s="19">
        <f>IF($F147="","",ROUND(Q147+R147+S147,2))</f>
        <v/>
      </c>
    </row>
    <row r="148">
      <c r="A148" s="13" t="n"/>
      <c r="B148" s="13" t="n"/>
      <c r="C148" s="14" t="n"/>
      <c r="D148" s="14" t="n"/>
      <c r="E148" s="15" t="n"/>
      <c r="F148" s="16" t="n"/>
      <c r="G148" s="13" t="n"/>
      <c r="H148" s="13" t="n"/>
      <c r="I148" s="13" t="n"/>
      <c r="J148" s="17">
        <f>IF($F148="","",DATEDIF($F148,Rates!$B$2,"Y"))</f>
        <v/>
      </c>
      <c r="K148" s="18">
        <f>IF($F148="","",IF(UPPER($I148)="Y",Rates!$B$7,IF(J148&gt;=21,Rates!$B$4,IF(J148&gt;=18,Rates!$B$5,Rates!$B$6))))</f>
        <v/>
      </c>
      <c r="L148" s="17">
        <f>IF($F148="","",IF($E148&lt;K148,"Uplift needed","OK"))</f>
        <v/>
      </c>
      <c r="M148" s="17">
        <f>IF($F148="","",IF(AND(J148&lt;21,DATEDIF($F148,Rates!$B$3,"Y")&gt;=21),"Turns 21",IF(AND(J148&lt;18,DATEDIF($F148,Rates!$B$3,"Y")&gt;=18),"Turns 18","")))</f>
        <v/>
      </c>
      <c r="N148" s="18">
        <f>IF($F148="","",MAX($E148,K148))</f>
        <v/>
      </c>
      <c r="O148" s="19">
        <f>IF($F148="","",ROUND($C148*N148/$E148,2))</f>
        <v/>
      </c>
      <c r="P148" s="19">
        <f>IF($F148="","",ROUND($D148*N148/$E148,2))</f>
        <v/>
      </c>
      <c r="Q148" s="19">
        <f>IF($F148="","",ROUND(P148-$D148,2))</f>
        <v/>
      </c>
      <c r="R148" s="19">
        <f>IF($F148="","",ROUND(Rates!$B$8*(MAX(0,P148-Rates!$B$9)-MAX(0,$D148-Rates!$B$9)),2))</f>
        <v/>
      </c>
      <c r="S148" s="19">
        <f>IF($F148="","",ROUND(Rates!$B$10*IF(Rates!$B$11="Full",P148-$D148,MAX(0,MIN(P148,Rates!$B$13)-Rates!$B$12)-MAX(0,MIN($D148,Rates!$B$13)-Rates!$B$12)),2))</f>
        <v/>
      </c>
      <c r="T148" s="19">
        <f>IF($F148="","",ROUND(Q148+R148+S148,2))</f>
        <v/>
      </c>
    </row>
    <row r="149">
      <c r="A149" s="13" t="n"/>
      <c r="B149" s="13" t="n"/>
      <c r="C149" s="14" t="n"/>
      <c r="D149" s="14" t="n"/>
      <c r="E149" s="15" t="n"/>
      <c r="F149" s="16" t="n"/>
      <c r="G149" s="13" t="n"/>
      <c r="H149" s="13" t="n"/>
      <c r="I149" s="13" t="n"/>
      <c r="J149" s="17">
        <f>IF($F149="","",DATEDIF($F149,Rates!$B$2,"Y"))</f>
        <v/>
      </c>
      <c r="K149" s="18">
        <f>IF($F149="","",IF(UPPER($I149)="Y",Rates!$B$7,IF(J149&gt;=21,Rates!$B$4,IF(J149&gt;=18,Rates!$B$5,Rates!$B$6))))</f>
        <v/>
      </c>
      <c r="L149" s="17">
        <f>IF($F149="","",IF($E149&lt;K149,"Uplift needed","OK"))</f>
        <v/>
      </c>
      <c r="M149" s="17">
        <f>IF($F149="","",IF(AND(J149&lt;21,DATEDIF($F149,Rates!$B$3,"Y")&gt;=21),"Turns 21",IF(AND(J149&lt;18,DATEDIF($F149,Rates!$B$3,"Y")&gt;=18),"Turns 18","")))</f>
        <v/>
      </c>
      <c r="N149" s="18">
        <f>IF($F149="","",MAX($E149,K149))</f>
        <v/>
      </c>
      <c r="O149" s="19">
        <f>IF($F149="","",ROUND($C149*N149/$E149,2))</f>
        <v/>
      </c>
      <c r="P149" s="19">
        <f>IF($F149="","",ROUND($D149*N149/$E149,2))</f>
        <v/>
      </c>
      <c r="Q149" s="19">
        <f>IF($F149="","",ROUND(P149-$D149,2))</f>
        <v/>
      </c>
      <c r="R149" s="19">
        <f>IF($F149="","",ROUND(Rates!$B$8*(MAX(0,P149-Rates!$B$9)-MAX(0,$D149-Rates!$B$9)),2))</f>
        <v/>
      </c>
      <c r="S149" s="19">
        <f>IF($F149="","",ROUND(Rates!$B$10*IF(Rates!$B$11="Full",P149-$D149,MAX(0,MIN(P149,Rates!$B$13)-Rates!$B$12)-MAX(0,MIN($D149,Rates!$B$13)-Rates!$B$12)),2))</f>
        <v/>
      </c>
      <c r="T149" s="19">
        <f>IF($F149="","",ROUND(Q149+R149+S149,2))</f>
        <v/>
      </c>
    </row>
    <row r="150">
      <c r="A150" s="13" t="n"/>
      <c r="B150" s="13" t="n"/>
      <c r="C150" s="14" t="n"/>
      <c r="D150" s="14" t="n"/>
      <c r="E150" s="15" t="n"/>
      <c r="F150" s="16" t="n"/>
      <c r="G150" s="13" t="n"/>
      <c r="H150" s="13" t="n"/>
      <c r="I150" s="13" t="n"/>
      <c r="J150" s="17">
        <f>IF($F150="","",DATEDIF($F150,Rates!$B$2,"Y"))</f>
        <v/>
      </c>
      <c r="K150" s="18">
        <f>IF($F150="","",IF(UPPER($I150)="Y",Rates!$B$7,IF(J150&gt;=21,Rates!$B$4,IF(J150&gt;=18,Rates!$B$5,Rates!$B$6))))</f>
        <v/>
      </c>
      <c r="L150" s="17">
        <f>IF($F150="","",IF($E150&lt;K150,"Uplift needed","OK"))</f>
        <v/>
      </c>
      <c r="M150" s="17">
        <f>IF($F150="","",IF(AND(J150&lt;21,DATEDIF($F150,Rates!$B$3,"Y")&gt;=21),"Turns 21",IF(AND(J150&lt;18,DATEDIF($F150,Rates!$B$3,"Y")&gt;=18),"Turns 18","")))</f>
        <v/>
      </c>
      <c r="N150" s="18">
        <f>IF($F150="","",MAX($E150,K150))</f>
        <v/>
      </c>
      <c r="O150" s="19">
        <f>IF($F150="","",ROUND($C150*N150/$E150,2))</f>
        <v/>
      </c>
      <c r="P150" s="19">
        <f>IF($F150="","",ROUND($D150*N150/$E150,2))</f>
        <v/>
      </c>
      <c r="Q150" s="19">
        <f>IF($F150="","",ROUND(P150-$D150,2))</f>
        <v/>
      </c>
      <c r="R150" s="19">
        <f>IF($F150="","",ROUND(Rates!$B$8*(MAX(0,P150-Rates!$B$9)-MAX(0,$D150-Rates!$B$9)),2))</f>
        <v/>
      </c>
      <c r="S150" s="19">
        <f>IF($F150="","",ROUND(Rates!$B$10*IF(Rates!$B$11="Full",P150-$D150,MAX(0,MIN(P150,Rates!$B$13)-Rates!$B$12)-MAX(0,MIN($D150,Rates!$B$13)-Rates!$B$12)),2))</f>
        <v/>
      </c>
      <c r="T150" s="19">
        <f>IF($F150="","",ROUND(Q150+R150+S150,2))</f>
        <v/>
      </c>
    </row>
    <row r="151">
      <c r="A151" s="13" t="n"/>
      <c r="B151" s="13" t="n"/>
      <c r="C151" s="14" t="n"/>
      <c r="D151" s="14" t="n"/>
      <c r="E151" s="15" t="n"/>
      <c r="F151" s="16" t="n"/>
      <c r="G151" s="13" t="n"/>
      <c r="H151" s="13" t="n"/>
      <c r="I151" s="13" t="n"/>
      <c r="J151" s="17">
        <f>IF($F151="","",DATEDIF($F151,Rates!$B$2,"Y"))</f>
        <v/>
      </c>
      <c r="K151" s="18">
        <f>IF($F151="","",IF(UPPER($I151)="Y",Rates!$B$7,IF(J151&gt;=21,Rates!$B$4,IF(J151&gt;=18,Rates!$B$5,Rates!$B$6))))</f>
        <v/>
      </c>
      <c r="L151" s="17">
        <f>IF($F151="","",IF($E151&lt;K151,"Uplift needed","OK"))</f>
        <v/>
      </c>
      <c r="M151" s="17">
        <f>IF($F151="","",IF(AND(J151&lt;21,DATEDIF($F151,Rates!$B$3,"Y")&gt;=21),"Turns 21",IF(AND(J151&lt;18,DATEDIF($F151,Rates!$B$3,"Y")&gt;=18),"Turns 18","")))</f>
        <v/>
      </c>
      <c r="N151" s="18">
        <f>IF($F151="","",MAX($E151,K151))</f>
        <v/>
      </c>
      <c r="O151" s="19">
        <f>IF($F151="","",ROUND($C151*N151/$E151,2))</f>
        <v/>
      </c>
      <c r="P151" s="19">
        <f>IF($F151="","",ROUND($D151*N151/$E151,2))</f>
        <v/>
      </c>
      <c r="Q151" s="19">
        <f>IF($F151="","",ROUND(P151-$D151,2))</f>
        <v/>
      </c>
      <c r="R151" s="19">
        <f>IF($F151="","",ROUND(Rates!$B$8*(MAX(0,P151-Rates!$B$9)-MAX(0,$D151-Rates!$B$9)),2))</f>
        <v/>
      </c>
      <c r="S151" s="19">
        <f>IF($F151="","",ROUND(Rates!$B$10*IF(Rates!$B$11="Full",P151-$D151,MAX(0,MIN(P151,Rates!$B$13)-Rates!$B$12)-MAX(0,MIN($D151,Rates!$B$13)-Rates!$B$12)),2))</f>
        <v/>
      </c>
      <c r="T151" s="19">
        <f>IF($F151="","",ROUND(Q151+R151+S151,2))</f>
        <v/>
      </c>
    </row>
    <row r="152">
      <c r="A152" s="13" t="n"/>
      <c r="B152" s="13" t="n"/>
      <c r="C152" s="14" t="n"/>
      <c r="D152" s="14" t="n"/>
      <c r="E152" s="15" t="n"/>
      <c r="F152" s="16" t="n"/>
      <c r="G152" s="13" t="n"/>
      <c r="H152" s="13" t="n"/>
      <c r="I152" s="13" t="n"/>
      <c r="J152" s="17">
        <f>IF($F152="","",DATEDIF($F152,Rates!$B$2,"Y"))</f>
        <v/>
      </c>
      <c r="K152" s="18">
        <f>IF($F152="","",IF(UPPER($I152)="Y",Rates!$B$7,IF(J152&gt;=21,Rates!$B$4,IF(J152&gt;=18,Rates!$B$5,Rates!$B$6))))</f>
        <v/>
      </c>
      <c r="L152" s="17">
        <f>IF($F152="","",IF($E152&lt;K152,"Uplift needed","OK"))</f>
        <v/>
      </c>
      <c r="M152" s="17">
        <f>IF($F152="","",IF(AND(J152&lt;21,DATEDIF($F152,Rates!$B$3,"Y")&gt;=21),"Turns 21",IF(AND(J152&lt;18,DATEDIF($F152,Rates!$B$3,"Y")&gt;=18),"Turns 18","")))</f>
        <v/>
      </c>
      <c r="N152" s="18">
        <f>IF($F152="","",MAX($E152,K152))</f>
        <v/>
      </c>
      <c r="O152" s="19">
        <f>IF($F152="","",ROUND($C152*N152/$E152,2))</f>
        <v/>
      </c>
      <c r="P152" s="19">
        <f>IF($F152="","",ROUND($D152*N152/$E152,2))</f>
        <v/>
      </c>
      <c r="Q152" s="19">
        <f>IF($F152="","",ROUND(P152-$D152,2))</f>
        <v/>
      </c>
      <c r="R152" s="19">
        <f>IF($F152="","",ROUND(Rates!$B$8*(MAX(0,P152-Rates!$B$9)-MAX(0,$D152-Rates!$B$9)),2))</f>
        <v/>
      </c>
      <c r="S152" s="19">
        <f>IF($F152="","",ROUND(Rates!$B$10*IF(Rates!$B$11="Full",P152-$D152,MAX(0,MIN(P152,Rates!$B$13)-Rates!$B$12)-MAX(0,MIN($D152,Rates!$B$13)-Rates!$B$12)),2))</f>
        <v/>
      </c>
      <c r="T152" s="19">
        <f>IF($F152="","",ROUND(Q152+R152+S152,2))</f>
        <v/>
      </c>
    </row>
    <row r="153">
      <c r="A153" s="13" t="n"/>
      <c r="B153" s="13" t="n"/>
      <c r="C153" s="14" t="n"/>
      <c r="D153" s="14" t="n"/>
      <c r="E153" s="15" t="n"/>
      <c r="F153" s="16" t="n"/>
      <c r="G153" s="13" t="n"/>
      <c r="H153" s="13" t="n"/>
      <c r="I153" s="13" t="n"/>
      <c r="J153" s="17">
        <f>IF($F153="","",DATEDIF($F153,Rates!$B$2,"Y"))</f>
        <v/>
      </c>
      <c r="K153" s="18">
        <f>IF($F153="","",IF(UPPER($I153)="Y",Rates!$B$7,IF(J153&gt;=21,Rates!$B$4,IF(J153&gt;=18,Rates!$B$5,Rates!$B$6))))</f>
        <v/>
      </c>
      <c r="L153" s="17">
        <f>IF($F153="","",IF($E153&lt;K153,"Uplift needed","OK"))</f>
        <v/>
      </c>
      <c r="M153" s="17">
        <f>IF($F153="","",IF(AND(J153&lt;21,DATEDIF($F153,Rates!$B$3,"Y")&gt;=21),"Turns 21",IF(AND(J153&lt;18,DATEDIF($F153,Rates!$B$3,"Y")&gt;=18),"Turns 18","")))</f>
        <v/>
      </c>
      <c r="N153" s="18">
        <f>IF($F153="","",MAX($E153,K153))</f>
        <v/>
      </c>
      <c r="O153" s="19">
        <f>IF($F153="","",ROUND($C153*N153/$E153,2))</f>
        <v/>
      </c>
      <c r="P153" s="19">
        <f>IF($F153="","",ROUND($D153*N153/$E153,2))</f>
        <v/>
      </c>
      <c r="Q153" s="19">
        <f>IF($F153="","",ROUND(P153-$D153,2))</f>
        <v/>
      </c>
      <c r="R153" s="19">
        <f>IF($F153="","",ROUND(Rates!$B$8*(MAX(0,P153-Rates!$B$9)-MAX(0,$D153-Rates!$B$9)),2))</f>
        <v/>
      </c>
      <c r="S153" s="19">
        <f>IF($F153="","",ROUND(Rates!$B$10*IF(Rates!$B$11="Full",P153-$D153,MAX(0,MIN(P153,Rates!$B$13)-Rates!$B$12)-MAX(0,MIN($D153,Rates!$B$13)-Rates!$B$12)),2))</f>
        <v/>
      </c>
      <c r="T153" s="19">
        <f>IF($F153="","",ROUND(Q153+R153+S153,2))</f>
        <v/>
      </c>
    </row>
    <row r="154">
      <c r="A154" s="13" t="n"/>
      <c r="B154" s="13" t="n"/>
      <c r="C154" s="14" t="n"/>
      <c r="D154" s="14" t="n"/>
      <c r="E154" s="15" t="n"/>
      <c r="F154" s="16" t="n"/>
      <c r="G154" s="13" t="n"/>
      <c r="H154" s="13" t="n"/>
      <c r="I154" s="13" t="n"/>
      <c r="J154" s="17">
        <f>IF($F154="","",DATEDIF($F154,Rates!$B$2,"Y"))</f>
        <v/>
      </c>
      <c r="K154" s="18">
        <f>IF($F154="","",IF(UPPER($I154)="Y",Rates!$B$7,IF(J154&gt;=21,Rates!$B$4,IF(J154&gt;=18,Rates!$B$5,Rates!$B$6))))</f>
        <v/>
      </c>
      <c r="L154" s="17">
        <f>IF($F154="","",IF($E154&lt;K154,"Uplift needed","OK"))</f>
        <v/>
      </c>
      <c r="M154" s="17">
        <f>IF($F154="","",IF(AND(J154&lt;21,DATEDIF($F154,Rates!$B$3,"Y")&gt;=21),"Turns 21",IF(AND(J154&lt;18,DATEDIF($F154,Rates!$B$3,"Y")&gt;=18),"Turns 18","")))</f>
        <v/>
      </c>
      <c r="N154" s="18">
        <f>IF($F154="","",MAX($E154,K154))</f>
        <v/>
      </c>
      <c r="O154" s="19">
        <f>IF($F154="","",ROUND($C154*N154/$E154,2))</f>
        <v/>
      </c>
      <c r="P154" s="19">
        <f>IF($F154="","",ROUND($D154*N154/$E154,2))</f>
        <v/>
      </c>
      <c r="Q154" s="19">
        <f>IF($F154="","",ROUND(P154-$D154,2))</f>
        <v/>
      </c>
      <c r="R154" s="19">
        <f>IF($F154="","",ROUND(Rates!$B$8*(MAX(0,P154-Rates!$B$9)-MAX(0,$D154-Rates!$B$9)),2))</f>
        <v/>
      </c>
      <c r="S154" s="19">
        <f>IF($F154="","",ROUND(Rates!$B$10*IF(Rates!$B$11="Full",P154-$D154,MAX(0,MIN(P154,Rates!$B$13)-Rates!$B$12)-MAX(0,MIN($D154,Rates!$B$13)-Rates!$B$12)),2))</f>
        <v/>
      </c>
      <c r="T154" s="19">
        <f>IF($F154="","",ROUND(Q154+R154+S154,2))</f>
        <v/>
      </c>
    </row>
    <row r="155">
      <c r="A155" s="13" t="n"/>
      <c r="B155" s="13" t="n"/>
      <c r="C155" s="14" t="n"/>
      <c r="D155" s="14" t="n"/>
      <c r="E155" s="15" t="n"/>
      <c r="F155" s="16" t="n"/>
      <c r="G155" s="13" t="n"/>
      <c r="H155" s="13" t="n"/>
      <c r="I155" s="13" t="n"/>
      <c r="J155" s="17">
        <f>IF($F155="","",DATEDIF($F155,Rates!$B$2,"Y"))</f>
        <v/>
      </c>
      <c r="K155" s="18">
        <f>IF($F155="","",IF(UPPER($I155)="Y",Rates!$B$7,IF(J155&gt;=21,Rates!$B$4,IF(J155&gt;=18,Rates!$B$5,Rates!$B$6))))</f>
        <v/>
      </c>
      <c r="L155" s="17">
        <f>IF($F155="","",IF($E155&lt;K155,"Uplift needed","OK"))</f>
        <v/>
      </c>
      <c r="M155" s="17">
        <f>IF($F155="","",IF(AND(J155&lt;21,DATEDIF($F155,Rates!$B$3,"Y")&gt;=21),"Turns 21",IF(AND(J155&lt;18,DATEDIF($F155,Rates!$B$3,"Y")&gt;=18),"Turns 18","")))</f>
        <v/>
      </c>
      <c r="N155" s="18">
        <f>IF($F155="","",MAX($E155,K155))</f>
        <v/>
      </c>
      <c r="O155" s="19">
        <f>IF($F155="","",ROUND($C155*N155/$E155,2))</f>
        <v/>
      </c>
      <c r="P155" s="19">
        <f>IF($F155="","",ROUND($D155*N155/$E155,2))</f>
        <v/>
      </c>
      <c r="Q155" s="19">
        <f>IF($F155="","",ROUND(P155-$D155,2))</f>
        <v/>
      </c>
      <c r="R155" s="19">
        <f>IF($F155="","",ROUND(Rates!$B$8*(MAX(0,P155-Rates!$B$9)-MAX(0,$D155-Rates!$B$9)),2))</f>
        <v/>
      </c>
      <c r="S155" s="19">
        <f>IF($F155="","",ROUND(Rates!$B$10*IF(Rates!$B$11="Full",P155-$D155,MAX(0,MIN(P155,Rates!$B$13)-Rates!$B$12)-MAX(0,MIN($D155,Rates!$B$13)-Rates!$B$12)),2))</f>
        <v/>
      </c>
      <c r="T155" s="19">
        <f>IF($F155="","",ROUND(Q155+R155+S155,2))</f>
        <v/>
      </c>
    </row>
    <row r="156">
      <c r="A156" s="13" t="n"/>
      <c r="B156" s="13" t="n"/>
      <c r="C156" s="14" t="n"/>
      <c r="D156" s="14" t="n"/>
      <c r="E156" s="15" t="n"/>
      <c r="F156" s="16" t="n"/>
      <c r="G156" s="13" t="n"/>
      <c r="H156" s="13" t="n"/>
      <c r="I156" s="13" t="n"/>
      <c r="J156" s="17">
        <f>IF($F156="","",DATEDIF($F156,Rates!$B$2,"Y"))</f>
        <v/>
      </c>
      <c r="K156" s="18">
        <f>IF($F156="","",IF(UPPER($I156)="Y",Rates!$B$7,IF(J156&gt;=21,Rates!$B$4,IF(J156&gt;=18,Rates!$B$5,Rates!$B$6))))</f>
        <v/>
      </c>
      <c r="L156" s="17">
        <f>IF($F156="","",IF($E156&lt;K156,"Uplift needed","OK"))</f>
        <v/>
      </c>
      <c r="M156" s="17">
        <f>IF($F156="","",IF(AND(J156&lt;21,DATEDIF($F156,Rates!$B$3,"Y")&gt;=21),"Turns 21",IF(AND(J156&lt;18,DATEDIF($F156,Rates!$B$3,"Y")&gt;=18),"Turns 18","")))</f>
        <v/>
      </c>
      <c r="N156" s="18">
        <f>IF($F156="","",MAX($E156,K156))</f>
        <v/>
      </c>
      <c r="O156" s="19">
        <f>IF($F156="","",ROUND($C156*N156/$E156,2))</f>
        <v/>
      </c>
      <c r="P156" s="19">
        <f>IF($F156="","",ROUND($D156*N156/$E156,2))</f>
        <v/>
      </c>
      <c r="Q156" s="19">
        <f>IF($F156="","",ROUND(P156-$D156,2))</f>
        <v/>
      </c>
      <c r="R156" s="19">
        <f>IF($F156="","",ROUND(Rates!$B$8*(MAX(0,P156-Rates!$B$9)-MAX(0,$D156-Rates!$B$9)),2))</f>
        <v/>
      </c>
      <c r="S156" s="19">
        <f>IF($F156="","",ROUND(Rates!$B$10*IF(Rates!$B$11="Full",P156-$D156,MAX(0,MIN(P156,Rates!$B$13)-Rates!$B$12)-MAX(0,MIN($D156,Rates!$B$13)-Rates!$B$12)),2))</f>
        <v/>
      </c>
      <c r="T156" s="19">
        <f>IF($F156="","",ROUND(Q156+R156+S156,2))</f>
        <v/>
      </c>
    </row>
    <row r="157">
      <c r="A157" s="13" t="n"/>
      <c r="B157" s="13" t="n"/>
      <c r="C157" s="14" t="n"/>
      <c r="D157" s="14" t="n"/>
      <c r="E157" s="15" t="n"/>
      <c r="F157" s="16" t="n"/>
      <c r="G157" s="13" t="n"/>
      <c r="H157" s="13" t="n"/>
      <c r="I157" s="13" t="n"/>
      <c r="J157" s="17">
        <f>IF($F157="","",DATEDIF($F157,Rates!$B$2,"Y"))</f>
        <v/>
      </c>
      <c r="K157" s="18">
        <f>IF($F157="","",IF(UPPER($I157)="Y",Rates!$B$7,IF(J157&gt;=21,Rates!$B$4,IF(J157&gt;=18,Rates!$B$5,Rates!$B$6))))</f>
        <v/>
      </c>
      <c r="L157" s="17">
        <f>IF($F157="","",IF($E157&lt;K157,"Uplift needed","OK"))</f>
        <v/>
      </c>
      <c r="M157" s="17">
        <f>IF($F157="","",IF(AND(J157&lt;21,DATEDIF($F157,Rates!$B$3,"Y")&gt;=21),"Turns 21",IF(AND(J157&lt;18,DATEDIF($F157,Rates!$B$3,"Y")&gt;=18),"Turns 18","")))</f>
        <v/>
      </c>
      <c r="N157" s="18">
        <f>IF($F157="","",MAX($E157,K157))</f>
        <v/>
      </c>
      <c r="O157" s="19">
        <f>IF($F157="","",ROUND($C157*N157/$E157,2))</f>
        <v/>
      </c>
      <c r="P157" s="19">
        <f>IF($F157="","",ROUND($D157*N157/$E157,2))</f>
        <v/>
      </c>
      <c r="Q157" s="19">
        <f>IF($F157="","",ROUND(P157-$D157,2))</f>
        <v/>
      </c>
      <c r="R157" s="19">
        <f>IF($F157="","",ROUND(Rates!$B$8*(MAX(0,P157-Rates!$B$9)-MAX(0,$D157-Rates!$B$9)),2))</f>
        <v/>
      </c>
      <c r="S157" s="19">
        <f>IF($F157="","",ROUND(Rates!$B$10*IF(Rates!$B$11="Full",P157-$D157,MAX(0,MIN(P157,Rates!$B$13)-Rates!$B$12)-MAX(0,MIN($D157,Rates!$B$13)-Rates!$B$12)),2))</f>
        <v/>
      </c>
      <c r="T157" s="19">
        <f>IF($F157="","",ROUND(Q157+R157+S157,2))</f>
        <v/>
      </c>
    </row>
    <row r="158">
      <c r="A158" s="13" t="n"/>
      <c r="B158" s="13" t="n"/>
      <c r="C158" s="14" t="n"/>
      <c r="D158" s="14" t="n"/>
      <c r="E158" s="15" t="n"/>
      <c r="F158" s="16" t="n"/>
      <c r="G158" s="13" t="n"/>
      <c r="H158" s="13" t="n"/>
      <c r="I158" s="13" t="n"/>
      <c r="J158" s="17">
        <f>IF($F158="","",DATEDIF($F158,Rates!$B$2,"Y"))</f>
        <v/>
      </c>
      <c r="K158" s="18">
        <f>IF($F158="","",IF(UPPER($I158)="Y",Rates!$B$7,IF(J158&gt;=21,Rates!$B$4,IF(J158&gt;=18,Rates!$B$5,Rates!$B$6))))</f>
        <v/>
      </c>
      <c r="L158" s="17">
        <f>IF($F158="","",IF($E158&lt;K158,"Uplift needed","OK"))</f>
        <v/>
      </c>
      <c r="M158" s="17">
        <f>IF($F158="","",IF(AND(J158&lt;21,DATEDIF($F158,Rates!$B$3,"Y")&gt;=21),"Turns 21",IF(AND(J158&lt;18,DATEDIF($F158,Rates!$B$3,"Y")&gt;=18),"Turns 18","")))</f>
        <v/>
      </c>
      <c r="N158" s="18">
        <f>IF($F158="","",MAX($E158,K158))</f>
        <v/>
      </c>
      <c r="O158" s="19">
        <f>IF($F158="","",ROUND($C158*N158/$E158,2))</f>
        <v/>
      </c>
      <c r="P158" s="19">
        <f>IF($F158="","",ROUND($D158*N158/$E158,2))</f>
        <v/>
      </c>
      <c r="Q158" s="19">
        <f>IF($F158="","",ROUND(P158-$D158,2))</f>
        <v/>
      </c>
      <c r="R158" s="19">
        <f>IF($F158="","",ROUND(Rates!$B$8*(MAX(0,P158-Rates!$B$9)-MAX(0,$D158-Rates!$B$9)),2))</f>
        <v/>
      </c>
      <c r="S158" s="19">
        <f>IF($F158="","",ROUND(Rates!$B$10*IF(Rates!$B$11="Full",P158-$D158,MAX(0,MIN(P158,Rates!$B$13)-Rates!$B$12)-MAX(0,MIN($D158,Rates!$B$13)-Rates!$B$12)),2))</f>
        <v/>
      </c>
      <c r="T158" s="19">
        <f>IF($F158="","",ROUND(Q158+R158+S158,2))</f>
        <v/>
      </c>
    </row>
    <row r="159">
      <c r="A159" s="13" t="n"/>
      <c r="B159" s="13" t="n"/>
      <c r="C159" s="14" t="n"/>
      <c r="D159" s="14" t="n"/>
      <c r="E159" s="15" t="n"/>
      <c r="F159" s="16" t="n"/>
      <c r="G159" s="13" t="n"/>
      <c r="H159" s="13" t="n"/>
      <c r="I159" s="13" t="n"/>
      <c r="J159" s="17">
        <f>IF($F159="","",DATEDIF($F159,Rates!$B$2,"Y"))</f>
        <v/>
      </c>
      <c r="K159" s="18">
        <f>IF($F159="","",IF(UPPER($I159)="Y",Rates!$B$7,IF(J159&gt;=21,Rates!$B$4,IF(J159&gt;=18,Rates!$B$5,Rates!$B$6))))</f>
        <v/>
      </c>
      <c r="L159" s="17">
        <f>IF($F159="","",IF($E159&lt;K159,"Uplift needed","OK"))</f>
        <v/>
      </c>
      <c r="M159" s="17">
        <f>IF($F159="","",IF(AND(J159&lt;21,DATEDIF($F159,Rates!$B$3,"Y")&gt;=21),"Turns 21",IF(AND(J159&lt;18,DATEDIF($F159,Rates!$B$3,"Y")&gt;=18),"Turns 18","")))</f>
        <v/>
      </c>
      <c r="N159" s="18">
        <f>IF($F159="","",MAX($E159,K159))</f>
        <v/>
      </c>
      <c r="O159" s="19">
        <f>IF($F159="","",ROUND($C159*N159/$E159,2))</f>
        <v/>
      </c>
      <c r="P159" s="19">
        <f>IF($F159="","",ROUND($D159*N159/$E159,2))</f>
        <v/>
      </c>
      <c r="Q159" s="19">
        <f>IF($F159="","",ROUND(P159-$D159,2))</f>
        <v/>
      </c>
      <c r="R159" s="19">
        <f>IF($F159="","",ROUND(Rates!$B$8*(MAX(0,P159-Rates!$B$9)-MAX(0,$D159-Rates!$B$9)),2))</f>
        <v/>
      </c>
      <c r="S159" s="19">
        <f>IF($F159="","",ROUND(Rates!$B$10*IF(Rates!$B$11="Full",P159-$D159,MAX(0,MIN(P159,Rates!$B$13)-Rates!$B$12)-MAX(0,MIN($D159,Rates!$B$13)-Rates!$B$12)),2))</f>
        <v/>
      </c>
      <c r="T159" s="19">
        <f>IF($F159="","",ROUND(Q159+R159+S159,2))</f>
        <v/>
      </c>
    </row>
    <row r="160">
      <c r="A160" s="13" t="n"/>
      <c r="B160" s="13" t="n"/>
      <c r="C160" s="14" t="n"/>
      <c r="D160" s="14" t="n"/>
      <c r="E160" s="15" t="n"/>
      <c r="F160" s="16" t="n"/>
      <c r="G160" s="13" t="n"/>
      <c r="H160" s="13" t="n"/>
      <c r="I160" s="13" t="n"/>
      <c r="J160" s="17">
        <f>IF($F160="","",DATEDIF($F160,Rates!$B$2,"Y"))</f>
        <v/>
      </c>
      <c r="K160" s="18">
        <f>IF($F160="","",IF(UPPER($I160)="Y",Rates!$B$7,IF(J160&gt;=21,Rates!$B$4,IF(J160&gt;=18,Rates!$B$5,Rates!$B$6))))</f>
        <v/>
      </c>
      <c r="L160" s="17">
        <f>IF($F160="","",IF($E160&lt;K160,"Uplift needed","OK"))</f>
        <v/>
      </c>
      <c r="M160" s="17">
        <f>IF($F160="","",IF(AND(J160&lt;21,DATEDIF($F160,Rates!$B$3,"Y")&gt;=21),"Turns 21",IF(AND(J160&lt;18,DATEDIF($F160,Rates!$B$3,"Y")&gt;=18),"Turns 18","")))</f>
        <v/>
      </c>
      <c r="N160" s="18">
        <f>IF($F160="","",MAX($E160,K160))</f>
        <v/>
      </c>
      <c r="O160" s="19">
        <f>IF($F160="","",ROUND($C160*N160/$E160,2))</f>
        <v/>
      </c>
      <c r="P160" s="19">
        <f>IF($F160="","",ROUND($D160*N160/$E160,2))</f>
        <v/>
      </c>
      <c r="Q160" s="19">
        <f>IF($F160="","",ROUND(P160-$D160,2))</f>
        <v/>
      </c>
      <c r="R160" s="19">
        <f>IF($F160="","",ROUND(Rates!$B$8*(MAX(0,P160-Rates!$B$9)-MAX(0,$D160-Rates!$B$9)),2))</f>
        <v/>
      </c>
      <c r="S160" s="19">
        <f>IF($F160="","",ROUND(Rates!$B$10*IF(Rates!$B$11="Full",P160-$D160,MAX(0,MIN(P160,Rates!$B$13)-Rates!$B$12)-MAX(0,MIN($D160,Rates!$B$13)-Rates!$B$12)),2))</f>
        <v/>
      </c>
      <c r="T160" s="19">
        <f>IF($F160="","",ROUND(Q160+R160+S160,2))</f>
        <v/>
      </c>
    </row>
    <row r="161">
      <c r="A161" s="13" t="n"/>
      <c r="B161" s="13" t="n"/>
      <c r="C161" s="14" t="n"/>
      <c r="D161" s="14" t="n"/>
      <c r="E161" s="15" t="n"/>
      <c r="F161" s="16" t="n"/>
      <c r="G161" s="13" t="n"/>
      <c r="H161" s="13" t="n"/>
      <c r="I161" s="13" t="n"/>
      <c r="J161" s="17">
        <f>IF($F161="","",DATEDIF($F161,Rates!$B$2,"Y"))</f>
        <v/>
      </c>
      <c r="K161" s="18">
        <f>IF($F161="","",IF(UPPER($I161)="Y",Rates!$B$7,IF(J161&gt;=21,Rates!$B$4,IF(J161&gt;=18,Rates!$B$5,Rates!$B$6))))</f>
        <v/>
      </c>
      <c r="L161" s="17">
        <f>IF($F161="","",IF($E161&lt;K161,"Uplift needed","OK"))</f>
        <v/>
      </c>
      <c r="M161" s="17">
        <f>IF($F161="","",IF(AND(J161&lt;21,DATEDIF($F161,Rates!$B$3,"Y")&gt;=21),"Turns 21",IF(AND(J161&lt;18,DATEDIF($F161,Rates!$B$3,"Y")&gt;=18),"Turns 18","")))</f>
        <v/>
      </c>
      <c r="N161" s="18">
        <f>IF($F161="","",MAX($E161,K161))</f>
        <v/>
      </c>
      <c r="O161" s="19">
        <f>IF($F161="","",ROUND($C161*N161/$E161,2))</f>
        <v/>
      </c>
      <c r="P161" s="19">
        <f>IF($F161="","",ROUND($D161*N161/$E161,2))</f>
        <v/>
      </c>
      <c r="Q161" s="19">
        <f>IF($F161="","",ROUND(P161-$D161,2))</f>
        <v/>
      </c>
      <c r="R161" s="19">
        <f>IF($F161="","",ROUND(Rates!$B$8*(MAX(0,P161-Rates!$B$9)-MAX(0,$D161-Rates!$B$9)),2))</f>
        <v/>
      </c>
      <c r="S161" s="19">
        <f>IF($F161="","",ROUND(Rates!$B$10*IF(Rates!$B$11="Full",P161-$D161,MAX(0,MIN(P161,Rates!$B$13)-Rates!$B$12)-MAX(0,MIN($D161,Rates!$B$13)-Rates!$B$12)),2))</f>
        <v/>
      </c>
      <c r="T161" s="19">
        <f>IF($F161="","",ROUND(Q161+R161+S161,2))</f>
        <v/>
      </c>
    </row>
    <row r="162">
      <c r="A162" s="13" t="n"/>
      <c r="B162" s="13" t="n"/>
      <c r="C162" s="14" t="n"/>
      <c r="D162" s="14" t="n"/>
      <c r="E162" s="15" t="n"/>
      <c r="F162" s="16" t="n"/>
      <c r="G162" s="13" t="n"/>
      <c r="H162" s="13" t="n"/>
      <c r="I162" s="13" t="n"/>
      <c r="J162" s="17">
        <f>IF($F162="","",DATEDIF($F162,Rates!$B$2,"Y"))</f>
        <v/>
      </c>
      <c r="K162" s="18">
        <f>IF($F162="","",IF(UPPER($I162)="Y",Rates!$B$7,IF(J162&gt;=21,Rates!$B$4,IF(J162&gt;=18,Rates!$B$5,Rates!$B$6))))</f>
        <v/>
      </c>
      <c r="L162" s="17">
        <f>IF($F162="","",IF($E162&lt;K162,"Uplift needed","OK"))</f>
        <v/>
      </c>
      <c r="M162" s="17">
        <f>IF($F162="","",IF(AND(J162&lt;21,DATEDIF($F162,Rates!$B$3,"Y")&gt;=21),"Turns 21",IF(AND(J162&lt;18,DATEDIF($F162,Rates!$B$3,"Y")&gt;=18),"Turns 18","")))</f>
        <v/>
      </c>
      <c r="N162" s="18">
        <f>IF($F162="","",MAX($E162,K162))</f>
        <v/>
      </c>
      <c r="O162" s="19">
        <f>IF($F162="","",ROUND($C162*N162/$E162,2))</f>
        <v/>
      </c>
      <c r="P162" s="19">
        <f>IF($F162="","",ROUND($D162*N162/$E162,2))</f>
        <v/>
      </c>
      <c r="Q162" s="19">
        <f>IF($F162="","",ROUND(P162-$D162,2))</f>
        <v/>
      </c>
      <c r="R162" s="19">
        <f>IF($F162="","",ROUND(Rates!$B$8*(MAX(0,P162-Rates!$B$9)-MAX(0,$D162-Rates!$B$9)),2))</f>
        <v/>
      </c>
      <c r="S162" s="19">
        <f>IF($F162="","",ROUND(Rates!$B$10*IF(Rates!$B$11="Full",P162-$D162,MAX(0,MIN(P162,Rates!$B$13)-Rates!$B$12)-MAX(0,MIN($D162,Rates!$B$13)-Rates!$B$12)),2))</f>
        <v/>
      </c>
      <c r="T162" s="19">
        <f>IF($F162="","",ROUND(Q162+R162+S162,2))</f>
        <v/>
      </c>
    </row>
    <row r="163">
      <c r="A163" s="13" t="n"/>
      <c r="B163" s="13" t="n"/>
      <c r="C163" s="14" t="n"/>
      <c r="D163" s="14" t="n"/>
      <c r="E163" s="15" t="n"/>
      <c r="F163" s="16" t="n"/>
      <c r="G163" s="13" t="n"/>
      <c r="H163" s="13" t="n"/>
      <c r="I163" s="13" t="n"/>
      <c r="J163" s="17">
        <f>IF($F163="","",DATEDIF($F163,Rates!$B$2,"Y"))</f>
        <v/>
      </c>
      <c r="K163" s="18">
        <f>IF($F163="","",IF(UPPER($I163)="Y",Rates!$B$7,IF(J163&gt;=21,Rates!$B$4,IF(J163&gt;=18,Rates!$B$5,Rates!$B$6))))</f>
        <v/>
      </c>
      <c r="L163" s="17">
        <f>IF($F163="","",IF($E163&lt;K163,"Uplift needed","OK"))</f>
        <v/>
      </c>
      <c r="M163" s="17">
        <f>IF($F163="","",IF(AND(J163&lt;21,DATEDIF($F163,Rates!$B$3,"Y")&gt;=21),"Turns 21",IF(AND(J163&lt;18,DATEDIF($F163,Rates!$B$3,"Y")&gt;=18),"Turns 18","")))</f>
        <v/>
      </c>
      <c r="N163" s="18">
        <f>IF($F163="","",MAX($E163,K163))</f>
        <v/>
      </c>
      <c r="O163" s="19">
        <f>IF($F163="","",ROUND($C163*N163/$E163,2))</f>
        <v/>
      </c>
      <c r="P163" s="19">
        <f>IF($F163="","",ROUND($D163*N163/$E163,2))</f>
        <v/>
      </c>
      <c r="Q163" s="19">
        <f>IF($F163="","",ROUND(P163-$D163,2))</f>
        <v/>
      </c>
      <c r="R163" s="19">
        <f>IF($F163="","",ROUND(Rates!$B$8*(MAX(0,P163-Rates!$B$9)-MAX(0,$D163-Rates!$B$9)),2))</f>
        <v/>
      </c>
      <c r="S163" s="19">
        <f>IF($F163="","",ROUND(Rates!$B$10*IF(Rates!$B$11="Full",P163-$D163,MAX(0,MIN(P163,Rates!$B$13)-Rates!$B$12)-MAX(0,MIN($D163,Rates!$B$13)-Rates!$B$12)),2))</f>
        <v/>
      </c>
      <c r="T163" s="19">
        <f>IF($F163="","",ROUND(Q163+R163+S163,2))</f>
        <v/>
      </c>
    </row>
    <row r="164">
      <c r="A164" s="13" t="n"/>
      <c r="B164" s="13" t="n"/>
      <c r="C164" s="14" t="n"/>
      <c r="D164" s="14" t="n"/>
      <c r="E164" s="15" t="n"/>
      <c r="F164" s="16" t="n"/>
      <c r="G164" s="13" t="n"/>
      <c r="H164" s="13" t="n"/>
      <c r="I164" s="13" t="n"/>
      <c r="J164" s="17">
        <f>IF($F164="","",DATEDIF($F164,Rates!$B$2,"Y"))</f>
        <v/>
      </c>
      <c r="K164" s="18">
        <f>IF($F164="","",IF(UPPER($I164)="Y",Rates!$B$7,IF(J164&gt;=21,Rates!$B$4,IF(J164&gt;=18,Rates!$B$5,Rates!$B$6))))</f>
        <v/>
      </c>
      <c r="L164" s="17">
        <f>IF($F164="","",IF($E164&lt;K164,"Uplift needed","OK"))</f>
        <v/>
      </c>
      <c r="M164" s="17">
        <f>IF($F164="","",IF(AND(J164&lt;21,DATEDIF($F164,Rates!$B$3,"Y")&gt;=21),"Turns 21",IF(AND(J164&lt;18,DATEDIF($F164,Rates!$B$3,"Y")&gt;=18),"Turns 18","")))</f>
        <v/>
      </c>
      <c r="N164" s="18">
        <f>IF($F164="","",MAX($E164,K164))</f>
        <v/>
      </c>
      <c r="O164" s="19">
        <f>IF($F164="","",ROUND($C164*N164/$E164,2))</f>
        <v/>
      </c>
      <c r="P164" s="19">
        <f>IF($F164="","",ROUND($D164*N164/$E164,2))</f>
        <v/>
      </c>
      <c r="Q164" s="19">
        <f>IF($F164="","",ROUND(P164-$D164,2))</f>
        <v/>
      </c>
      <c r="R164" s="19">
        <f>IF($F164="","",ROUND(Rates!$B$8*(MAX(0,P164-Rates!$B$9)-MAX(0,$D164-Rates!$B$9)),2))</f>
        <v/>
      </c>
      <c r="S164" s="19">
        <f>IF($F164="","",ROUND(Rates!$B$10*IF(Rates!$B$11="Full",P164-$D164,MAX(0,MIN(P164,Rates!$B$13)-Rates!$B$12)-MAX(0,MIN($D164,Rates!$B$13)-Rates!$B$12)),2))</f>
        <v/>
      </c>
      <c r="T164" s="19">
        <f>IF($F164="","",ROUND(Q164+R164+S164,2))</f>
        <v/>
      </c>
    </row>
    <row r="165">
      <c r="A165" s="13" t="n"/>
      <c r="B165" s="13" t="n"/>
      <c r="C165" s="14" t="n"/>
      <c r="D165" s="14" t="n"/>
      <c r="E165" s="15" t="n"/>
      <c r="F165" s="16" t="n"/>
      <c r="G165" s="13" t="n"/>
      <c r="H165" s="13" t="n"/>
      <c r="I165" s="13" t="n"/>
      <c r="J165" s="17">
        <f>IF($F165="","",DATEDIF($F165,Rates!$B$2,"Y"))</f>
        <v/>
      </c>
      <c r="K165" s="18">
        <f>IF($F165="","",IF(UPPER($I165)="Y",Rates!$B$7,IF(J165&gt;=21,Rates!$B$4,IF(J165&gt;=18,Rates!$B$5,Rates!$B$6))))</f>
        <v/>
      </c>
      <c r="L165" s="17">
        <f>IF($F165="","",IF($E165&lt;K165,"Uplift needed","OK"))</f>
        <v/>
      </c>
      <c r="M165" s="17">
        <f>IF($F165="","",IF(AND(J165&lt;21,DATEDIF($F165,Rates!$B$3,"Y")&gt;=21),"Turns 21",IF(AND(J165&lt;18,DATEDIF($F165,Rates!$B$3,"Y")&gt;=18),"Turns 18","")))</f>
        <v/>
      </c>
      <c r="N165" s="18">
        <f>IF($F165="","",MAX($E165,K165))</f>
        <v/>
      </c>
      <c r="O165" s="19">
        <f>IF($F165="","",ROUND($C165*N165/$E165,2))</f>
        <v/>
      </c>
      <c r="P165" s="19">
        <f>IF($F165="","",ROUND($D165*N165/$E165,2))</f>
        <v/>
      </c>
      <c r="Q165" s="19">
        <f>IF($F165="","",ROUND(P165-$D165,2))</f>
        <v/>
      </c>
      <c r="R165" s="19">
        <f>IF($F165="","",ROUND(Rates!$B$8*(MAX(0,P165-Rates!$B$9)-MAX(0,$D165-Rates!$B$9)),2))</f>
        <v/>
      </c>
      <c r="S165" s="19">
        <f>IF($F165="","",ROUND(Rates!$B$10*IF(Rates!$B$11="Full",P165-$D165,MAX(0,MIN(P165,Rates!$B$13)-Rates!$B$12)-MAX(0,MIN($D165,Rates!$B$13)-Rates!$B$12)),2))</f>
        <v/>
      </c>
      <c r="T165" s="19">
        <f>IF($F165="","",ROUND(Q165+R165+S165,2))</f>
        <v/>
      </c>
    </row>
    <row r="166">
      <c r="A166" s="13" t="n"/>
      <c r="B166" s="13" t="n"/>
      <c r="C166" s="14" t="n"/>
      <c r="D166" s="14" t="n"/>
      <c r="E166" s="15" t="n"/>
      <c r="F166" s="16" t="n"/>
      <c r="G166" s="13" t="n"/>
      <c r="H166" s="13" t="n"/>
      <c r="I166" s="13" t="n"/>
      <c r="J166" s="17">
        <f>IF($F166="","",DATEDIF($F166,Rates!$B$2,"Y"))</f>
        <v/>
      </c>
      <c r="K166" s="18">
        <f>IF($F166="","",IF(UPPER($I166)="Y",Rates!$B$7,IF(J166&gt;=21,Rates!$B$4,IF(J166&gt;=18,Rates!$B$5,Rates!$B$6))))</f>
        <v/>
      </c>
      <c r="L166" s="17">
        <f>IF($F166="","",IF($E166&lt;K166,"Uplift needed","OK"))</f>
        <v/>
      </c>
      <c r="M166" s="17">
        <f>IF($F166="","",IF(AND(J166&lt;21,DATEDIF($F166,Rates!$B$3,"Y")&gt;=21),"Turns 21",IF(AND(J166&lt;18,DATEDIF($F166,Rates!$B$3,"Y")&gt;=18),"Turns 18","")))</f>
        <v/>
      </c>
      <c r="N166" s="18">
        <f>IF($F166="","",MAX($E166,K166))</f>
        <v/>
      </c>
      <c r="O166" s="19">
        <f>IF($F166="","",ROUND($C166*N166/$E166,2))</f>
        <v/>
      </c>
      <c r="P166" s="19">
        <f>IF($F166="","",ROUND($D166*N166/$E166,2))</f>
        <v/>
      </c>
      <c r="Q166" s="19">
        <f>IF($F166="","",ROUND(P166-$D166,2))</f>
        <v/>
      </c>
      <c r="R166" s="19">
        <f>IF($F166="","",ROUND(Rates!$B$8*(MAX(0,P166-Rates!$B$9)-MAX(0,$D166-Rates!$B$9)),2))</f>
        <v/>
      </c>
      <c r="S166" s="19">
        <f>IF($F166="","",ROUND(Rates!$B$10*IF(Rates!$B$11="Full",P166-$D166,MAX(0,MIN(P166,Rates!$B$13)-Rates!$B$12)-MAX(0,MIN($D166,Rates!$B$13)-Rates!$B$12)),2))</f>
        <v/>
      </c>
      <c r="T166" s="19">
        <f>IF($F166="","",ROUND(Q166+R166+S166,2))</f>
        <v/>
      </c>
    </row>
    <row r="167">
      <c r="A167" s="13" t="n"/>
      <c r="B167" s="13" t="n"/>
      <c r="C167" s="14" t="n"/>
      <c r="D167" s="14" t="n"/>
      <c r="E167" s="15" t="n"/>
      <c r="F167" s="16" t="n"/>
      <c r="G167" s="13" t="n"/>
      <c r="H167" s="13" t="n"/>
      <c r="I167" s="13" t="n"/>
      <c r="J167" s="17">
        <f>IF($F167="","",DATEDIF($F167,Rates!$B$2,"Y"))</f>
        <v/>
      </c>
      <c r="K167" s="18">
        <f>IF($F167="","",IF(UPPER($I167)="Y",Rates!$B$7,IF(J167&gt;=21,Rates!$B$4,IF(J167&gt;=18,Rates!$B$5,Rates!$B$6))))</f>
        <v/>
      </c>
      <c r="L167" s="17">
        <f>IF($F167="","",IF($E167&lt;K167,"Uplift needed","OK"))</f>
        <v/>
      </c>
      <c r="M167" s="17">
        <f>IF($F167="","",IF(AND(J167&lt;21,DATEDIF($F167,Rates!$B$3,"Y")&gt;=21),"Turns 21",IF(AND(J167&lt;18,DATEDIF($F167,Rates!$B$3,"Y")&gt;=18),"Turns 18","")))</f>
        <v/>
      </c>
      <c r="N167" s="18">
        <f>IF($F167="","",MAX($E167,K167))</f>
        <v/>
      </c>
      <c r="O167" s="19">
        <f>IF($F167="","",ROUND($C167*N167/$E167,2))</f>
        <v/>
      </c>
      <c r="P167" s="19">
        <f>IF($F167="","",ROUND($D167*N167/$E167,2))</f>
        <v/>
      </c>
      <c r="Q167" s="19">
        <f>IF($F167="","",ROUND(P167-$D167,2))</f>
        <v/>
      </c>
      <c r="R167" s="19">
        <f>IF($F167="","",ROUND(Rates!$B$8*(MAX(0,P167-Rates!$B$9)-MAX(0,$D167-Rates!$B$9)),2))</f>
        <v/>
      </c>
      <c r="S167" s="19">
        <f>IF($F167="","",ROUND(Rates!$B$10*IF(Rates!$B$11="Full",P167-$D167,MAX(0,MIN(P167,Rates!$B$13)-Rates!$B$12)-MAX(0,MIN($D167,Rates!$B$13)-Rates!$B$12)),2))</f>
        <v/>
      </c>
      <c r="T167" s="19">
        <f>IF($F167="","",ROUND(Q167+R167+S167,2))</f>
        <v/>
      </c>
    </row>
    <row r="168">
      <c r="A168" s="13" t="n"/>
      <c r="B168" s="13" t="n"/>
      <c r="C168" s="14" t="n"/>
      <c r="D168" s="14" t="n"/>
      <c r="E168" s="15" t="n"/>
      <c r="F168" s="16" t="n"/>
      <c r="G168" s="13" t="n"/>
      <c r="H168" s="13" t="n"/>
      <c r="I168" s="13" t="n"/>
      <c r="J168" s="17">
        <f>IF($F168="","",DATEDIF($F168,Rates!$B$2,"Y"))</f>
        <v/>
      </c>
      <c r="K168" s="18">
        <f>IF($F168="","",IF(UPPER($I168)="Y",Rates!$B$7,IF(J168&gt;=21,Rates!$B$4,IF(J168&gt;=18,Rates!$B$5,Rates!$B$6))))</f>
        <v/>
      </c>
      <c r="L168" s="17">
        <f>IF($F168="","",IF($E168&lt;K168,"Uplift needed","OK"))</f>
        <v/>
      </c>
      <c r="M168" s="17">
        <f>IF($F168="","",IF(AND(J168&lt;21,DATEDIF($F168,Rates!$B$3,"Y")&gt;=21),"Turns 21",IF(AND(J168&lt;18,DATEDIF($F168,Rates!$B$3,"Y")&gt;=18),"Turns 18","")))</f>
        <v/>
      </c>
      <c r="N168" s="18">
        <f>IF($F168="","",MAX($E168,K168))</f>
        <v/>
      </c>
      <c r="O168" s="19">
        <f>IF($F168="","",ROUND($C168*N168/$E168,2))</f>
        <v/>
      </c>
      <c r="P168" s="19">
        <f>IF($F168="","",ROUND($D168*N168/$E168,2))</f>
        <v/>
      </c>
      <c r="Q168" s="19">
        <f>IF($F168="","",ROUND(P168-$D168,2))</f>
        <v/>
      </c>
      <c r="R168" s="19">
        <f>IF($F168="","",ROUND(Rates!$B$8*(MAX(0,P168-Rates!$B$9)-MAX(0,$D168-Rates!$B$9)),2))</f>
        <v/>
      </c>
      <c r="S168" s="19">
        <f>IF($F168="","",ROUND(Rates!$B$10*IF(Rates!$B$11="Full",P168-$D168,MAX(0,MIN(P168,Rates!$B$13)-Rates!$B$12)-MAX(0,MIN($D168,Rates!$B$13)-Rates!$B$12)),2))</f>
        <v/>
      </c>
      <c r="T168" s="19">
        <f>IF($F168="","",ROUND(Q168+R168+S168,2))</f>
        <v/>
      </c>
    </row>
    <row r="169">
      <c r="A169" s="13" t="n"/>
      <c r="B169" s="13" t="n"/>
      <c r="C169" s="14" t="n"/>
      <c r="D169" s="14" t="n"/>
      <c r="E169" s="15" t="n"/>
      <c r="F169" s="16" t="n"/>
      <c r="G169" s="13" t="n"/>
      <c r="H169" s="13" t="n"/>
      <c r="I169" s="13" t="n"/>
      <c r="J169" s="17">
        <f>IF($F169="","",DATEDIF($F169,Rates!$B$2,"Y"))</f>
        <v/>
      </c>
      <c r="K169" s="18">
        <f>IF($F169="","",IF(UPPER($I169)="Y",Rates!$B$7,IF(J169&gt;=21,Rates!$B$4,IF(J169&gt;=18,Rates!$B$5,Rates!$B$6))))</f>
        <v/>
      </c>
      <c r="L169" s="17">
        <f>IF($F169="","",IF($E169&lt;K169,"Uplift needed","OK"))</f>
        <v/>
      </c>
      <c r="M169" s="17">
        <f>IF($F169="","",IF(AND(J169&lt;21,DATEDIF($F169,Rates!$B$3,"Y")&gt;=21),"Turns 21",IF(AND(J169&lt;18,DATEDIF($F169,Rates!$B$3,"Y")&gt;=18),"Turns 18","")))</f>
        <v/>
      </c>
      <c r="N169" s="18">
        <f>IF($F169="","",MAX($E169,K169))</f>
        <v/>
      </c>
      <c r="O169" s="19">
        <f>IF($F169="","",ROUND($C169*N169/$E169,2))</f>
        <v/>
      </c>
      <c r="P169" s="19">
        <f>IF($F169="","",ROUND($D169*N169/$E169,2))</f>
        <v/>
      </c>
      <c r="Q169" s="19">
        <f>IF($F169="","",ROUND(P169-$D169,2))</f>
        <v/>
      </c>
      <c r="R169" s="19">
        <f>IF($F169="","",ROUND(Rates!$B$8*(MAX(0,P169-Rates!$B$9)-MAX(0,$D169-Rates!$B$9)),2))</f>
        <v/>
      </c>
      <c r="S169" s="19">
        <f>IF($F169="","",ROUND(Rates!$B$10*IF(Rates!$B$11="Full",P169-$D169,MAX(0,MIN(P169,Rates!$B$13)-Rates!$B$12)-MAX(0,MIN($D169,Rates!$B$13)-Rates!$B$12)),2))</f>
        <v/>
      </c>
      <c r="T169" s="19">
        <f>IF($F169="","",ROUND(Q169+R169+S169,2))</f>
        <v/>
      </c>
    </row>
    <row r="170">
      <c r="A170" s="13" t="n"/>
      <c r="B170" s="13" t="n"/>
      <c r="C170" s="14" t="n"/>
      <c r="D170" s="14" t="n"/>
      <c r="E170" s="15" t="n"/>
      <c r="F170" s="16" t="n"/>
      <c r="G170" s="13" t="n"/>
      <c r="H170" s="13" t="n"/>
      <c r="I170" s="13" t="n"/>
      <c r="J170" s="17">
        <f>IF($F170="","",DATEDIF($F170,Rates!$B$2,"Y"))</f>
        <v/>
      </c>
      <c r="K170" s="18">
        <f>IF($F170="","",IF(UPPER($I170)="Y",Rates!$B$7,IF(J170&gt;=21,Rates!$B$4,IF(J170&gt;=18,Rates!$B$5,Rates!$B$6))))</f>
        <v/>
      </c>
      <c r="L170" s="17">
        <f>IF($F170="","",IF($E170&lt;K170,"Uplift needed","OK"))</f>
        <v/>
      </c>
      <c r="M170" s="17">
        <f>IF($F170="","",IF(AND(J170&lt;21,DATEDIF($F170,Rates!$B$3,"Y")&gt;=21),"Turns 21",IF(AND(J170&lt;18,DATEDIF($F170,Rates!$B$3,"Y")&gt;=18),"Turns 18","")))</f>
        <v/>
      </c>
      <c r="N170" s="18">
        <f>IF($F170="","",MAX($E170,K170))</f>
        <v/>
      </c>
      <c r="O170" s="19">
        <f>IF($F170="","",ROUND($C170*N170/$E170,2))</f>
        <v/>
      </c>
      <c r="P170" s="19">
        <f>IF($F170="","",ROUND($D170*N170/$E170,2))</f>
        <v/>
      </c>
      <c r="Q170" s="19">
        <f>IF($F170="","",ROUND(P170-$D170,2))</f>
        <v/>
      </c>
      <c r="R170" s="19">
        <f>IF($F170="","",ROUND(Rates!$B$8*(MAX(0,P170-Rates!$B$9)-MAX(0,$D170-Rates!$B$9)),2))</f>
        <v/>
      </c>
      <c r="S170" s="19">
        <f>IF($F170="","",ROUND(Rates!$B$10*IF(Rates!$B$11="Full",P170-$D170,MAX(0,MIN(P170,Rates!$B$13)-Rates!$B$12)-MAX(0,MIN($D170,Rates!$B$13)-Rates!$B$12)),2))</f>
        <v/>
      </c>
      <c r="T170" s="19">
        <f>IF($F170="","",ROUND(Q170+R170+S170,2))</f>
        <v/>
      </c>
    </row>
    <row r="171">
      <c r="A171" s="13" t="n"/>
      <c r="B171" s="13" t="n"/>
      <c r="C171" s="14" t="n"/>
      <c r="D171" s="14" t="n"/>
      <c r="E171" s="15" t="n"/>
      <c r="F171" s="16" t="n"/>
      <c r="G171" s="13" t="n"/>
      <c r="H171" s="13" t="n"/>
      <c r="I171" s="13" t="n"/>
      <c r="J171" s="17">
        <f>IF($F171="","",DATEDIF($F171,Rates!$B$2,"Y"))</f>
        <v/>
      </c>
      <c r="K171" s="18">
        <f>IF($F171="","",IF(UPPER($I171)="Y",Rates!$B$7,IF(J171&gt;=21,Rates!$B$4,IF(J171&gt;=18,Rates!$B$5,Rates!$B$6))))</f>
        <v/>
      </c>
      <c r="L171" s="17">
        <f>IF($F171="","",IF($E171&lt;K171,"Uplift needed","OK"))</f>
        <v/>
      </c>
      <c r="M171" s="17">
        <f>IF($F171="","",IF(AND(J171&lt;21,DATEDIF($F171,Rates!$B$3,"Y")&gt;=21),"Turns 21",IF(AND(J171&lt;18,DATEDIF($F171,Rates!$B$3,"Y")&gt;=18),"Turns 18","")))</f>
        <v/>
      </c>
      <c r="N171" s="18">
        <f>IF($F171="","",MAX($E171,K171))</f>
        <v/>
      </c>
      <c r="O171" s="19">
        <f>IF($F171="","",ROUND($C171*N171/$E171,2))</f>
        <v/>
      </c>
      <c r="P171" s="19">
        <f>IF($F171="","",ROUND($D171*N171/$E171,2))</f>
        <v/>
      </c>
      <c r="Q171" s="19">
        <f>IF($F171="","",ROUND(P171-$D171,2))</f>
        <v/>
      </c>
      <c r="R171" s="19">
        <f>IF($F171="","",ROUND(Rates!$B$8*(MAX(0,P171-Rates!$B$9)-MAX(0,$D171-Rates!$B$9)),2))</f>
        <v/>
      </c>
      <c r="S171" s="19">
        <f>IF($F171="","",ROUND(Rates!$B$10*IF(Rates!$B$11="Full",P171-$D171,MAX(0,MIN(P171,Rates!$B$13)-Rates!$B$12)-MAX(0,MIN($D171,Rates!$B$13)-Rates!$B$12)),2))</f>
        <v/>
      </c>
      <c r="T171" s="19">
        <f>IF($F171="","",ROUND(Q171+R171+S171,2))</f>
        <v/>
      </c>
    </row>
    <row r="172">
      <c r="A172" s="13" t="n"/>
      <c r="B172" s="13" t="n"/>
      <c r="C172" s="14" t="n"/>
      <c r="D172" s="14" t="n"/>
      <c r="E172" s="15" t="n"/>
      <c r="F172" s="16" t="n"/>
      <c r="G172" s="13" t="n"/>
      <c r="H172" s="13" t="n"/>
      <c r="I172" s="13" t="n"/>
      <c r="J172" s="17">
        <f>IF($F172="","",DATEDIF($F172,Rates!$B$2,"Y"))</f>
        <v/>
      </c>
      <c r="K172" s="18">
        <f>IF($F172="","",IF(UPPER($I172)="Y",Rates!$B$7,IF(J172&gt;=21,Rates!$B$4,IF(J172&gt;=18,Rates!$B$5,Rates!$B$6))))</f>
        <v/>
      </c>
      <c r="L172" s="17">
        <f>IF($F172="","",IF($E172&lt;K172,"Uplift needed","OK"))</f>
        <v/>
      </c>
      <c r="M172" s="17">
        <f>IF($F172="","",IF(AND(J172&lt;21,DATEDIF($F172,Rates!$B$3,"Y")&gt;=21),"Turns 21",IF(AND(J172&lt;18,DATEDIF($F172,Rates!$B$3,"Y")&gt;=18),"Turns 18","")))</f>
        <v/>
      </c>
      <c r="N172" s="18">
        <f>IF($F172="","",MAX($E172,K172))</f>
        <v/>
      </c>
      <c r="O172" s="19">
        <f>IF($F172="","",ROUND($C172*N172/$E172,2))</f>
        <v/>
      </c>
      <c r="P172" s="19">
        <f>IF($F172="","",ROUND($D172*N172/$E172,2))</f>
        <v/>
      </c>
      <c r="Q172" s="19">
        <f>IF($F172="","",ROUND(P172-$D172,2))</f>
        <v/>
      </c>
      <c r="R172" s="19">
        <f>IF($F172="","",ROUND(Rates!$B$8*(MAX(0,P172-Rates!$B$9)-MAX(0,$D172-Rates!$B$9)),2))</f>
        <v/>
      </c>
      <c r="S172" s="19">
        <f>IF($F172="","",ROUND(Rates!$B$10*IF(Rates!$B$11="Full",P172-$D172,MAX(0,MIN(P172,Rates!$B$13)-Rates!$B$12)-MAX(0,MIN($D172,Rates!$B$13)-Rates!$B$12)),2))</f>
        <v/>
      </c>
      <c r="T172" s="19">
        <f>IF($F172="","",ROUND(Q172+R172+S172,2))</f>
        <v/>
      </c>
    </row>
    <row r="173">
      <c r="A173" s="13" t="n"/>
      <c r="B173" s="13" t="n"/>
      <c r="C173" s="14" t="n"/>
      <c r="D173" s="14" t="n"/>
      <c r="E173" s="15" t="n"/>
      <c r="F173" s="16" t="n"/>
      <c r="G173" s="13" t="n"/>
      <c r="H173" s="13" t="n"/>
      <c r="I173" s="13" t="n"/>
      <c r="J173" s="17">
        <f>IF($F173="","",DATEDIF($F173,Rates!$B$2,"Y"))</f>
        <v/>
      </c>
      <c r="K173" s="18">
        <f>IF($F173="","",IF(UPPER($I173)="Y",Rates!$B$7,IF(J173&gt;=21,Rates!$B$4,IF(J173&gt;=18,Rates!$B$5,Rates!$B$6))))</f>
        <v/>
      </c>
      <c r="L173" s="17">
        <f>IF($F173="","",IF($E173&lt;K173,"Uplift needed","OK"))</f>
        <v/>
      </c>
      <c r="M173" s="17">
        <f>IF($F173="","",IF(AND(J173&lt;21,DATEDIF($F173,Rates!$B$3,"Y")&gt;=21),"Turns 21",IF(AND(J173&lt;18,DATEDIF($F173,Rates!$B$3,"Y")&gt;=18),"Turns 18","")))</f>
        <v/>
      </c>
      <c r="N173" s="18">
        <f>IF($F173="","",MAX($E173,K173))</f>
        <v/>
      </c>
      <c r="O173" s="19">
        <f>IF($F173="","",ROUND($C173*N173/$E173,2))</f>
        <v/>
      </c>
      <c r="P173" s="19">
        <f>IF($F173="","",ROUND($D173*N173/$E173,2))</f>
        <v/>
      </c>
      <c r="Q173" s="19">
        <f>IF($F173="","",ROUND(P173-$D173,2))</f>
        <v/>
      </c>
      <c r="R173" s="19">
        <f>IF($F173="","",ROUND(Rates!$B$8*(MAX(0,P173-Rates!$B$9)-MAX(0,$D173-Rates!$B$9)),2))</f>
        <v/>
      </c>
      <c r="S173" s="19">
        <f>IF($F173="","",ROUND(Rates!$B$10*IF(Rates!$B$11="Full",P173-$D173,MAX(0,MIN(P173,Rates!$B$13)-Rates!$B$12)-MAX(0,MIN($D173,Rates!$B$13)-Rates!$B$12)),2))</f>
        <v/>
      </c>
      <c r="T173" s="19">
        <f>IF($F173="","",ROUND(Q173+R173+S173,2))</f>
        <v/>
      </c>
    </row>
    <row r="174">
      <c r="A174" s="13" t="n"/>
      <c r="B174" s="13" t="n"/>
      <c r="C174" s="14" t="n"/>
      <c r="D174" s="14" t="n"/>
      <c r="E174" s="15" t="n"/>
      <c r="F174" s="16" t="n"/>
      <c r="G174" s="13" t="n"/>
      <c r="H174" s="13" t="n"/>
      <c r="I174" s="13" t="n"/>
      <c r="J174" s="17">
        <f>IF($F174="","",DATEDIF($F174,Rates!$B$2,"Y"))</f>
        <v/>
      </c>
      <c r="K174" s="18">
        <f>IF($F174="","",IF(UPPER($I174)="Y",Rates!$B$7,IF(J174&gt;=21,Rates!$B$4,IF(J174&gt;=18,Rates!$B$5,Rates!$B$6))))</f>
        <v/>
      </c>
      <c r="L174" s="17">
        <f>IF($F174="","",IF($E174&lt;K174,"Uplift needed","OK"))</f>
        <v/>
      </c>
      <c r="M174" s="17">
        <f>IF($F174="","",IF(AND(J174&lt;21,DATEDIF($F174,Rates!$B$3,"Y")&gt;=21),"Turns 21",IF(AND(J174&lt;18,DATEDIF($F174,Rates!$B$3,"Y")&gt;=18),"Turns 18","")))</f>
        <v/>
      </c>
      <c r="N174" s="18">
        <f>IF($F174="","",MAX($E174,K174))</f>
        <v/>
      </c>
      <c r="O174" s="19">
        <f>IF($F174="","",ROUND($C174*N174/$E174,2))</f>
        <v/>
      </c>
      <c r="P174" s="19">
        <f>IF($F174="","",ROUND($D174*N174/$E174,2))</f>
        <v/>
      </c>
      <c r="Q174" s="19">
        <f>IF($F174="","",ROUND(P174-$D174,2))</f>
        <v/>
      </c>
      <c r="R174" s="19">
        <f>IF($F174="","",ROUND(Rates!$B$8*(MAX(0,P174-Rates!$B$9)-MAX(0,$D174-Rates!$B$9)),2))</f>
        <v/>
      </c>
      <c r="S174" s="19">
        <f>IF($F174="","",ROUND(Rates!$B$10*IF(Rates!$B$11="Full",P174-$D174,MAX(0,MIN(P174,Rates!$B$13)-Rates!$B$12)-MAX(0,MIN($D174,Rates!$B$13)-Rates!$B$12)),2))</f>
        <v/>
      </c>
      <c r="T174" s="19">
        <f>IF($F174="","",ROUND(Q174+R174+S174,2))</f>
        <v/>
      </c>
    </row>
    <row r="175">
      <c r="A175" s="13" t="n"/>
      <c r="B175" s="13" t="n"/>
      <c r="C175" s="14" t="n"/>
      <c r="D175" s="14" t="n"/>
      <c r="E175" s="15" t="n"/>
      <c r="F175" s="16" t="n"/>
      <c r="G175" s="13" t="n"/>
      <c r="H175" s="13" t="n"/>
      <c r="I175" s="13" t="n"/>
      <c r="J175" s="17">
        <f>IF($F175="","",DATEDIF($F175,Rates!$B$2,"Y"))</f>
        <v/>
      </c>
      <c r="K175" s="18">
        <f>IF($F175="","",IF(UPPER($I175)="Y",Rates!$B$7,IF(J175&gt;=21,Rates!$B$4,IF(J175&gt;=18,Rates!$B$5,Rates!$B$6))))</f>
        <v/>
      </c>
      <c r="L175" s="17">
        <f>IF($F175="","",IF($E175&lt;K175,"Uplift needed","OK"))</f>
        <v/>
      </c>
      <c r="M175" s="17">
        <f>IF($F175="","",IF(AND(J175&lt;21,DATEDIF($F175,Rates!$B$3,"Y")&gt;=21),"Turns 21",IF(AND(J175&lt;18,DATEDIF($F175,Rates!$B$3,"Y")&gt;=18),"Turns 18","")))</f>
        <v/>
      </c>
      <c r="N175" s="18">
        <f>IF($F175="","",MAX($E175,K175))</f>
        <v/>
      </c>
      <c r="O175" s="19">
        <f>IF($F175="","",ROUND($C175*N175/$E175,2))</f>
        <v/>
      </c>
      <c r="P175" s="19">
        <f>IF($F175="","",ROUND($D175*N175/$E175,2))</f>
        <v/>
      </c>
      <c r="Q175" s="19">
        <f>IF($F175="","",ROUND(P175-$D175,2))</f>
        <v/>
      </c>
      <c r="R175" s="19">
        <f>IF($F175="","",ROUND(Rates!$B$8*(MAX(0,P175-Rates!$B$9)-MAX(0,$D175-Rates!$B$9)),2))</f>
        <v/>
      </c>
      <c r="S175" s="19">
        <f>IF($F175="","",ROUND(Rates!$B$10*IF(Rates!$B$11="Full",P175-$D175,MAX(0,MIN(P175,Rates!$B$13)-Rates!$B$12)-MAX(0,MIN($D175,Rates!$B$13)-Rates!$B$12)),2))</f>
        <v/>
      </c>
      <c r="T175" s="19">
        <f>IF($F175="","",ROUND(Q175+R175+S175,2))</f>
        <v/>
      </c>
    </row>
    <row r="176">
      <c r="A176" s="13" t="n"/>
      <c r="B176" s="13" t="n"/>
      <c r="C176" s="14" t="n"/>
      <c r="D176" s="14" t="n"/>
      <c r="E176" s="15" t="n"/>
      <c r="F176" s="16" t="n"/>
      <c r="G176" s="13" t="n"/>
      <c r="H176" s="13" t="n"/>
      <c r="I176" s="13" t="n"/>
      <c r="J176" s="17">
        <f>IF($F176="","",DATEDIF($F176,Rates!$B$2,"Y"))</f>
        <v/>
      </c>
      <c r="K176" s="18">
        <f>IF($F176="","",IF(UPPER($I176)="Y",Rates!$B$7,IF(J176&gt;=21,Rates!$B$4,IF(J176&gt;=18,Rates!$B$5,Rates!$B$6))))</f>
        <v/>
      </c>
      <c r="L176" s="17">
        <f>IF($F176="","",IF($E176&lt;K176,"Uplift needed","OK"))</f>
        <v/>
      </c>
      <c r="M176" s="17">
        <f>IF($F176="","",IF(AND(J176&lt;21,DATEDIF($F176,Rates!$B$3,"Y")&gt;=21),"Turns 21",IF(AND(J176&lt;18,DATEDIF($F176,Rates!$B$3,"Y")&gt;=18),"Turns 18","")))</f>
        <v/>
      </c>
      <c r="N176" s="18">
        <f>IF($F176="","",MAX($E176,K176))</f>
        <v/>
      </c>
      <c r="O176" s="19">
        <f>IF($F176="","",ROUND($C176*N176/$E176,2))</f>
        <v/>
      </c>
      <c r="P176" s="19">
        <f>IF($F176="","",ROUND($D176*N176/$E176,2))</f>
        <v/>
      </c>
      <c r="Q176" s="19">
        <f>IF($F176="","",ROUND(P176-$D176,2))</f>
        <v/>
      </c>
      <c r="R176" s="19">
        <f>IF($F176="","",ROUND(Rates!$B$8*(MAX(0,P176-Rates!$B$9)-MAX(0,$D176-Rates!$B$9)),2))</f>
        <v/>
      </c>
      <c r="S176" s="19">
        <f>IF($F176="","",ROUND(Rates!$B$10*IF(Rates!$B$11="Full",P176-$D176,MAX(0,MIN(P176,Rates!$B$13)-Rates!$B$12)-MAX(0,MIN($D176,Rates!$B$13)-Rates!$B$12)),2))</f>
        <v/>
      </c>
      <c r="T176" s="19">
        <f>IF($F176="","",ROUND(Q176+R176+S176,2))</f>
        <v/>
      </c>
    </row>
    <row r="177">
      <c r="A177" s="13" t="n"/>
      <c r="B177" s="13" t="n"/>
      <c r="C177" s="14" t="n"/>
      <c r="D177" s="14" t="n"/>
      <c r="E177" s="15" t="n"/>
      <c r="F177" s="16" t="n"/>
      <c r="G177" s="13" t="n"/>
      <c r="H177" s="13" t="n"/>
      <c r="I177" s="13" t="n"/>
      <c r="J177" s="17">
        <f>IF($F177="","",DATEDIF($F177,Rates!$B$2,"Y"))</f>
        <v/>
      </c>
      <c r="K177" s="18">
        <f>IF($F177="","",IF(UPPER($I177)="Y",Rates!$B$7,IF(J177&gt;=21,Rates!$B$4,IF(J177&gt;=18,Rates!$B$5,Rates!$B$6))))</f>
        <v/>
      </c>
      <c r="L177" s="17">
        <f>IF($F177="","",IF($E177&lt;K177,"Uplift needed","OK"))</f>
        <v/>
      </c>
      <c r="M177" s="17">
        <f>IF($F177="","",IF(AND(J177&lt;21,DATEDIF($F177,Rates!$B$3,"Y")&gt;=21),"Turns 21",IF(AND(J177&lt;18,DATEDIF($F177,Rates!$B$3,"Y")&gt;=18),"Turns 18","")))</f>
        <v/>
      </c>
      <c r="N177" s="18">
        <f>IF($F177="","",MAX($E177,K177))</f>
        <v/>
      </c>
      <c r="O177" s="19">
        <f>IF($F177="","",ROUND($C177*N177/$E177,2))</f>
        <v/>
      </c>
      <c r="P177" s="19">
        <f>IF($F177="","",ROUND($D177*N177/$E177,2))</f>
        <v/>
      </c>
      <c r="Q177" s="19">
        <f>IF($F177="","",ROUND(P177-$D177,2))</f>
        <v/>
      </c>
      <c r="R177" s="19">
        <f>IF($F177="","",ROUND(Rates!$B$8*(MAX(0,P177-Rates!$B$9)-MAX(0,$D177-Rates!$B$9)),2))</f>
        <v/>
      </c>
      <c r="S177" s="19">
        <f>IF($F177="","",ROUND(Rates!$B$10*IF(Rates!$B$11="Full",P177-$D177,MAX(0,MIN(P177,Rates!$B$13)-Rates!$B$12)-MAX(0,MIN($D177,Rates!$B$13)-Rates!$B$12)),2))</f>
        <v/>
      </c>
      <c r="T177" s="19">
        <f>IF($F177="","",ROUND(Q177+R177+S177,2))</f>
        <v/>
      </c>
    </row>
    <row r="178">
      <c r="A178" s="13" t="n"/>
      <c r="B178" s="13" t="n"/>
      <c r="C178" s="14" t="n"/>
      <c r="D178" s="14" t="n"/>
      <c r="E178" s="15" t="n"/>
      <c r="F178" s="16" t="n"/>
      <c r="G178" s="13" t="n"/>
      <c r="H178" s="13" t="n"/>
      <c r="I178" s="13" t="n"/>
      <c r="J178" s="17">
        <f>IF($F178="","",DATEDIF($F178,Rates!$B$2,"Y"))</f>
        <v/>
      </c>
      <c r="K178" s="18">
        <f>IF($F178="","",IF(UPPER($I178)="Y",Rates!$B$7,IF(J178&gt;=21,Rates!$B$4,IF(J178&gt;=18,Rates!$B$5,Rates!$B$6))))</f>
        <v/>
      </c>
      <c r="L178" s="17">
        <f>IF($F178="","",IF($E178&lt;K178,"Uplift needed","OK"))</f>
        <v/>
      </c>
      <c r="M178" s="17">
        <f>IF($F178="","",IF(AND(J178&lt;21,DATEDIF($F178,Rates!$B$3,"Y")&gt;=21),"Turns 21",IF(AND(J178&lt;18,DATEDIF($F178,Rates!$B$3,"Y")&gt;=18),"Turns 18","")))</f>
        <v/>
      </c>
      <c r="N178" s="18">
        <f>IF($F178="","",MAX($E178,K178))</f>
        <v/>
      </c>
      <c r="O178" s="19">
        <f>IF($F178="","",ROUND($C178*N178/$E178,2))</f>
        <v/>
      </c>
      <c r="P178" s="19">
        <f>IF($F178="","",ROUND($D178*N178/$E178,2))</f>
        <v/>
      </c>
      <c r="Q178" s="19">
        <f>IF($F178="","",ROUND(P178-$D178,2))</f>
        <v/>
      </c>
      <c r="R178" s="19">
        <f>IF($F178="","",ROUND(Rates!$B$8*(MAX(0,P178-Rates!$B$9)-MAX(0,$D178-Rates!$B$9)),2))</f>
        <v/>
      </c>
      <c r="S178" s="19">
        <f>IF($F178="","",ROUND(Rates!$B$10*IF(Rates!$B$11="Full",P178-$D178,MAX(0,MIN(P178,Rates!$B$13)-Rates!$B$12)-MAX(0,MIN($D178,Rates!$B$13)-Rates!$B$12)),2))</f>
        <v/>
      </c>
      <c r="T178" s="19">
        <f>IF($F178="","",ROUND(Q178+R178+S178,2))</f>
        <v/>
      </c>
    </row>
    <row r="179">
      <c r="A179" s="13" t="n"/>
      <c r="B179" s="13" t="n"/>
      <c r="C179" s="14" t="n"/>
      <c r="D179" s="14" t="n"/>
      <c r="E179" s="15" t="n"/>
      <c r="F179" s="16" t="n"/>
      <c r="G179" s="13" t="n"/>
      <c r="H179" s="13" t="n"/>
      <c r="I179" s="13" t="n"/>
      <c r="J179" s="17">
        <f>IF($F179="","",DATEDIF($F179,Rates!$B$2,"Y"))</f>
        <v/>
      </c>
      <c r="K179" s="18">
        <f>IF($F179="","",IF(UPPER($I179)="Y",Rates!$B$7,IF(J179&gt;=21,Rates!$B$4,IF(J179&gt;=18,Rates!$B$5,Rates!$B$6))))</f>
        <v/>
      </c>
      <c r="L179" s="17">
        <f>IF($F179="","",IF($E179&lt;K179,"Uplift needed","OK"))</f>
        <v/>
      </c>
      <c r="M179" s="17">
        <f>IF($F179="","",IF(AND(J179&lt;21,DATEDIF($F179,Rates!$B$3,"Y")&gt;=21),"Turns 21",IF(AND(J179&lt;18,DATEDIF($F179,Rates!$B$3,"Y")&gt;=18),"Turns 18","")))</f>
        <v/>
      </c>
      <c r="N179" s="18">
        <f>IF($F179="","",MAX($E179,K179))</f>
        <v/>
      </c>
      <c r="O179" s="19">
        <f>IF($F179="","",ROUND($C179*N179/$E179,2))</f>
        <v/>
      </c>
      <c r="P179" s="19">
        <f>IF($F179="","",ROUND($D179*N179/$E179,2))</f>
        <v/>
      </c>
      <c r="Q179" s="19">
        <f>IF($F179="","",ROUND(P179-$D179,2))</f>
        <v/>
      </c>
      <c r="R179" s="19">
        <f>IF($F179="","",ROUND(Rates!$B$8*(MAX(0,P179-Rates!$B$9)-MAX(0,$D179-Rates!$B$9)),2))</f>
        <v/>
      </c>
      <c r="S179" s="19">
        <f>IF($F179="","",ROUND(Rates!$B$10*IF(Rates!$B$11="Full",P179-$D179,MAX(0,MIN(P179,Rates!$B$13)-Rates!$B$12)-MAX(0,MIN($D179,Rates!$B$13)-Rates!$B$12)),2))</f>
        <v/>
      </c>
      <c r="T179" s="19">
        <f>IF($F179="","",ROUND(Q179+R179+S179,2))</f>
        <v/>
      </c>
    </row>
    <row r="180">
      <c r="A180" s="13" t="n"/>
      <c r="B180" s="13" t="n"/>
      <c r="C180" s="14" t="n"/>
      <c r="D180" s="14" t="n"/>
      <c r="E180" s="15" t="n"/>
      <c r="F180" s="16" t="n"/>
      <c r="G180" s="13" t="n"/>
      <c r="H180" s="13" t="n"/>
      <c r="I180" s="13" t="n"/>
      <c r="J180" s="17">
        <f>IF($F180="","",DATEDIF($F180,Rates!$B$2,"Y"))</f>
        <v/>
      </c>
      <c r="K180" s="18">
        <f>IF($F180="","",IF(UPPER($I180)="Y",Rates!$B$7,IF(J180&gt;=21,Rates!$B$4,IF(J180&gt;=18,Rates!$B$5,Rates!$B$6))))</f>
        <v/>
      </c>
      <c r="L180" s="17">
        <f>IF($F180="","",IF($E180&lt;K180,"Uplift needed","OK"))</f>
        <v/>
      </c>
      <c r="M180" s="17">
        <f>IF($F180="","",IF(AND(J180&lt;21,DATEDIF($F180,Rates!$B$3,"Y")&gt;=21),"Turns 21",IF(AND(J180&lt;18,DATEDIF($F180,Rates!$B$3,"Y")&gt;=18),"Turns 18","")))</f>
        <v/>
      </c>
      <c r="N180" s="18">
        <f>IF($F180="","",MAX($E180,K180))</f>
        <v/>
      </c>
      <c r="O180" s="19">
        <f>IF($F180="","",ROUND($C180*N180/$E180,2))</f>
        <v/>
      </c>
      <c r="P180" s="19">
        <f>IF($F180="","",ROUND($D180*N180/$E180,2))</f>
        <v/>
      </c>
      <c r="Q180" s="19">
        <f>IF($F180="","",ROUND(P180-$D180,2))</f>
        <v/>
      </c>
      <c r="R180" s="19">
        <f>IF($F180="","",ROUND(Rates!$B$8*(MAX(0,P180-Rates!$B$9)-MAX(0,$D180-Rates!$B$9)),2))</f>
        <v/>
      </c>
      <c r="S180" s="19">
        <f>IF($F180="","",ROUND(Rates!$B$10*IF(Rates!$B$11="Full",P180-$D180,MAX(0,MIN(P180,Rates!$B$13)-Rates!$B$12)-MAX(0,MIN($D180,Rates!$B$13)-Rates!$B$12)),2))</f>
        <v/>
      </c>
      <c r="T180" s="19">
        <f>IF($F180="","",ROUND(Q180+R180+S180,2))</f>
        <v/>
      </c>
    </row>
    <row r="181">
      <c r="A181" s="13" t="n"/>
      <c r="B181" s="13" t="n"/>
      <c r="C181" s="14" t="n"/>
      <c r="D181" s="14" t="n"/>
      <c r="E181" s="15" t="n"/>
      <c r="F181" s="16" t="n"/>
      <c r="G181" s="13" t="n"/>
      <c r="H181" s="13" t="n"/>
      <c r="I181" s="13" t="n"/>
      <c r="J181" s="17">
        <f>IF($F181="","",DATEDIF($F181,Rates!$B$2,"Y"))</f>
        <v/>
      </c>
      <c r="K181" s="18">
        <f>IF($F181="","",IF(UPPER($I181)="Y",Rates!$B$7,IF(J181&gt;=21,Rates!$B$4,IF(J181&gt;=18,Rates!$B$5,Rates!$B$6))))</f>
        <v/>
      </c>
      <c r="L181" s="17">
        <f>IF($F181="","",IF($E181&lt;K181,"Uplift needed","OK"))</f>
        <v/>
      </c>
      <c r="M181" s="17">
        <f>IF($F181="","",IF(AND(J181&lt;21,DATEDIF($F181,Rates!$B$3,"Y")&gt;=21),"Turns 21",IF(AND(J181&lt;18,DATEDIF($F181,Rates!$B$3,"Y")&gt;=18),"Turns 18","")))</f>
        <v/>
      </c>
      <c r="N181" s="18">
        <f>IF($F181="","",MAX($E181,K181))</f>
        <v/>
      </c>
      <c r="O181" s="19">
        <f>IF($F181="","",ROUND($C181*N181/$E181,2))</f>
        <v/>
      </c>
      <c r="P181" s="19">
        <f>IF($F181="","",ROUND($D181*N181/$E181,2))</f>
        <v/>
      </c>
      <c r="Q181" s="19">
        <f>IF($F181="","",ROUND(P181-$D181,2))</f>
        <v/>
      </c>
      <c r="R181" s="19">
        <f>IF($F181="","",ROUND(Rates!$B$8*(MAX(0,P181-Rates!$B$9)-MAX(0,$D181-Rates!$B$9)),2))</f>
        <v/>
      </c>
      <c r="S181" s="19">
        <f>IF($F181="","",ROUND(Rates!$B$10*IF(Rates!$B$11="Full",P181-$D181,MAX(0,MIN(P181,Rates!$B$13)-Rates!$B$12)-MAX(0,MIN($D181,Rates!$B$13)-Rates!$B$12)),2))</f>
        <v/>
      </c>
      <c r="T181" s="19">
        <f>IF($F181="","",ROUND(Q181+R181+S181,2))</f>
        <v/>
      </c>
    </row>
    <row r="182">
      <c r="A182" s="13" t="n"/>
      <c r="B182" s="13" t="n"/>
      <c r="C182" s="14" t="n"/>
      <c r="D182" s="14" t="n"/>
      <c r="E182" s="15" t="n"/>
      <c r="F182" s="16" t="n"/>
      <c r="G182" s="13" t="n"/>
      <c r="H182" s="13" t="n"/>
      <c r="I182" s="13" t="n"/>
      <c r="J182" s="17">
        <f>IF($F182="","",DATEDIF($F182,Rates!$B$2,"Y"))</f>
        <v/>
      </c>
      <c r="K182" s="18">
        <f>IF($F182="","",IF(UPPER($I182)="Y",Rates!$B$7,IF(J182&gt;=21,Rates!$B$4,IF(J182&gt;=18,Rates!$B$5,Rates!$B$6))))</f>
        <v/>
      </c>
      <c r="L182" s="17">
        <f>IF($F182="","",IF($E182&lt;K182,"Uplift needed","OK"))</f>
        <v/>
      </c>
      <c r="M182" s="17">
        <f>IF($F182="","",IF(AND(J182&lt;21,DATEDIF($F182,Rates!$B$3,"Y")&gt;=21),"Turns 21",IF(AND(J182&lt;18,DATEDIF($F182,Rates!$B$3,"Y")&gt;=18),"Turns 18","")))</f>
        <v/>
      </c>
      <c r="N182" s="18">
        <f>IF($F182="","",MAX($E182,K182))</f>
        <v/>
      </c>
      <c r="O182" s="19">
        <f>IF($F182="","",ROUND($C182*N182/$E182,2))</f>
        <v/>
      </c>
      <c r="P182" s="19">
        <f>IF($F182="","",ROUND($D182*N182/$E182,2))</f>
        <v/>
      </c>
      <c r="Q182" s="19">
        <f>IF($F182="","",ROUND(P182-$D182,2))</f>
        <v/>
      </c>
      <c r="R182" s="19">
        <f>IF($F182="","",ROUND(Rates!$B$8*(MAX(0,P182-Rates!$B$9)-MAX(0,$D182-Rates!$B$9)),2))</f>
        <v/>
      </c>
      <c r="S182" s="19">
        <f>IF($F182="","",ROUND(Rates!$B$10*IF(Rates!$B$11="Full",P182-$D182,MAX(0,MIN(P182,Rates!$B$13)-Rates!$B$12)-MAX(0,MIN($D182,Rates!$B$13)-Rates!$B$12)),2))</f>
        <v/>
      </c>
      <c r="T182" s="19">
        <f>IF($F182="","",ROUND(Q182+R182+S182,2))</f>
        <v/>
      </c>
    </row>
    <row r="183">
      <c r="A183" s="13" t="n"/>
      <c r="B183" s="13" t="n"/>
      <c r="C183" s="14" t="n"/>
      <c r="D183" s="14" t="n"/>
      <c r="E183" s="15" t="n"/>
      <c r="F183" s="16" t="n"/>
      <c r="G183" s="13" t="n"/>
      <c r="H183" s="13" t="n"/>
      <c r="I183" s="13" t="n"/>
      <c r="J183" s="17">
        <f>IF($F183="","",DATEDIF($F183,Rates!$B$2,"Y"))</f>
        <v/>
      </c>
      <c r="K183" s="18">
        <f>IF($F183="","",IF(UPPER($I183)="Y",Rates!$B$7,IF(J183&gt;=21,Rates!$B$4,IF(J183&gt;=18,Rates!$B$5,Rates!$B$6))))</f>
        <v/>
      </c>
      <c r="L183" s="17">
        <f>IF($F183="","",IF($E183&lt;K183,"Uplift needed","OK"))</f>
        <v/>
      </c>
      <c r="M183" s="17">
        <f>IF($F183="","",IF(AND(J183&lt;21,DATEDIF($F183,Rates!$B$3,"Y")&gt;=21),"Turns 21",IF(AND(J183&lt;18,DATEDIF($F183,Rates!$B$3,"Y")&gt;=18),"Turns 18","")))</f>
        <v/>
      </c>
      <c r="N183" s="18">
        <f>IF($F183="","",MAX($E183,K183))</f>
        <v/>
      </c>
      <c r="O183" s="19">
        <f>IF($F183="","",ROUND($C183*N183/$E183,2))</f>
        <v/>
      </c>
      <c r="P183" s="19">
        <f>IF($F183="","",ROUND($D183*N183/$E183,2))</f>
        <v/>
      </c>
      <c r="Q183" s="19">
        <f>IF($F183="","",ROUND(P183-$D183,2))</f>
        <v/>
      </c>
      <c r="R183" s="19">
        <f>IF($F183="","",ROUND(Rates!$B$8*(MAX(0,P183-Rates!$B$9)-MAX(0,$D183-Rates!$B$9)),2))</f>
        <v/>
      </c>
      <c r="S183" s="19">
        <f>IF($F183="","",ROUND(Rates!$B$10*IF(Rates!$B$11="Full",P183-$D183,MAX(0,MIN(P183,Rates!$B$13)-Rates!$B$12)-MAX(0,MIN($D183,Rates!$B$13)-Rates!$B$12)),2))</f>
        <v/>
      </c>
      <c r="T183" s="19">
        <f>IF($F183="","",ROUND(Q183+R183+S183,2))</f>
        <v/>
      </c>
    </row>
    <row r="184">
      <c r="A184" s="13" t="n"/>
      <c r="B184" s="13" t="n"/>
      <c r="C184" s="14" t="n"/>
      <c r="D184" s="14" t="n"/>
      <c r="E184" s="15" t="n"/>
      <c r="F184" s="16" t="n"/>
      <c r="G184" s="13" t="n"/>
      <c r="H184" s="13" t="n"/>
      <c r="I184" s="13" t="n"/>
      <c r="J184" s="17">
        <f>IF($F184="","",DATEDIF($F184,Rates!$B$2,"Y"))</f>
        <v/>
      </c>
      <c r="K184" s="18">
        <f>IF($F184="","",IF(UPPER($I184)="Y",Rates!$B$7,IF(J184&gt;=21,Rates!$B$4,IF(J184&gt;=18,Rates!$B$5,Rates!$B$6))))</f>
        <v/>
      </c>
      <c r="L184" s="17">
        <f>IF($F184="","",IF($E184&lt;K184,"Uplift needed","OK"))</f>
        <v/>
      </c>
      <c r="M184" s="17">
        <f>IF($F184="","",IF(AND(J184&lt;21,DATEDIF($F184,Rates!$B$3,"Y")&gt;=21),"Turns 21",IF(AND(J184&lt;18,DATEDIF($F184,Rates!$B$3,"Y")&gt;=18),"Turns 18","")))</f>
        <v/>
      </c>
      <c r="N184" s="18">
        <f>IF($F184="","",MAX($E184,K184))</f>
        <v/>
      </c>
      <c r="O184" s="19">
        <f>IF($F184="","",ROUND($C184*N184/$E184,2))</f>
        <v/>
      </c>
      <c r="P184" s="19">
        <f>IF($F184="","",ROUND($D184*N184/$E184,2))</f>
        <v/>
      </c>
      <c r="Q184" s="19">
        <f>IF($F184="","",ROUND(P184-$D184,2))</f>
        <v/>
      </c>
      <c r="R184" s="19">
        <f>IF($F184="","",ROUND(Rates!$B$8*(MAX(0,P184-Rates!$B$9)-MAX(0,$D184-Rates!$B$9)),2))</f>
        <v/>
      </c>
      <c r="S184" s="19">
        <f>IF($F184="","",ROUND(Rates!$B$10*IF(Rates!$B$11="Full",P184-$D184,MAX(0,MIN(P184,Rates!$B$13)-Rates!$B$12)-MAX(0,MIN($D184,Rates!$B$13)-Rates!$B$12)),2))</f>
        <v/>
      </c>
      <c r="T184" s="19">
        <f>IF($F184="","",ROUND(Q184+R184+S184,2))</f>
        <v/>
      </c>
    </row>
    <row r="185">
      <c r="A185" s="13" t="n"/>
      <c r="B185" s="13" t="n"/>
      <c r="C185" s="14" t="n"/>
      <c r="D185" s="14" t="n"/>
      <c r="E185" s="15" t="n"/>
      <c r="F185" s="16" t="n"/>
      <c r="G185" s="13" t="n"/>
      <c r="H185" s="13" t="n"/>
      <c r="I185" s="13" t="n"/>
      <c r="J185" s="17">
        <f>IF($F185="","",DATEDIF($F185,Rates!$B$2,"Y"))</f>
        <v/>
      </c>
      <c r="K185" s="18">
        <f>IF($F185="","",IF(UPPER($I185)="Y",Rates!$B$7,IF(J185&gt;=21,Rates!$B$4,IF(J185&gt;=18,Rates!$B$5,Rates!$B$6))))</f>
        <v/>
      </c>
      <c r="L185" s="17">
        <f>IF($F185="","",IF($E185&lt;K185,"Uplift needed","OK"))</f>
        <v/>
      </c>
      <c r="M185" s="17">
        <f>IF($F185="","",IF(AND(J185&lt;21,DATEDIF($F185,Rates!$B$3,"Y")&gt;=21),"Turns 21",IF(AND(J185&lt;18,DATEDIF($F185,Rates!$B$3,"Y")&gt;=18),"Turns 18","")))</f>
        <v/>
      </c>
      <c r="N185" s="18">
        <f>IF($F185="","",MAX($E185,K185))</f>
        <v/>
      </c>
      <c r="O185" s="19">
        <f>IF($F185="","",ROUND($C185*N185/$E185,2))</f>
        <v/>
      </c>
      <c r="P185" s="19">
        <f>IF($F185="","",ROUND($D185*N185/$E185,2))</f>
        <v/>
      </c>
      <c r="Q185" s="19">
        <f>IF($F185="","",ROUND(P185-$D185,2))</f>
        <v/>
      </c>
      <c r="R185" s="19">
        <f>IF($F185="","",ROUND(Rates!$B$8*(MAX(0,P185-Rates!$B$9)-MAX(0,$D185-Rates!$B$9)),2))</f>
        <v/>
      </c>
      <c r="S185" s="19">
        <f>IF($F185="","",ROUND(Rates!$B$10*IF(Rates!$B$11="Full",P185-$D185,MAX(0,MIN(P185,Rates!$B$13)-Rates!$B$12)-MAX(0,MIN($D185,Rates!$B$13)-Rates!$B$12)),2))</f>
        <v/>
      </c>
      <c r="T185" s="19">
        <f>IF($F185="","",ROUND(Q185+R185+S185,2))</f>
        <v/>
      </c>
    </row>
    <row r="186">
      <c r="A186" s="13" t="n"/>
      <c r="B186" s="13" t="n"/>
      <c r="C186" s="14" t="n"/>
      <c r="D186" s="14" t="n"/>
      <c r="E186" s="15" t="n"/>
      <c r="F186" s="16" t="n"/>
      <c r="G186" s="13" t="n"/>
      <c r="H186" s="13" t="n"/>
      <c r="I186" s="13" t="n"/>
      <c r="J186" s="17">
        <f>IF($F186="","",DATEDIF($F186,Rates!$B$2,"Y"))</f>
        <v/>
      </c>
      <c r="K186" s="18">
        <f>IF($F186="","",IF(UPPER($I186)="Y",Rates!$B$7,IF(J186&gt;=21,Rates!$B$4,IF(J186&gt;=18,Rates!$B$5,Rates!$B$6))))</f>
        <v/>
      </c>
      <c r="L186" s="17">
        <f>IF($F186="","",IF($E186&lt;K186,"Uplift needed","OK"))</f>
        <v/>
      </c>
      <c r="M186" s="17">
        <f>IF($F186="","",IF(AND(J186&lt;21,DATEDIF($F186,Rates!$B$3,"Y")&gt;=21),"Turns 21",IF(AND(J186&lt;18,DATEDIF($F186,Rates!$B$3,"Y")&gt;=18),"Turns 18","")))</f>
        <v/>
      </c>
      <c r="N186" s="18">
        <f>IF($F186="","",MAX($E186,K186))</f>
        <v/>
      </c>
      <c r="O186" s="19">
        <f>IF($F186="","",ROUND($C186*N186/$E186,2))</f>
        <v/>
      </c>
      <c r="P186" s="19">
        <f>IF($F186="","",ROUND($D186*N186/$E186,2))</f>
        <v/>
      </c>
      <c r="Q186" s="19">
        <f>IF($F186="","",ROUND(P186-$D186,2))</f>
        <v/>
      </c>
      <c r="R186" s="19">
        <f>IF($F186="","",ROUND(Rates!$B$8*(MAX(0,P186-Rates!$B$9)-MAX(0,$D186-Rates!$B$9)),2))</f>
        <v/>
      </c>
      <c r="S186" s="19">
        <f>IF($F186="","",ROUND(Rates!$B$10*IF(Rates!$B$11="Full",P186-$D186,MAX(0,MIN(P186,Rates!$B$13)-Rates!$B$12)-MAX(0,MIN($D186,Rates!$B$13)-Rates!$B$12)),2))</f>
        <v/>
      </c>
      <c r="T186" s="19">
        <f>IF($F186="","",ROUND(Q186+R186+S186,2))</f>
        <v/>
      </c>
    </row>
    <row r="187">
      <c r="A187" s="13" t="n"/>
      <c r="B187" s="13" t="n"/>
      <c r="C187" s="14" t="n"/>
      <c r="D187" s="14" t="n"/>
      <c r="E187" s="15" t="n"/>
      <c r="F187" s="16" t="n"/>
      <c r="G187" s="13" t="n"/>
      <c r="H187" s="13" t="n"/>
      <c r="I187" s="13" t="n"/>
      <c r="J187" s="17">
        <f>IF($F187="","",DATEDIF($F187,Rates!$B$2,"Y"))</f>
        <v/>
      </c>
      <c r="K187" s="18">
        <f>IF($F187="","",IF(UPPER($I187)="Y",Rates!$B$7,IF(J187&gt;=21,Rates!$B$4,IF(J187&gt;=18,Rates!$B$5,Rates!$B$6))))</f>
        <v/>
      </c>
      <c r="L187" s="17">
        <f>IF($F187="","",IF($E187&lt;K187,"Uplift needed","OK"))</f>
        <v/>
      </c>
      <c r="M187" s="17">
        <f>IF($F187="","",IF(AND(J187&lt;21,DATEDIF($F187,Rates!$B$3,"Y")&gt;=21),"Turns 21",IF(AND(J187&lt;18,DATEDIF($F187,Rates!$B$3,"Y")&gt;=18),"Turns 18","")))</f>
        <v/>
      </c>
      <c r="N187" s="18">
        <f>IF($F187="","",MAX($E187,K187))</f>
        <v/>
      </c>
      <c r="O187" s="19">
        <f>IF($F187="","",ROUND($C187*N187/$E187,2))</f>
        <v/>
      </c>
      <c r="P187" s="19">
        <f>IF($F187="","",ROUND($D187*N187/$E187,2))</f>
        <v/>
      </c>
      <c r="Q187" s="19">
        <f>IF($F187="","",ROUND(P187-$D187,2))</f>
        <v/>
      </c>
      <c r="R187" s="19">
        <f>IF($F187="","",ROUND(Rates!$B$8*(MAX(0,P187-Rates!$B$9)-MAX(0,$D187-Rates!$B$9)),2))</f>
        <v/>
      </c>
      <c r="S187" s="19">
        <f>IF($F187="","",ROUND(Rates!$B$10*IF(Rates!$B$11="Full",P187-$D187,MAX(0,MIN(P187,Rates!$B$13)-Rates!$B$12)-MAX(0,MIN($D187,Rates!$B$13)-Rates!$B$12)),2))</f>
        <v/>
      </c>
      <c r="T187" s="19">
        <f>IF($F187="","",ROUND(Q187+R187+S187,2))</f>
        <v/>
      </c>
    </row>
    <row r="188">
      <c r="A188" s="13" t="n"/>
      <c r="B188" s="13" t="n"/>
      <c r="C188" s="14" t="n"/>
      <c r="D188" s="14" t="n"/>
      <c r="E188" s="15" t="n"/>
      <c r="F188" s="16" t="n"/>
      <c r="G188" s="13" t="n"/>
      <c r="H188" s="13" t="n"/>
      <c r="I188" s="13" t="n"/>
      <c r="J188" s="17">
        <f>IF($F188="","",DATEDIF($F188,Rates!$B$2,"Y"))</f>
        <v/>
      </c>
      <c r="K188" s="18">
        <f>IF($F188="","",IF(UPPER($I188)="Y",Rates!$B$7,IF(J188&gt;=21,Rates!$B$4,IF(J188&gt;=18,Rates!$B$5,Rates!$B$6))))</f>
        <v/>
      </c>
      <c r="L188" s="17">
        <f>IF($F188="","",IF($E188&lt;K188,"Uplift needed","OK"))</f>
        <v/>
      </c>
      <c r="M188" s="17">
        <f>IF($F188="","",IF(AND(J188&lt;21,DATEDIF($F188,Rates!$B$3,"Y")&gt;=21),"Turns 21",IF(AND(J188&lt;18,DATEDIF($F188,Rates!$B$3,"Y")&gt;=18),"Turns 18","")))</f>
        <v/>
      </c>
      <c r="N188" s="18">
        <f>IF($F188="","",MAX($E188,K188))</f>
        <v/>
      </c>
      <c r="O188" s="19">
        <f>IF($F188="","",ROUND($C188*N188/$E188,2))</f>
        <v/>
      </c>
      <c r="P188" s="19">
        <f>IF($F188="","",ROUND($D188*N188/$E188,2))</f>
        <v/>
      </c>
      <c r="Q188" s="19">
        <f>IF($F188="","",ROUND(P188-$D188,2))</f>
        <v/>
      </c>
      <c r="R188" s="19">
        <f>IF($F188="","",ROUND(Rates!$B$8*(MAX(0,P188-Rates!$B$9)-MAX(0,$D188-Rates!$B$9)),2))</f>
        <v/>
      </c>
      <c r="S188" s="19">
        <f>IF($F188="","",ROUND(Rates!$B$10*IF(Rates!$B$11="Full",P188-$D188,MAX(0,MIN(P188,Rates!$B$13)-Rates!$B$12)-MAX(0,MIN($D188,Rates!$B$13)-Rates!$B$12)),2))</f>
        <v/>
      </c>
      <c r="T188" s="19">
        <f>IF($F188="","",ROUND(Q188+R188+S188,2))</f>
        <v/>
      </c>
    </row>
    <row r="189">
      <c r="A189" s="13" t="n"/>
      <c r="B189" s="13" t="n"/>
      <c r="C189" s="14" t="n"/>
      <c r="D189" s="14" t="n"/>
      <c r="E189" s="15" t="n"/>
      <c r="F189" s="16" t="n"/>
      <c r="G189" s="13" t="n"/>
      <c r="H189" s="13" t="n"/>
      <c r="I189" s="13" t="n"/>
      <c r="J189" s="17">
        <f>IF($F189="","",DATEDIF($F189,Rates!$B$2,"Y"))</f>
        <v/>
      </c>
      <c r="K189" s="18">
        <f>IF($F189="","",IF(UPPER($I189)="Y",Rates!$B$7,IF(J189&gt;=21,Rates!$B$4,IF(J189&gt;=18,Rates!$B$5,Rates!$B$6))))</f>
        <v/>
      </c>
      <c r="L189" s="17">
        <f>IF($F189="","",IF($E189&lt;K189,"Uplift needed","OK"))</f>
        <v/>
      </c>
      <c r="M189" s="17">
        <f>IF($F189="","",IF(AND(J189&lt;21,DATEDIF($F189,Rates!$B$3,"Y")&gt;=21),"Turns 21",IF(AND(J189&lt;18,DATEDIF($F189,Rates!$B$3,"Y")&gt;=18),"Turns 18","")))</f>
        <v/>
      </c>
      <c r="N189" s="18">
        <f>IF($F189="","",MAX($E189,K189))</f>
        <v/>
      </c>
      <c r="O189" s="19">
        <f>IF($F189="","",ROUND($C189*N189/$E189,2))</f>
        <v/>
      </c>
      <c r="P189" s="19">
        <f>IF($F189="","",ROUND($D189*N189/$E189,2))</f>
        <v/>
      </c>
      <c r="Q189" s="19">
        <f>IF($F189="","",ROUND(P189-$D189,2))</f>
        <v/>
      </c>
      <c r="R189" s="19">
        <f>IF($F189="","",ROUND(Rates!$B$8*(MAX(0,P189-Rates!$B$9)-MAX(0,$D189-Rates!$B$9)),2))</f>
        <v/>
      </c>
      <c r="S189" s="19">
        <f>IF($F189="","",ROUND(Rates!$B$10*IF(Rates!$B$11="Full",P189-$D189,MAX(0,MIN(P189,Rates!$B$13)-Rates!$B$12)-MAX(0,MIN($D189,Rates!$B$13)-Rates!$B$12)),2))</f>
        <v/>
      </c>
      <c r="T189" s="19">
        <f>IF($F189="","",ROUND(Q189+R189+S189,2))</f>
        <v/>
      </c>
    </row>
    <row r="190">
      <c r="A190" s="13" t="n"/>
      <c r="B190" s="13" t="n"/>
      <c r="C190" s="14" t="n"/>
      <c r="D190" s="14" t="n"/>
      <c r="E190" s="15" t="n"/>
      <c r="F190" s="16" t="n"/>
      <c r="G190" s="13" t="n"/>
      <c r="H190" s="13" t="n"/>
      <c r="I190" s="13" t="n"/>
      <c r="J190" s="17">
        <f>IF($F190="","",DATEDIF($F190,Rates!$B$2,"Y"))</f>
        <v/>
      </c>
      <c r="K190" s="18">
        <f>IF($F190="","",IF(UPPER($I190)="Y",Rates!$B$7,IF(J190&gt;=21,Rates!$B$4,IF(J190&gt;=18,Rates!$B$5,Rates!$B$6))))</f>
        <v/>
      </c>
      <c r="L190" s="17">
        <f>IF($F190="","",IF($E190&lt;K190,"Uplift needed","OK"))</f>
        <v/>
      </c>
      <c r="M190" s="17">
        <f>IF($F190="","",IF(AND(J190&lt;21,DATEDIF($F190,Rates!$B$3,"Y")&gt;=21),"Turns 21",IF(AND(J190&lt;18,DATEDIF($F190,Rates!$B$3,"Y")&gt;=18),"Turns 18","")))</f>
        <v/>
      </c>
      <c r="N190" s="18">
        <f>IF($F190="","",MAX($E190,K190))</f>
        <v/>
      </c>
      <c r="O190" s="19">
        <f>IF($F190="","",ROUND($C190*N190/$E190,2))</f>
        <v/>
      </c>
      <c r="P190" s="19">
        <f>IF($F190="","",ROUND($D190*N190/$E190,2))</f>
        <v/>
      </c>
      <c r="Q190" s="19">
        <f>IF($F190="","",ROUND(P190-$D190,2))</f>
        <v/>
      </c>
      <c r="R190" s="19">
        <f>IF($F190="","",ROUND(Rates!$B$8*(MAX(0,P190-Rates!$B$9)-MAX(0,$D190-Rates!$B$9)),2))</f>
        <v/>
      </c>
      <c r="S190" s="19">
        <f>IF($F190="","",ROUND(Rates!$B$10*IF(Rates!$B$11="Full",P190-$D190,MAX(0,MIN(P190,Rates!$B$13)-Rates!$B$12)-MAX(0,MIN($D190,Rates!$B$13)-Rates!$B$12)),2))</f>
        <v/>
      </c>
      <c r="T190" s="19">
        <f>IF($F190="","",ROUND(Q190+R190+S190,2))</f>
        <v/>
      </c>
    </row>
    <row r="191">
      <c r="A191" s="13" t="n"/>
      <c r="B191" s="13" t="n"/>
      <c r="C191" s="14" t="n"/>
      <c r="D191" s="14" t="n"/>
      <c r="E191" s="15" t="n"/>
      <c r="F191" s="16" t="n"/>
      <c r="G191" s="13" t="n"/>
      <c r="H191" s="13" t="n"/>
      <c r="I191" s="13" t="n"/>
      <c r="J191" s="17">
        <f>IF($F191="","",DATEDIF($F191,Rates!$B$2,"Y"))</f>
        <v/>
      </c>
      <c r="K191" s="18">
        <f>IF($F191="","",IF(UPPER($I191)="Y",Rates!$B$7,IF(J191&gt;=21,Rates!$B$4,IF(J191&gt;=18,Rates!$B$5,Rates!$B$6))))</f>
        <v/>
      </c>
      <c r="L191" s="17">
        <f>IF($F191="","",IF($E191&lt;K191,"Uplift needed","OK"))</f>
        <v/>
      </c>
      <c r="M191" s="17">
        <f>IF($F191="","",IF(AND(J191&lt;21,DATEDIF($F191,Rates!$B$3,"Y")&gt;=21),"Turns 21",IF(AND(J191&lt;18,DATEDIF($F191,Rates!$B$3,"Y")&gt;=18),"Turns 18","")))</f>
        <v/>
      </c>
      <c r="N191" s="18">
        <f>IF($F191="","",MAX($E191,K191))</f>
        <v/>
      </c>
      <c r="O191" s="19">
        <f>IF($F191="","",ROUND($C191*N191/$E191,2))</f>
        <v/>
      </c>
      <c r="P191" s="19">
        <f>IF($F191="","",ROUND($D191*N191/$E191,2))</f>
        <v/>
      </c>
      <c r="Q191" s="19">
        <f>IF($F191="","",ROUND(P191-$D191,2))</f>
        <v/>
      </c>
      <c r="R191" s="19">
        <f>IF($F191="","",ROUND(Rates!$B$8*(MAX(0,P191-Rates!$B$9)-MAX(0,$D191-Rates!$B$9)),2))</f>
        <v/>
      </c>
      <c r="S191" s="19">
        <f>IF($F191="","",ROUND(Rates!$B$10*IF(Rates!$B$11="Full",P191-$D191,MAX(0,MIN(P191,Rates!$B$13)-Rates!$B$12)-MAX(0,MIN($D191,Rates!$B$13)-Rates!$B$12)),2))</f>
        <v/>
      </c>
      <c r="T191" s="19">
        <f>IF($F191="","",ROUND(Q191+R191+S191,2))</f>
        <v/>
      </c>
    </row>
    <row r="192">
      <c r="A192" s="13" t="n"/>
      <c r="B192" s="13" t="n"/>
      <c r="C192" s="14" t="n"/>
      <c r="D192" s="14" t="n"/>
      <c r="E192" s="15" t="n"/>
      <c r="F192" s="16" t="n"/>
      <c r="G192" s="13" t="n"/>
      <c r="H192" s="13" t="n"/>
      <c r="I192" s="13" t="n"/>
      <c r="J192" s="17">
        <f>IF($F192="","",DATEDIF($F192,Rates!$B$2,"Y"))</f>
        <v/>
      </c>
      <c r="K192" s="18">
        <f>IF($F192="","",IF(UPPER($I192)="Y",Rates!$B$7,IF(J192&gt;=21,Rates!$B$4,IF(J192&gt;=18,Rates!$B$5,Rates!$B$6))))</f>
        <v/>
      </c>
      <c r="L192" s="17">
        <f>IF($F192="","",IF($E192&lt;K192,"Uplift needed","OK"))</f>
        <v/>
      </c>
      <c r="M192" s="17">
        <f>IF($F192="","",IF(AND(J192&lt;21,DATEDIF($F192,Rates!$B$3,"Y")&gt;=21),"Turns 21",IF(AND(J192&lt;18,DATEDIF($F192,Rates!$B$3,"Y")&gt;=18),"Turns 18","")))</f>
        <v/>
      </c>
      <c r="N192" s="18">
        <f>IF($F192="","",MAX($E192,K192))</f>
        <v/>
      </c>
      <c r="O192" s="19">
        <f>IF($F192="","",ROUND($C192*N192/$E192,2))</f>
        <v/>
      </c>
      <c r="P192" s="19">
        <f>IF($F192="","",ROUND($D192*N192/$E192,2))</f>
        <v/>
      </c>
      <c r="Q192" s="19">
        <f>IF($F192="","",ROUND(P192-$D192,2))</f>
        <v/>
      </c>
      <c r="R192" s="19">
        <f>IF($F192="","",ROUND(Rates!$B$8*(MAX(0,P192-Rates!$B$9)-MAX(0,$D192-Rates!$B$9)),2))</f>
        <v/>
      </c>
      <c r="S192" s="19">
        <f>IF($F192="","",ROUND(Rates!$B$10*IF(Rates!$B$11="Full",P192-$D192,MAX(0,MIN(P192,Rates!$B$13)-Rates!$B$12)-MAX(0,MIN($D192,Rates!$B$13)-Rates!$B$12)),2))</f>
        <v/>
      </c>
      <c r="T192" s="19">
        <f>IF($F192="","",ROUND(Q192+R192+S192,2))</f>
        <v/>
      </c>
    </row>
    <row r="193">
      <c r="A193" s="13" t="n"/>
      <c r="B193" s="13" t="n"/>
      <c r="C193" s="14" t="n"/>
      <c r="D193" s="14" t="n"/>
      <c r="E193" s="15" t="n"/>
      <c r="F193" s="16" t="n"/>
      <c r="G193" s="13" t="n"/>
      <c r="H193" s="13" t="n"/>
      <c r="I193" s="13" t="n"/>
      <c r="J193" s="17">
        <f>IF($F193="","",DATEDIF($F193,Rates!$B$2,"Y"))</f>
        <v/>
      </c>
      <c r="K193" s="18">
        <f>IF($F193="","",IF(UPPER($I193)="Y",Rates!$B$7,IF(J193&gt;=21,Rates!$B$4,IF(J193&gt;=18,Rates!$B$5,Rates!$B$6))))</f>
        <v/>
      </c>
      <c r="L193" s="17">
        <f>IF($F193="","",IF($E193&lt;K193,"Uplift needed","OK"))</f>
        <v/>
      </c>
      <c r="M193" s="17">
        <f>IF($F193="","",IF(AND(J193&lt;21,DATEDIF($F193,Rates!$B$3,"Y")&gt;=21),"Turns 21",IF(AND(J193&lt;18,DATEDIF($F193,Rates!$B$3,"Y")&gt;=18),"Turns 18","")))</f>
        <v/>
      </c>
      <c r="N193" s="18">
        <f>IF($F193="","",MAX($E193,K193))</f>
        <v/>
      </c>
      <c r="O193" s="19">
        <f>IF($F193="","",ROUND($C193*N193/$E193,2))</f>
        <v/>
      </c>
      <c r="P193" s="19">
        <f>IF($F193="","",ROUND($D193*N193/$E193,2))</f>
        <v/>
      </c>
      <c r="Q193" s="19">
        <f>IF($F193="","",ROUND(P193-$D193,2))</f>
        <v/>
      </c>
      <c r="R193" s="19">
        <f>IF($F193="","",ROUND(Rates!$B$8*(MAX(0,P193-Rates!$B$9)-MAX(0,$D193-Rates!$B$9)),2))</f>
        <v/>
      </c>
      <c r="S193" s="19">
        <f>IF($F193="","",ROUND(Rates!$B$10*IF(Rates!$B$11="Full",P193-$D193,MAX(0,MIN(P193,Rates!$B$13)-Rates!$B$12)-MAX(0,MIN($D193,Rates!$B$13)-Rates!$B$12)),2))</f>
        <v/>
      </c>
      <c r="T193" s="19">
        <f>IF($F193="","",ROUND(Q193+R193+S193,2))</f>
        <v/>
      </c>
    </row>
    <row r="194">
      <c r="A194" s="13" t="n"/>
      <c r="B194" s="13" t="n"/>
      <c r="C194" s="14" t="n"/>
      <c r="D194" s="14" t="n"/>
      <c r="E194" s="15" t="n"/>
      <c r="F194" s="16" t="n"/>
      <c r="G194" s="13" t="n"/>
      <c r="H194" s="13" t="n"/>
      <c r="I194" s="13" t="n"/>
      <c r="J194" s="17">
        <f>IF($F194="","",DATEDIF($F194,Rates!$B$2,"Y"))</f>
        <v/>
      </c>
      <c r="K194" s="18">
        <f>IF($F194="","",IF(UPPER($I194)="Y",Rates!$B$7,IF(J194&gt;=21,Rates!$B$4,IF(J194&gt;=18,Rates!$B$5,Rates!$B$6))))</f>
        <v/>
      </c>
      <c r="L194" s="17">
        <f>IF($F194="","",IF($E194&lt;K194,"Uplift needed","OK"))</f>
        <v/>
      </c>
      <c r="M194" s="17">
        <f>IF($F194="","",IF(AND(J194&lt;21,DATEDIF($F194,Rates!$B$3,"Y")&gt;=21),"Turns 21",IF(AND(J194&lt;18,DATEDIF($F194,Rates!$B$3,"Y")&gt;=18),"Turns 18","")))</f>
        <v/>
      </c>
      <c r="N194" s="18">
        <f>IF($F194="","",MAX($E194,K194))</f>
        <v/>
      </c>
      <c r="O194" s="19">
        <f>IF($F194="","",ROUND($C194*N194/$E194,2))</f>
        <v/>
      </c>
      <c r="P194" s="19">
        <f>IF($F194="","",ROUND($D194*N194/$E194,2))</f>
        <v/>
      </c>
      <c r="Q194" s="19">
        <f>IF($F194="","",ROUND(P194-$D194,2))</f>
        <v/>
      </c>
      <c r="R194" s="19">
        <f>IF($F194="","",ROUND(Rates!$B$8*(MAX(0,P194-Rates!$B$9)-MAX(0,$D194-Rates!$B$9)),2))</f>
        <v/>
      </c>
      <c r="S194" s="19">
        <f>IF($F194="","",ROUND(Rates!$B$10*IF(Rates!$B$11="Full",P194-$D194,MAX(0,MIN(P194,Rates!$B$13)-Rates!$B$12)-MAX(0,MIN($D194,Rates!$B$13)-Rates!$B$12)),2))</f>
        <v/>
      </c>
      <c r="T194" s="19">
        <f>IF($F194="","",ROUND(Q194+R194+S194,2))</f>
        <v/>
      </c>
    </row>
    <row r="195">
      <c r="A195" s="13" t="n"/>
      <c r="B195" s="13" t="n"/>
      <c r="C195" s="14" t="n"/>
      <c r="D195" s="14" t="n"/>
      <c r="E195" s="15" t="n"/>
      <c r="F195" s="16" t="n"/>
      <c r="G195" s="13" t="n"/>
      <c r="H195" s="13" t="n"/>
      <c r="I195" s="13" t="n"/>
      <c r="J195" s="17">
        <f>IF($F195="","",DATEDIF($F195,Rates!$B$2,"Y"))</f>
        <v/>
      </c>
      <c r="K195" s="18">
        <f>IF($F195="","",IF(UPPER($I195)="Y",Rates!$B$7,IF(J195&gt;=21,Rates!$B$4,IF(J195&gt;=18,Rates!$B$5,Rates!$B$6))))</f>
        <v/>
      </c>
      <c r="L195" s="17">
        <f>IF($F195="","",IF($E195&lt;K195,"Uplift needed","OK"))</f>
        <v/>
      </c>
      <c r="M195" s="17">
        <f>IF($F195="","",IF(AND(J195&lt;21,DATEDIF($F195,Rates!$B$3,"Y")&gt;=21),"Turns 21",IF(AND(J195&lt;18,DATEDIF($F195,Rates!$B$3,"Y")&gt;=18),"Turns 18","")))</f>
        <v/>
      </c>
      <c r="N195" s="18">
        <f>IF($F195="","",MAX($E195,K195))</f>
        <v/>
      </c>
      <c r="O195" s="19">
        <f>IF($F195="","",ROUND($C195*N195/$E195,2))</f>
        <v/>
      </c>
      <c r="P195" s="19">
        <f>IF($F195="","",ROUND($D195*N195/$E195,2))</f>
        <v/>
      </c>
      <c r="Q195" s="19">
        <f>IF($F195="","",ROUND(P195-$D195,2))</f>
        <v/>
      </c>
      <c r="R195" s="19">
        <f>IF($F195="","",ROUND(Rates!$B$8*(MAX(0,P195-Rates!$B$9)-MAX(0,$D195-Rates!$B$9)),2))</f>
        <v/>
      </c>
      <c r="S195" s="19">
        <f>IF($F195="","",ROUND(Rates!$B$10*IF(Rates!$B$11="Full",P195-$D195,MAX(0,MIN(P195,Rates!$B$13)-Rates!$B$12)-MAX(0,MIN($D195,Rates!$B$13)-Rates!$B$12)),2))</f>
        <v/>
      </c>
      <c r="T195" s="19">
        <f>IF($F195="","",ROUND(Q195+R195+S195,2))</f>
        <v/>
      </c>
    </row>
    <row r="196">
      <c r="A196" s="13" t="n"/>
      <c r="B196" s="13" t="n"/>
      <c r="C196" s="14" t="n"/>
      <c r="D196" s="14" t="n"/>
      <c r="E196" s="15" t="n"/>
      <c r="F196" s="16" t="n"/>
      <c r="G196" s="13" t="n"/>
      <c r="H196" s="13" t="n"/>
      <c r="I196" s="13" t="n"/>
      <c r="J196" s="17">
        <f>IF($F196="","",DATEDIF($F196,Rates!$B$2,"Y"))</f>
        <v/>
      </c>
      <c r="K196" s="18">
        <f>IF($F196="","",IF(UPPER($I196)="Y",Rates!$B$7,IF(J196&gt;=21,Rates!$B$4,IF(J196&gt;=18,Rates!$B$5,Rates!$B$6))))</f>
        <v/>
      </c>
      <c r="L196" s="17">
        <f>IF($F196="","",IF($E196&lt;K196,"Uplift needed","OK"))</f>
        <v/>
      </c>
      <c r="M196" s="17">
        <f>IF($F196="","",IF(AND(J196&lt;21,DATEDIF($F196,Rates!$B$3,"Y")&gt;=21),"Turns 21",IF(AND(J196&lt;18,DATEDIF($F196,Rates!$B$3,"Y")&gt;=18),"Turns 18","")))</f>
        <v/>
      </c>
      <c r="N196" s="18">
        <f>IF($F196="","",MAX($E196,K196))</f>
        <v/>
      </c>
      <c r="O196" s="19">
        <f>IF($F196="","",ROUND($C196*N196/$E196,2))</f>
        <v/>
      </c>
      <c r="P196" s="19">
        <f>IF($F196="","",ROUND($D196*N196/$E196,2))</f>
        <v/>
      </c>
      <c r="Q196" s="19">
        <f>IF($F196="","",ROUND(P196-$D196,2))</f>
        <v/>
      </c>
      <c r="R196" s="19">
        <f>IF($F196="","",ROUND(Rates!$B$8*(MAX(0,P196-Rates!$B$9)-MAX(0,$D196-Rates!$B$9)),2))</f>
        <v/>
      </c>
      <c r="S196" s="19">
        <f>IF($F196="","",ROUND(Rates!$B$10*IF(Rates!$B$11="Full",P196-$D196,MAX(0,MIN(P196,Rates!$B$13)-Rates!$B$12)-MAX(0,MIN($D196,Rates!$B$13)-Rates!$B$12)),2))</f>
        <v/>
      </c>
      <c r="T196" s="19">
        <f>IF($F196="","",ROUND(Q196+R196+S196,2))</f>
        <v/>
      </c>
    </row>
    <row r="197">
      <c r="A197" s="13" t="n"/>
      <c r="B197" s="13" t="n"/>
      <c r="C197" s="14" t="n"/>
      <c r="D197" s="14" t="n"/>
      <c r="E197" s="15" t="n"/>
      <c r="F197" s="16" t="n"/>
      <c r="G197" s="13" t="n"/>
      <c r="H197" s="13" t="n"/>
      <c r="I197" s="13" t="n"/>
      <c r="J197" s="17">
        <f>IF($F197="","",DATEDIF($F197,Rates!$B$2,"Y"))</f>
        <v/>
      </c>
      <c r="K197" s="18">
        <f>IF($F197="","",IF(UPPER($I197)="Y",Rates!$B$7,IF(J197&gt;=21,Rates!$B$4,IF(J197&gt;=18,Rates!$B$5,Rates!$B$6))))</f>
        <v/>
      </c>
      <c r="L197" s="17">
        <f>IF($F197="","",IF($E197&lt;K197,"Uplift needed","OK"))</f>
        <v/>
      </c>
      <c r="M197" s="17">
        <f>IF($F197="","",IF(AND(J197&lt;21,DATEDIF($F197,Rates!$B$3,"Y")&gt;=21),"Turns 21",IF(AND(J197&lt;18,DATEDIF($F197,Rates!$B$3,"Y")&gt;=18),"Turns 18","")))</f>
        <v/>
      </c>
      <c r="N197" s="18">
        <f>IF($F197="","",MAX($E197,K197))</f>
        <v/>
      </c>
      <c r="O197" s="19">
        <f>IF($F197="","",ROUND($C197*N197/$E197,2))</f>
        <v/>
      </c>
      <c r="P197" s="19">
        <f>IF($F197="","",ROUND($D197*N197/$E197,2))</f>
        <v/>
      </c>
      <c r="Q197" s="19">
        <f>IF($F197="","",ROUND(P197-$D197,2))</f>
        <v/>
      </c>
      <c r="R197" s="19">
        <f>IF($F197="","",ROUND(Rates!$B$8*(MAX(0,P197-Rates!$B$9)-MAX(0,$D197-Rates!$B$9)),2))</f>
        <v/>
      </c>
      <c r="S197" s="19">
        <f>IF($F197="","",ROUND(Rates!$B$10*IF(Rates!$B$11="Full",P197-$D197,MAX(0,MIN(P197,Rates!$B$13)-Rates!$B$12)-MAX(0,MIN($D197,Rates!$B$13)-Rates!$B$12)),2))</f>
        <v/>
      </c>
      <c r="T197" s="19">
        <f>IF($F197="","",ROUND(Q197+R197+S197,2))</f>
        <v/>
      </c>
    </row>
    <row r="198">
      <c r="A198" s="13" t="n"/>
      <c r="B198" s="13" t="n"/>
      <c r="C198" s="14" t="n"/>
      <c r="D198" s="14" t="n"/>
      <c r="E198" s="15" t="n"/>
      <c r="F198" s="16" t="n"/>
      <c r="G198" s="13" t="n"/>
      <c r="H198" s="13" t="n"/>
      <c r="I198" s="13" t="n"/>
      <c r="J198" s="17">
        <f>IF($F198="","",DATEDIF($F198,Rates!$B$2,"Y"))</f>
        <v/>
      </c>
      <c r="K198" s="18">
        <f>IF($F198="","",IF(UPPER($I198)="Y",Rates!$B$7,IF(J198&gt;=21,Rates!$B$4,IF(J198&gt;=18,Rates!$B$5,Rates!$B$6))))</f>
        <v/>
      </c>
      <c r="L198" s="17">
        <f>IF($F198="","",IF($E198&lt;K198,"Uplift needed","OK"))</f>
        <v/>
      </c>
      <c r="M198" s="17">
        <f>IF($F198="","",IF(AND(J198&lt;21,DATEDIF($F198,Rates!$B$3,"Y")&gt;=21),"Turns 21",IF(AND(J198&lt;18,DATEDIF($F198,Rates!$B$3,"Y")&gt;=18),"Turns 18","")))</f>
        <v/>
      </c>
      <c r="N198" s="18">
        <f>IF($F198="","",MAX($E198,K198))</f>
        <v/>
      </c>
      <c r="O198" s="19">
        <f>IF($F198="","",ROUND($C198*N198/$E198,2))</f>
        <v/>
      </c>
      <c r="P198" s="19">
        <f>IF($F198="","",ROUND($D198*N198/$E198,2))</f>
        <v/>
      </c>
      <c r="Q198" s="19">
        <f>IF($F198="","",ROUND(P198-$D198,2))</f>
        <v/>
      </c>
      <c r="R198" s="19">
        <f>IF($F198="","",ROUND(Rates!$B$8*(MAX(0,P198-Rates!$B$9)-MAX(0,$D198-Rates!$B$9)),2))</f>
        <v/>
      </c>
      <c r="S198" s="19">
        <f>IF($F198="","",ROUND(Rates!$B$10*IF(Rates!$B$11="Full",P198-$D198,MAX(0,MIN(P198,Rates!$B$13)-Rates!$B$12)-MAX(0,MIN($D198,Rates!$B$13)-Rates!$B$12)),2))</f>
        <v/>
      </c>
      <c r="T198" s="19">
        <f>IF($F198="","",ROUND(Q198+R198+S198,2))</f>
        <v/>
      </c>
    </row>
    <row r="199">
      <c r="A199" s="13" t="n"/>
      <c r="B199" s="13" t="n"/>
      <c r="C199" s="14" t="n"/>
      <c r="D199" s="14" t="n"/>
      <c r="E199" s="15" t="n"/>
      <c r="F199" s="16" t="n"/>
      <c r="G199" s="13" t="n"/>
      <c r="H199" s="13" t="n"/>
      <c r="I199" s="13" t="n"/>
      <c r="J199" s="17">
        <f>IF($F199="","",DATEDIF($F199,Rates!$B$2,"Y"))</f>
        <v/>
      </c>
      <c r="K199" s="18">
        <f>IF($F199="","",IF(UPPER($I199)="Y",Rates!$B$7,IF(J199&gt;=21,Rates!$B$4,IF(J199&gt;=18,Rates!$B$5,Rates!$B$6))))</f>
        <v/>
      </c>
      <c r="L199" s="17">
        <f>IF($F199="","",IF($E199&lt;K199,"Uplift needed","OK"))</f>
        <v/>
      </c>
      <c r="M199" s="17">
        <f>IF($F199="","",IF(AND(J199&lt;21,DATEDIF($F199,Rates!$B$3,"Y")&gt;=21),"Turns 21",IF(AND(J199&lt;18,DATEDIF($F199,Rates!$B$3,"Y")&gt;=18),"Turns 18","")))</f>
        <v/>
      </c>
      <c r="N199" s="18">
        <f>IF($F199="","",MAX($E199,K199))</f>
        <v/>
      </c>
      <c r="O199" s="19">
        <f>IF($F199="","",ROUND($C199*N199/$E199,2))</f>
        <v/>
      </c>
      <c r="P199" s="19">
        <f>IF($F199="","",ROUND($D199*N199/$E199,2))</f>
        <v/>
      </c>
      <c r="Q199" s="19">
        <f>IF($F199="","",ROUND(P199-$D199,2))</f>
        <v/>
      </c>
      <c r="R199" s="19">
        <f>IF($F199="","",ROUND(Rates!$B$8*(MAX(0,P199-Rates!$B$9)-MAX(0,$D199-Rates!$B$9)),2))</f>
        <v/>
      </c>
      <c r="S199" s="19">
        <f>IF($F199="","",ROUND(Rates!$B$10*IF(Rates!$B$11="Full",P199-$D199,MAX(0,MIN(P199,Rates!$B$13)-Rates!$B$12)-MAX(0,MIN($D199,Rates!$B$13)-Rates!$B$12)),2))</f>
        <v/>
      </c>
      <c r="T199" s="19">
        <f>IF($F199="","",ROUND(Q199+R199+S199,2))</f>
        <v/>
      </c>
    </row>
    <row r="200">
      <c r="A200" s="13" t="n"/>
      <c r="B200" s="13" t="n"/>
      <c r="C200" s="14" t="n"/>
      <c r="D200" s="14" t="n"/>
      <c r="E200" s="15" t="n"/>
      <c r="F200" s="16" t="n"/>
      <c r="G200" s="13" t="n"/>
      <c r="H200" s="13" t="n"/>
      <c r="I200" s="13" t="n"/>
      <c r="J200" s="17">
        <f>IF($F200="","",DATEDIF($F200,Rates!$B$2,"Y"))</f>
        <v/>
      </c>
      <c r="K200" s="18">
        <f>IF($F200="","",IF(UPPER($I200)="Y",Rates!$B$7,IF(J200&gt;=21,Rates!$B$4,IF(J200&gt;=18,Rates!$B$5,Rates!$B$6))))</f>
        <v/>
      </c>
      <c r="L200" s="17">
        <f>IF($F200="","",IF($E200&lt;K200,"Uplift needed","OK"))</f>
        <v/>
      </c>
      <c r="M200" s="17">
        <f>IF($F200="","",IF(AND(J200&lt;21,DATEDIF($F200,Rates!$B$3,"Y")&gt;=21),"Turns 21",IF(AND(J200&lt;18,DATEDIF($F200,Rates!$B$3,"Y")&gt;=18),"Turns 18","")))</f>
        <v/>
      </c>
      <c r="N200" s="18">
        <f>IF($F200="","",MAX($E200,K200))</f>
        <v/>
      </c>
      <c r="O200" s="19">
        <f>IF($F200="","",ROUND($C200*N200/$E200,2))</f>
        <v/>
      </c>
      <c r="P200" s="19">
        <f>IF($F200="","",ROUND($D200*N200/$E200,2))</f>
        <v/>
      </c>
      <c r="Q200" s="19">
        <f>IF($F200="","",ROUND(P200-$D200,2))</f>
        <v/>
      </c>
      <c r="R200" s="19">
        <f>IF($F200="","",ROUND(Rates!$B$8*(MAX(0,P200-Rates!$B$9)-MAX(0,$D200-Rates!$B$9)),2))</f>
        <v/>
      </c>
      <c r="S200" s="19">
        <f>IF($F200="","",ROUND(Rates!$B$10*IF(Rates!$B$11="Full",P200-$D200,MAX(0,MIN(P200,Rates!$B$13)-Rates!$B$12)-MAX(0,MIN($D200,Rates!$B$13)-Rates!$B$12)),2))</f>
        <v/>
      </c>
      <c r="T200" s="19">
        <f>IF($F200="","",ROUND(Q200+R200+S200,2))</f>
        <v/>
      </c>
    </row>
    <row r="201">
      <c r="A201" s="13" t="n"/>
      <c r="B201" s="13" t="n"/>
      <c r="C201" s="14" t="n"/>
      <c r="D201" s="14" t="n"/>
      <c r="E201" s="15" t="n"/>
      <c r="F201" s="16" t="n"/>
      <c r="G201" s="13" t="n"/>
      <c r="H201" s="13" t="n"/>
      <c r="I201" s="13" t="n"/>
      <c r="J201" s="17">
        <f>IF($F201="","",DATEDIF($F201,Rates!$B$2,"Y"))</f>
        <v/>
      </c>
      <c r="K201" s="18">
        <f>IF($F201="","",IF(UPPER($I201)="Y",Rates!$B$7,IF(J201&gt;=21,Rates!$B$4,IF(J201&gt;=18,Rates!$B$5,Rates!$B$6))))</f>
        <v/>
      </c>
      <c r="L201" s="17">
        <f>IF($F201="","",IF($E201&lt;K201,"Uplift needed","OK"))</f>
        <v/>
      </c>
      <c r="M201" s="17">
        <f>IF($F201="","",IF(AND(J201&lt;21,DATEDIF($F201,Rates!$B$3,"Y")&gt;=21),"Turns 21",IF(AND(J201&lt;18,DATEDIF($F201,Rates!$B$3,"Y")&gt;=18),"Turns 18","")))</f>
        <v/>
      </c>
      <c r="N201" s="18">
        <f>IF($F201="","",MAX($E201,K201))</f>
        <v/>
      </c>
      <c r="O201" s="19">
        <f>IF($F201="","",ROUND($C201*N201/$E201,2))</f>
        <v/>
      </c>
      <c r="P201" s="19">
        <f>IF($F201="","",ROUND($D201*N201/$E201,2))</f>
        <v/>
      </c>
      <c r="Q201" s="19">
        <f>IF($F201="","",ROUND(P201-$D201,2))</f>
        <v/>
      </c>
      <c r="R201" s="19">
        <f>IF($F201="","",ROUND(Rates!$B$8*(MAX(0,P201-Rates!$B$9)-MAX(0,$D201-Rates!$B$9)),2))</f>
        <v/>
      </c>
      <c r="S201" s="19">
        <f>IF($F201="","",ROUND(Rates!$B$10*IF(Rates!$B$11="Full",P201-$D201,MAX(0,MIN(P201,Rates!$B$13)-Rates!$B$12)-MAX(0,MIN($D201,Rates!$B$13)-Rates!$B$12)),2))</f>
        <v/>
      </c>
      <c r="T201" s="19">
        <f>IF($F201="","",ROUND(Q201+R201+S201,2))</f>
        <v/>
      </c>
    </row>
    <row r="202">
      <c r="A202" s="13" t="n"/>
      <c r="B202" s="13" t="n"/>
      <c r="C202" s="14" t="n"/>
      <c r="D202" s="14" t="n"/>
      <c r="E202" s="15" t="n"/>
      <c r="F202" s="16" t="n"/>
      <c r="G202" s="13" t="n"/>
      <c r="H202" s="13" t="n"/>
      <c r="I202" s="13" t="n"/>
      <c r="J202" s="17">
        <f>IF($F202="","",DATEDIF($F202,Rates!$B$2,"Y"))</f>
        <v/>
      </c>
      <c r="K202" s="18">
        <f>IF($F202="","",IF(UPPER($I202)="Y",Rates!$B$7,IF(J202&gt;=21,Rates!$B$4,IF(J202&gt;=18,Rates!$B$5,Rates!$B$6))))</f>
        <v/>
      </c>
      <c r="L202" s="17">
        <f>IF($F202="","",IF($E202&lt;K202,"Uplift needed","OK"))</f>
        <v/>
      </c>
      <c r="M202" s="17">
        <f>IF($F202="","",IF(AND(J202&lt;21,DATEDIF($F202,Rates!$B$3,"Y")&gt;=21),"Turns 21",IF(AND(J202&lt;18,DATEDIF($F202,Rates!$B$3,"Y")&gt;=18),"Turns 18","")))</f>
        <v/>
      </c>
      <c r="N202" s="18">
        <f>IF($F202="","",MAX($E202,K202))</f>
        <v/>
      </c>
      <c r="O202" s="19">
        <f>IF($F202="","",ROUND($C202*N202/$E202,2))</f>
        <v/>
      </c>
      <c r="P202" s="19">
        <f>IF($F202="","",ROUND($D202*N202/$E202,2))</f>
        <v/>
      </c>
      <c r="Q202" s="19">
        <f>IF($F202="","",ROUND(P202-$D202,2))</f>
        <v/>
      </c>
      <c r="R202" s="19">
        <f>IF($F202="","",ROUND(Rates!$B$8*(MAX(0,P202-Rates!$B$9)-MAX(0,$D202-Rates!$B$9)),2))</f>
        <v/>
      </c>
      <c r="S202" s="19">
        <f>IF($F202="","",ROUND(Rates!$B$10*IF(Rates!$B$11="Full",P202-$D202,MAX(0,MIN(P202,Rates!$B$13)-Rates!$B$12)-MAX(0,MIN($D202,Rates!$B$13)-Rates!$B$12)),2))</f>
        <v/>
      </c>
      <c r="T202" s="19">
        <f>IF($F202="","",ROUND(Q202+R202+S202,2))</f>
        <v/>
      </c>
    </row>
    <row r="203">
      <c r="A203" s="13" t="n"/>
      <c r="B203" s="13" t="n"/>
      <c r="C203" s="14" t="n"/>
      <c r="D203" s="14" t="n"/>
      <c r="E203" s="15" t="n"/>
      <c r="F203" s="16" t="n"/>
      <c r="G203" s="13" t="n"/>
      <c r="H203" s="13" t="n"/>
      <c r="I203" s="13" t="n"/>
      <c r="J203" s="17">
        <f>IF($F203="","",DATEDIF($F203,Rates!$B$2,"Y"))</f>
        <v/>
      </c>
      <c r="K203" s="18">
        <f>IF($F203="","",IF(UPPER($I203)="Y",Rates!$B$7,IF(J203&gt;=21,Rates!$B$4,IF(J203&gt;=18,Rates!$B$5,Rates!$B$6))))</f>
        <v/>
      </c>
      <c r="L203" s="17">
        <f>IF($F203="","",IF($E203&lt;K203,"Uplift needed","OK"))</f>
        <v/>
      </c>
      <c r="M203" s="17">
        <f>IF($F203="","",IF(AND(J203&lt;21,DATEDIF($F203,Rates!$B$3,"Y")&gt;=21),"Turns 21",IF(AND(J203&lt;18,DATEDIF($F203,Rates!$B$3,"Y")&gt;=18),"Turns 18","")))</f>
        <v/>
      </c>
      <c r="N203" s="18">
        <f>IF($F203="","",MAX($E203,K203))</f>
        <v/>
      </c>
      <c r="O203" s="19">
        <f>IF($F203="","",ROUND($C203*N203/$E203,2))</f>
        <v/>
      </c>
      <c r="P203" s="19">
        <f>IF($F203="","",ROUND($D203*N203/$E203,2))</f>
        <v/>
      </c>
      <c r="Q203" s="19">
        <f>IF($F203="","",ROUND(P203-$D203,2))</f>
        <v/>
      </c>
      <c r="R203" s="19">
        <f>IF($F203="","",ROUND(Rates!$B$8*(MAX(0,P203-Rates!$B$9)-MAX(0,$D203-Rates!$B$9)),2))</f>
        <v/>
      </c>
      <c r="S203" s="19">
        <f>IF($F203="","",ROUND(Rates!$B$10*IF(Rates!$B$11="Full",P203-$D203,MAX(0,MIN(P203,Rates!$B$13)-Rates!$B$12)-MAX(0,MIN($D203,Rates!$B$13)-Rates!$B$12)),2))</f>
        <v/>
      </c>
      <c r="T203" s="19">
        <f>IF($F203="","",ROUND(Q203+R203+S203,2))</f>
        <v/>
      </c>
    </row>
    <row r="204">
      <c r="A204" s="13" t="n"/>
      <c r="B204" s="13" t="n"/>
      <c r="C204" s="14" t="n"/>
      <c r="D204" s="14" t="n"/>
      <c r="E204" s="15" t="n"/>
      <c r="F204" s="16" t="n"/>
      <c r="G204" s="13" t="n"/>
      <c r="H204" s="13" t="n"/>
      <c r="I204" s="13" t="n"/>
      <c r="J204" s="17">
        <f>IF($F204="","",DATEDIF($F204,Rates!$B$2,"Y"))</f>
        <v/>
      </c>
      <c r="K204" s="18">
        <f>IF($F204="","",IF(UPPER($I204)="Y",Rates!$B$7,IF(J204&gt;=21,Rates!$B$4,IF(J204&gt;=18,Rates!$B$5,Rates!$B$6))))</f>
        <v/>
      </c>
      <c r="L204" s="17">
        <f>IF($F204="","",IF($E204&lt;K204,"Uplift needed","OK"))</f>
        <v/>
      </c>
      <c r="M204" s="17">
        <f>IF($F204="","",IF(AND(J204&lt;21,DATEDIF($F204,Rates!$B$3,"Y")&gt;=21),"Turns 21",IF(AND(J204&lt;18,DATEDIF($F204,Rates!$B$3,"Y")&gt;=18),"Turns 18","")))</f>
        <v/>
      </c>
      <c r="N204" s="18">
        <f>IF($F204="","",MAX($E204,K204))</f>
        <v/>
      </c>
      <c r="O204" s="19">
        <f>IF($F204="","",ROUND($C204*N204/$E204,2))</f>
        <v/>
      </c>
      <c r="P204" s="19">
        <f>IF($F204="","",ROUND($D204*N204/$E204,2))</f>
        <v/>
      </c>
      <c r="Q204" s="19">
        <f>IF($F204="","",ROUND(P204-$D204,2))</f>
        <v/>
      </c>
      <c r="R204" s="19">
        <f>IF($F204="","",ROUND(Rates!$B$8*(MAX(0,P204-Rates!$B$9)-MAX(0,$D204-Rates!$B$9)),2))</f>
        <v/>
      </c>
      <c r="S204" s="19">
        <f>IF($F204="","",ROUND(Rates!$B$10*IF(Rates!$B$11="Full",P204-$D204,MAX(0,MIN(P204,Rates!$B$13)-Rates!$B$12)-MAX(0,MIN($D204,Rates!$B$13)-Rates!$B$12)),2))</f>
        <v/>
      </c>
      <c r="T204" s="19">
        <f>IF($F204="","",ROUND(Q204+R204+S204,2))</f>
        <v/>
      </c>
    </row>
    <row r="205">
      <c r="A205" s="13" t="n"/>
      <c r="B205" s="13" t="n"/>
      <c r="C205" s="14" t="n"/>
      <c r="D205" s="14" t="n"/>
      <c r="E205" s="15" t="n"/>
      <c r="F205" s="16" t="n"/>
      <c r="G205" s="13" t="n"/>
      <c r="H205" s="13" t="n"/>
      <c r="I205" s="13" t="n"/>
      <c r="J205" s="17">
        <f>IF($F205="","",DATEDIF($F205,Rates!$B$2,"Y"))</f>
        <v/>
      </c>
      <c r="K205" s="18">
        <f>IF($F205="","",IF(UPPER($I205)="Y",Rates!$B$7,IF(J205&gt;=21,Rates!$B$4,IF(J205&gt;=18,Rates!$B$5,Rates!$B$6))))</f>
        <v/>
      </c>
      <c r="L205" s="17">
        <f>IF($F205="","",IF($E205&lt;K205,"Uplift needed","OK"))</f>
        <v/>
      </c>
      <c r="M205" s="17">
        <f>IF($F205="","",IF(AND(J205&lt;21,DATEDIF($F205,Rates!$B$3,"Y")&gt;=21),"Turns 21",IF(AND(J205&lt;18,DATEDIF($F205,Rates!$B$3,"Y")&gt;=18),"Turns 18","")))</f>
        <v/>
      </c>
      <c r="N205" s="18">
        <f>IF($F205="","",MAX($E205,K205))</f>
        <v/>
      </c>
      <c r="O205" s="19">
        <f>IF($F205="","",ROUND($C205*N205/$E205,2))</f>
        <v/>
      </c>
      <c r="P205" s="19">
        <f>IF($F205="","",ROUND($D205*N205/$E205,2))</f>
        <v/>
      </c>
      <c r="Q205" s="19">
        <f>IF($F205="","",ROUND(P205-$D205,2))</f>
        <v/>
      </c>
      <c r="R205" s="19">
        <f>IF($F205="","",ROUND(Rates!$B$8*(MAX(0,P205-Rates!$B$9)-MAX(0,$D205-Rates!$B$9)),2))</f>
        <v/>
      </c>
      <c r="S205" s="19">
        <f>IF($F205="","",ROUND(Rates!$B$10*IF(Rates!$B$11="Full",P205-$D205,MAX(0,MIN(P205,Rates!$B$13)-Rates!$B$12)-MAX(0,MIN($D205,Rates!$B$13)-Rates!$B$12)),2))</f>
        <v/>
      </c>
      <c r="T205" s="19">
        <f>IF($F205="","",ROUND(Q205+R205+S205,2))</f>
        <v/>
      </c>
    </row>
    <row r="206">
      <c r="A206" s="13" t="n"/>
      <c r="B206" s="13" t="n"/>
      <c r="C206" s="14" t="n"/>
      <c r="D206" s="14" t="n"/>
      <c r="E206" s="15" t="n"/>
      <c r="F206" s="16" t="n"/>
      <c r="G206" s="13" t="n"/>
      <c r="H206" s="13" t="n"/>
      <c r="I206" s="13" t="n"/>
      <c r="J206" s="17">
        <f>IF($F206="","",DATEDIF($F206,Rates!$B$2,"Y"))</f>
        <v/>
      </c>
      <c r="K206" s="18">
        <f>IF($F206="","",IF(UPPER($I206)="Y",Rates!$B$7,IF(J206&gt;=21,Rates!$B$4,IF(J206&gt;=18,Rates!$B$5,Rates!$B$6))))</f>
        <v/>
      </c>
      <c r="L206" s="17">
        <f>IF($F206="","",IF($E206&lt;K206,"Uplift needed","OK"))</f>
        <v/>
      </c>
      <c r="M206" s="17">
        <f>IF($F206="","",IF(AND(J206&lt;21,DATEDIF($F206,Rates!$B$3,"Y")&gt;=21),"Turns 21",IF(AND(J206&lt;18,DATEDIF($F206,Rates!$B$3,"Y")&gt;=18),"Turns 18","")))</f>
        <v/>
      </c>
      <c r="N206" s="18">
        <f>IF($F206="","",MAX($E206,K206))</f>
        <v/>
      </c>
      <c r="O206" s="19">
        <f>IF($F206="","",ROUND($C206*N206/$E206,2))</f>
        <v/>
      </c>
      <c r="P206" s="19">
        <f>IF($F206="","",ROUND($D206*N206/$E206,2))</f>
        <v/>
      </c>
      <c r="Q206" s="19">
        <f>IF($F206="","",ROUND(P206-$D206,2))</f>
        <v/>
      </c>
      <c r="R206" s="19">
        <f>IF($F206="","",ROUND(Rates!$B$8*(MAX(0,P206-Rates!$B$9)-MAX(0,$D206-Rates!$B$9)),2))</f>
        <v/>
      </c>
      <c r="S206" s="19">
        <f>IF($F206="","",ROUND(Rates!$B$10*IF(Rates!$B$11="Full",P206-$D206,MAX(0,MIN(P206,Rates!$B$13)-Rates!$B$12)-MAX(0,MIN($D206,Rates!$B$13)-Rates!$B$12)),2))</f>
        <v/>
      </c>
      <c r="T206" s="19">
        <f>IF($F206="","",ROUND(Q206+R206+S206,2))</f>
        <v/>
      </c>
    </row>
    <row r="207">
      <c r="A207" s="13" t="n"/>
      <c r="B207" s="13" t="n"/>
      <c r="C207" s="14" t="n"/>
      <c r="D207" s="14" t="n"/>
      <c r="E207" s="15" t="n"/>
      <c r="F207" s="16" t="n"/>
      <c r="G207" s="13" t="n"/>
      <c r="H207" s="13" t="n"/>
      <c r="I207" s="13" t="n"/>
      <c r="J207" s="17">
        <f>IF($F207="","",DATEDIF($F207,Rates!$B$2,"Y"))</f>
        <v/>
      </c>
      <c r="K207" s="18">
        <f>IF($F207="","",IF(UPPER($I207)="Y",Rates!$B$7,IF(J207&gt;=21,Rates!$B$4,IF(J207&gt;=18,Rates!$B$5,Rates!$B$6))))</f>
        <v/>
      </c>
      <c r="L207" s="17">
        <f>IF($F207="","",IF($E207&lt;K207,"Uplift needed","OK"))</f>
        <v/>
      </c>
      <c r="M207" s="17">
        <f>IF($F207="","",IF(AND(J207&lt;21,DATEDIF($F207,Rates!$B$3,"Y")&gt;=21),"Turns 21",IF(AND(J207&lt;18,DATEDIF($F207,Rates!$B$3,"Y")&gt;=18),"Turns 18","")))</f>
        <v/>
      </c>
      <c r="N207" s="18">
        <f>IF($F207="","",MAX($E207,K207))</f>
        <v/>
      </c>
      <c r="O207" s="19">
        <f>IF($F207="","",ROUND($C207*N207/$E207,2))</f>
        <v/>
      </c>
      <c r="P207" s="19">
        <f>IF($F207="","",ROUND($D207*N207/$E207,2))</f>
        <v/>
      </c>
      <c r="Q207" s="19">
        <f>IF($F207="","",ROUND(P207-$D207,2))</f>
        <v/>
      </c>
      <c r="R207" s="19">
        <f>IF($F207="","",ROUND(Rates!$B$8*(MAX(0,P207-Rates!$B$9)-MAX(0,$D207-Rates!$B$9)),2))</f>
        <v/>
      </c>
      <c r="S207" s="19">
        <f>IF($F207="","",ROUND(Rates!$B$10*IF(Rates!$B$11="Full",P207-$D207,MAX(0,MIN(P207,Rates!$B$13)-Rates!$B$12)-MAX(0,MIN($D207,Rates!$B$13)-Rates!$B$12)),2))</f>
        <v/>
      </c>
      <c r="T207" s="19">
        <f>IF($F207="","",ROUND(Q207+R207+S207,2))</f>
        <v/>
      </c>
    </row>
    <row r="208">
      <c r="A208" s="13" t="n"/>
      <c r="B208" s="13" t="n"/>
      <c r="C208" s="14" t="n"/>
      <c r="D208" s="14" t="n"/>
      <c r="E208" s="15" t="n"/>
      <c r="F208" s="16" t="n"/>
      <c r="G208" s="13" t="n"/>
      <c r="H208" s="13" t="n"/>
      <c r="I208" s="13" t="n"/>
      <c r="J208" s="17">
        <f>IF($F208="","",DATEDIF($F208,Rates!$B$2,"Y"))</f>
        <v/>
      </c>
      <c r="K208" s="18">
        <f>IF($F208="","",IF(UPPER($I208)="Y",Rates!$B$7,IF(J208&gt;=21,Rates!$B$4,IF(J208&gt;=18,Rates!$B$5,Rates!$B$6))))</f>
        <v/>
      </c>
      <c r="L208" s="17">
        <f>IF($F208="","",IF($E208&lt;K208,"Uplift needed","OK"))</f>
        <v/>
      </c>
      <c r="M208" s="17">
        <f>IF($F208="","",IF(AND(J208&lt;21,DATEDIF($F208,Rates!$B$3,"Y")&gt;=21),"Turns 21",IF(AND(J208&lt;18,DATEDIF($F208,Rates!$B$3,"Y")&gt;=18),"Turns 18","")))</f>
        <v/>
      </c>
      <c r="N208" s="18">
        <f>IF($F208="","",MAX($E208,K208))</f>
        <v/>
      </c>
      <c r="O208" s="19">
        <f>IF($F208="","",ROUND($C208*N208/$E208,2))</f>
        <v/>
      </c>
      <c r="P208" s="19">
        <f>IF($F208="","",ROUND($D208*N208/$E208,2))</f>
        <v/>
      </c>
      <c r="Q208" s="19">
        <f>IF($F208="","",ROUND(P208-$D208,2))</f>
        <v/>
      </c>
      <c r="R208" s="19">
        <f>IF($F208="","",ROUND(Rates!$B$8*(MAX(0,P208-Rates!$B$9)-MAX(0,$D208-Rates!$B$9)),2))</f>
        <v/>
      </c>
      <c r="S208" s="19">
        <f>IF($F208="","",ROUND(Rates!$B$10*IF(Rates!$B$11="Full",P208-$D208,MAX(0,MIN(P208,Rates!$B$13)-Rates!$B$12)-MAX(0,MIN($D208,Rates!$B$13)-Rates!$B$12)),2))</f>
        <v/>
      </c>
      <c r="T208" s="19">
        <f>IF($F208="","",ROUND(Q208+R208+S208,2))</f>
        <v/>
      </c>
    </row>
    <row r="209">
      <c r="A209" s="13" t="n"/>
      <c r="B209" s="13" t="n"/>
      <c r="C209" s="14" t="n"/>
      <c r="D209" s="14" t="n"/>
      <c r="E209" s="15" t="n"/>
      <c r="F209" s="16" t="n"/>
      <c r="G209" s="13" t="n"/>
      <c r="H209" s="13" t="n"/>
      <c r="I209" s="13" t="n"/>
      <c r="J209" s="17">
        <f>IF($F209="","",DATEDIF($F209,Rates!$B$2,"Y"))</f>
        <v/>
      </c>
      <c r="K209" s="18">
        <f>IF($F209="","",IF(UPPER($I209)="Y",Rates!$B$7,IF(J209&gt;=21,Rates!$B$4,IF(J209&gt;=18,Rates!$B$5,Rates!$B$6))))</f>
        <v/>
      </c>
      <c r="L209" s="17">
        <f>IF($F209="","",IF($E209&lt;K209,"Uplift needed","OK"))</f>
        <v/>
      </c>
      <c r="M209" s="17">
        <f>IF($F209="","",IF(AND(J209&lt;21,DATEDIF($F209,Rates!$B$3,"Y")&gt;=21),"Turns 21",IF(AND(J209&lt;18,DATEDIF($F209,Rates!$B$3,"Y")&gt;=18),"Turns 18","")))</f>
        <v/>
      </c>
      <c r="N209" s="18">
        <f>IF($F209="","",MAX($E209,K209))</f>
        <v/>
      </c>
      <c r="O209" s="19">
        <f>IF($F209="","",ROUND($C209*N209/$E209,2))</f>
        <v/>
      </c>
      <c r="P209" s="19">
        <f>IF($F209="","",ROUND($D209*N209/$E209,2))</f>
        <v/>
      </c>
      <c r="Q209" s="19">
        <f>IF($F209="","",ROUND(P209-$D209,2))</f>
        <v/>
      </c>
      <c r="R209" s="19">
        <f>IF($F209="","",ROUND(Rates!$B$8*(MAX(0,P209-Rates!$B$9)-MAX(0,$D209-Rates!$B$9)),2))</f>
        <v/>
      </c>
      <c r="S209" s="19">
        <f>IF($F209="","",ROUND(Rates!$B$10*IF(Rates!$B$11="Full",P209-$D209,MAX(0,MIN(P209,Rates!$B$13)-Rates!$B$12)-MAX(0,MIN($D209,Rates!$B$13)-Rates!$B$12)),2))</f>
        <v/>
      </c>
      <c r="T209" s="19">
        <f>IF($F209="","",ROUND(Q209+R209+S209,2))</f>
        <v/>
      </c>
    </row>
    <row r="210">
      <c r="A210" s="13" t="n"/>
      <c r="B210" s="13" t="n"/>
      <c r="C210" s="14" t="n"/>
      <c r="D210" s="14" t="n"/>
      <c r="E210" s="15" t="n"/>
      <c r="F210" s="16" t="n"/>
      <c r="G210" s="13" t="n"/>
      <c r="H210" s="13" t="n"/>
      <c r="I210" s="13" t="n"/>
      <c r="J210" s="17">
        <f>IF($F210="","",DATEDIF($F210,Rates!$B$2,"Y"))</f>
        <v/>
      </c>
      <c r="K210" s="18">
        <f>IF($F210="","",IF(UPPER($I210)="Y",Rates!$B$7,IF(J210&gt;=21,Rates!$B$4,IF(J210&gt;=18,Rates!$B$5,Rates!$B$6))))</f>
        <v/>
      </c>
      <c r="L210" s="17">
        <f>IF($F210="","",IF($E210&lt;K210,"Uplift needed","OK"))</f>
        <v/>
      </c>
      <c r="M210" s="17">
        <f>IF($F210="","",IF(AND(J210&lt;21,DATEDIF($F210,Rates!$B$3,"Y")&gt;=21),"Turns 21",IF(AND(J210&lt;18,DATEDIF($F210,Rates!$B$3,"Y")&gt;=18),"Turns 18","")))</f>
        <v/>
      </c>
      <c r="N210" s="18">
        <f>IF($F210="","",MAX($E210,K210))</f>
        <v/>
      </c>
      <c r="O210" s="19">
        <f>IF($F210="","",ROUND($C210*N210/$E210,2))</f>
        <v/>
      </c>
      <c r="P210" s="19">
        <f>IF($F210="","",ROUND($D210*N210/$E210,2))</f>
        <v/>
      </c>
      <c r="Q210" s="19">
        <f>IF($F210="","",ROUND(P210-$D210,2))</f>
        <v/>
      </c>
      <c r="R210" s="19">
        <f>IF($F210="","",ROUND(Rates!$B$8*(MAX(0,P210-Rates!$B$9)-MAX(0,$D210-Rates!$B$9)),2))</f>
        <v/>
      </c>
      <c r="S210" s="19">
        <f>IF($F210="","",ROUND(Rates!$B$10*IF(Rates!$B$11="Full",P210-$D210,MAX(0,MIN(P210,Rates!$B$13)-Rates!$B$12)-MAX(0,MIN($D210,Rates!$B$13)-Rates!$B$12)),2))</f>
        <v/>
      </c>
      <c r="T210" s="19">
        <f>IF($F210="","",ROUND(Q210+R210+S210,2))</f>
        <v/>
      </c>
    </row>
    <row r="211">
      <c r="A211" s="13" t="n"/>
      <c r="B211" s="13" t="n"/>
      <c r="C211" s="14" t="n"/>
      <c r="D211" s="14" t="n"/>
      <c r="E211" s="15" t="n"/>
      <c r="F211" s="16" t="n"/>
      <c r="G211" s="13" t="n"/>
      <c r="H211" s="13" t="n"/>
      <c r="I211" s="13" t="n"/>
      <c r="J211" s="17">
        <f>IF($F211="","",DATEDIF($F211,Rates!$B$2,"Y"))</f>
        <v/>
      </c>
      <c r="K211" s="18">
        <f>IF($F211="","",IF(UPPER($I211)="Y",Rates!$B$7,IF(J211&gt;=21,Rates!$B$4,IF(J211&gt;=18,Rates!$B$5,Rates!$B$6))))</f>
        <v/>
      </c>
      <c r="L211" s="17">
        <f>IF($F211="","",IF($E211&lt;K211,"Uplift needed","OK"))</f>
        <v/>
      </c>
      <c r="M211" s="17">
        <f>IF($F211="","",IF(AND(J211&lt;21,DATEDIF($F211,Rates!$B$3,"Y")&gt;=21),"Turns 21",IF(AND(J211&lt;18,DATEDIF($F211,Rates!$B$3,"Y")&gt;=18),"Turns 18","")))</f>
        <v/>
      </c>
      <c r="N211" s="18">
        <f>IF($F211="","",MAX($E211,K211))</f>
        <v/>
      </c>
      <c r="O211" s="19">
        <f>IF($F211="","",ROUND($C211*N211/$E211,2))</f>
        <v/>
      </c>
      <c r="P211" s="19">
        <f>IF($F211="","",ROUND($D211*N211/$E211,2))</f>
        <v/>
      </c>
      <c r="Q211" s="19">
        <f>IF($F211="","",ROUND(P211-$D211,2))</f>
        <v/>
      </c>
      <c r="R211" s="19">
        <f>IF($F211="","",ROUND(Rates!$B$8*(MAX(0,P211-Rates!$B$9)-MAX(0,$D211-Rates!$B$9)),2))</f>
        <v/>
      </c>
      <c r="S211" s="19">
        <f>IF($F211="","",ROUND(Rates!$B$10*IF(Rates!$B$11="Full",P211-$D211,MAX(0,MIN(P211,Rates!$B$13)-Rates!$B$12)-MAX(0,MIN($D211,Rates!$B$13)-Rates!$B$12)),2))</f>
        <v/>
      </c>
      <c r="T211" s="19">
        <f>IF($F211="","",ROUND(Q211+R211+S211,2))</f>
        <v/>
      </c>
    </row>
    <row r="212">
      <c r="A212" s="13" t="n"/>
      <c r="B212" s="13" t="n"/>
      <c r="C212" s="14" t="n"/>
      <c r="D212" s="14" t="n"/>
      <c r="E212" s="15" t="n"/>
      <c r="F212" s="16" t="n"/>
      <c r="G212" s="13" t="n"/>
      <c r="H212" s="13" t="n"/>
      <c r="I212" s="13" t="n"/>
      <c r="J212" s="17">
        <f>IF($F212="","",DATEDIF($F212,Rates!$B$2,"Y"))</f>
        <v/>
      </c>
      <c r="K212" s="18">
        <f>IF($F212="","",IF(UPPER($I212)="Y",Rates!$B$7,IF(J212&gt;=21,Rates!$B$4,IF(J212&gt;=18,Rates!$B$5,Rates!$B$6))))</f>
        <v/>
      </c>
      <c r="L212" s="17">
        <f>IF($F212="","",IF($E212&lt;K212,"Uplift needed","OK"))</f>
        <v/>
      </c>
      <c r="M212" s="17">
        <f>IF($F212="","",IF(AND(J212&lt;21,DATEDIF($F212,Rates!$B$3,"Y")&gt;=21),"Turns 21",IF(AND(J212&lt;18,DATEDIF($F212,Rates!$B$3,"Y")&gt;=18),"Turns 18","")))</f>
        <v/>
      </c>
      <c r="N212" s="18">
        <f>IF($F212="","",MAX($E212,K212))</f>
        <v/>
      </c>
      <c r="O212" s="19">
        <f>IF($F212="","",ROUND($C212*N212/$E212,2))</f>
        <v/>
      </c>
      <c r="P212" s="19">
        <f>IF($F212="","",ROUND($D212*N212/$E212,2))</f>
        <v/>
      </c>
      <c r="Q212" s="19">
        <f>IF($F212="","",ROUND(P212-$D212,2))</f>
        <v/>
      </c>
      <c r="R212" s="19">
        <f>IF($F212="","",ROUND(Rates!$B$8*(MAX(0,P212-Rates!$B$9)-MAX(0,$D212-Rates!$B$9)),2))</f>
        <v/>
      </c>
      <c r="S212" s="19">
        <f>IF($F212="","",ROUND(Rates!$B$10*IF(Rates!$B$11="Full",P212-$D212,MAX(0,MIN(P212,Rates!$B$13)-Rates!$B$12)-MAX(0,MIN($D212,Rates!$B$13)-Rates!$B$12)),2))</f>
        <v/>
      </c>
      <c r="T212" s="19">
        <f>IF($F212="","",ROUND(Q212+R212+S212,2))</f>
        <v/>
      </c>
    </row>
    <row r="213">
      <c r="A213" s="13" t="n"/>
      <c r="B213" s="13" t="n"/>
      <c r="C213" s="14" t="n"/>
      <c r="D213" s="14" t="n"/>
      <c r="E213" s="15" t="n"/>
      <c r="F213" s="16" t="n"/>
      <c r="G213" s="13" t="n"/>
      <c r="H213" s="13" t="n"/>
      <c r="I213" s="13" t="n"/>
      <c r="J213" s="17">
        <f>IF($F213="","",DATEDIF($F213,Rates!$B$2,"Y"))</f>
        <v/>
      </c>
      <c r="K213" s="18">
        <f>IF($F213="","",IF(UPPER($I213)="Y",Rates!$B$7,IF(J213&gt;=21,Rates!$B$4,IF(J213&gt;=18,Rates!$B$5,Rates!$B$6))))</f>
        <v/>
      </c>
      <c r="L213" s="17">
        <f>IF($F213="","",IF($E213&lt;K213,"Uplift needed","OK"))</f>
        <v/>
      </c>
      <c r="M213" s="17">
        <f>IF($F213="","",IF(AND(J213&lt;21,DATEDIF($F213,Rates!$B$3,"Y")&gt;=21),"Turns 21",IF(AND(J213&lt;18,DATEDIF($F213,Rates!$B$3,"Y")&gt;=18),"Turns 18","")))</f>
        <v/>
      </c>
      <c r="N213" s="18">
        <f>IF($F213="","",MAX($E213,K213))</f>
        <v/>
      </c>
      <c r="O213" s="19">
        <f>IF($F213="","",ROUND($C213*N213/$E213,2))</f>
        <v/>
      </c>
      <c r="P213" s="19">
        <f>IF($F213="","",ROUND($D213*N213/$E213,2))</f>
        <v/>
      </c>
      <c r="Q213" s="19">
        <f>IF($F213="","",ROUND(P213-$D213,2))</f>
        <v/>
      </c>
      <c r="R213" s="19">
        <f>IF($F213="","",ROUND(Rates!$B$8*(MAX(0,P213-Rates!$B$9)-MAX(0,$D213-Rates!$B$9)),2))</f>
        <v/>
      </c>
      <c r="S213" s="19">
        <f>IF($F213="","",ROUND(Rates!$B$10*IF(Rates!$B$11="Full",P213-$D213,MAX(0,MIN(P213,Rates!$B$13)-Rates!$B$12)-MAX(0,MIN($D213,Rates!$B$13)-Rates!$B$12)),2))</f>
        <v/>
      </c>
      <c r="T213" s="19">
        <f>IF($F213="","",ROUND(Q213+R213+S213,2))</f>
        <v/>
      </c>
    </row>
    <row r="214">
      <c r="A214" s="13" t="n"/>
      <c r="B214" s="13" t="n"/>
      <c r="C214" s="14" t="n"/>
      <c r="D214" s="14" t="n"/>
      <c r="E214" s="15" t="n"/>
      <c r="F214" s="16" t="n"/>
      <c r="G214" s="13" t="n"/>
      <c r="H214" s="13" t="n"/>
      <c r="I214" s="13" t="n"/>
      <c r="J214" s="17">
        <f>IF($F214="","",DATEDIF($F214,Rates!$B$2,"Y"))</f>
        <v/>
      </c>
      <c r="K214" s="18">
        <f>IF($F214="","",IF(UPPER($I214)="Y",Rates!$B$7,IF(J214&gt;=21,Rates!$B$4,IF(J214&gt;=18,Rates!$B$5,Rates!$B$6))))</f>
        <v/>
      </c>
      <c r="L214" s="17">
        <f>IF($F214="","",IF($E214&lt;K214,"Uplift needed","OK"))</f>
        <v/>
      </c>
      <c r="M214" s="17">
        <f>IF($F214="","",IF(AND(J214&lt;21,DATEDIF($F214,Rates!$B$3,"Y")&gt;=21),"Turns 21",IF(AND(J214&lt;18,DATEDIF($F214,Rates!$B$3,"Y")&gt;=18),"Turns 18","")))</f>
        <v/>
      </c>
      <c r="N214" s="18">
        <f>IF($F214="","",MAX($E214,K214))</f>
        <v/>
      </c>
      <c r="O214" s="19">
        <f>IF($F214="","",ROUND($C214*N214/$E214,2))</f>
        <v/>
      </c>
      <c r="P214" s="19">
        <f>IF($F214="","",ROUND($D214*N214/$E214,2))</f>
        <v/>
      </c>
      <c r="Q214" s="19">
        <f>IF($F214="","",ROUND(P214-$D214,2))</f>
        <v/>
      </c>
      <c r="R214" s="19">
        <f>IF($F214="","",ROUND(Rates!$B$8*(MAX(0,P214-Rates!$B$9)-MAX(0,$D214-Rates!$B$9)),2))</f>
        <v/>
      </c>
      <c r="S214" s="19">
        <f>IF($F214="","",ROUND(Rates!$B$10*IF(Rates!$B$11="Full",P214-$D214,MAX(0,MIN(P214,Rates!$B$13)-Rates!$B$12)-MAX(0,MIN($D214,Rates!$B$13)-Rates!$B$12)),2))</f>
        <v/>
      </c>
      <c r="T214" s="19">
        <f>IF($F214="","",ROUND(Q214+R214+S214,2))</f>
        <v/>
      </c>
    </row>
    <row r="215">
      <c r="A215" s="13" t="n"/>
      <c r="B215" s="13" t="n"/>
      <c r="C215" s="14" t="n"/>
      <c r="D215" s="14" t="n"/>
      <c r="E215" s="15" t="n"/>
      <c r="F215" s="16" t="n"/>
      <c r="G215" s="13" t="n"/>
      <c r="H215" s="13" t="n"/>
      <c r="I215" s="13" t="n"/>
      <c r="J215" s="17">
        <f>IF($F215="","",DATEDIF($F215,Rates!$B$2,"Y"))</f>
        <v/>
      </c>
      <c r="K215" s="18">
        <f>IF($F215="","",IF(UPPER($I215)="Y",Rates!$B$7,IF(J215&gt;=21,Rates!$B$4,IF(J215&gt;=18,Rates!$B$5,Rates!$B$6))))</f>
        <v/>
      </c>
      <c r="L215" s="17">
        <f>IF($F215="","",IF($E215&lt;K215,"Uplift needed","OK"))</f>
        <v/>
      </c>
      <c r="M215" s="17">
        <f>IF($F215="","",IF(AND(J215&lt;21,DATEDIF($F215,Rates!$B$3,"Y")&gt;=21),"Turns 21",IF(AND(J215&lt;18,DATEDIF($F215,Rates!$B$3,"Y")&gt;=18),"Turns 18","")))</f>
        <v/>
      </c>
      <c r="N215" s="18">
        <f>IF($F215="","",MAX($E215,K215))</f>
        <v/>
      </c>
      <c r="O215" s="19">
        <f>IF($F215="","",ROUND($C215*N215/$E215,2))</f>
        <v/>
      </c>
      <c r="P215" s="19">
        <f>IF($F215="","",ROUND($D215*N215/$E215,2))</f>
        <v/>
      </c>
      <c r="Q215" s="19">
        <f>IF($F215="","",ROUND(P215-$D215,2))</f>
        <v/>
      </c>
      <c r="R215" s="19">
        <f>IF($F215="","",ROUND(Rates!$B$8*(MAX(0,P215-Rates!$B$9)-MAX(0,$D215-Rates!$B$9)),2))</f>
        <v/>
      </c>
      <c r="S215" s="19">
        <f>IF($F215="","",ROUND(Rates!$B$10*IF(Rates!$B$11="Full",P215-$D215,MAX(0,MIN(P215,Rates!$B$13)-Rates!$B$12)-MAX(0,MIN($D215,Rates!$B$13)-Rates!$B$12)),2))</f>
        <v/>
      </c>
      <c r="T215" s="19">
        <f>IF($F215="","",ROUND(Q215+R215+S215,2))</f>
        <v/>
      </c>
    </row>
    <row r="216">
      <c r="A216" s="13" t="n"/>
      <c r="B216" s="13" t="n"/>
      <c r="C216" s="14" t="n"/>
      <c r="D216" s="14" t="n"/>
      <c r="E216" s="15" t="n"/>
      <c r="F216" s="16" t="n"/>
      <c r="G216" s="13" t="n"/>
      <c r="H216" s="13" t="n"/>
      <c r="I216" s="13" t="n"/>
      <c r="J216" s="17">
        <f>IF($F216="","",DATEDIF($F216,Rates!$B$2,"Y"))</f>
        <v/>
      </c>
      <c r="K216" s="18">
        <f>IF($F216="","",IF(UPPER($I216)="Y",Rates!$B$7,IF(J216&gt;=21,Rates!$B$4,IF(J216&gt;=18,Rates!$B$5,Rates!$B$6))))</f>
        <v/>
      </c>
      <c r="L216" s="17">
        <f>IF($F216="","",IF($E216&lt;K216,"Uplift needed","OK"))</f>
        <v/>
      </c>
      <c r="M216" s="17">
        <f>IF($F216="","",IF(AND(J216&lt;21,DATEDIF($F216,Rates!$B$3,"Y")&gt;=21),"Turns 21",IF(AND(J216&lt;18,DATEDIF($F216,Rates!$B$3,"Y")&gt;=18),"Turns 18","")))</f>
        <v/>
      </c>
      <c r="N216" s="18">
        <f>IF($F216="","",MAX($E216,K216))</f>
        <v/>
      </c>
      <c r="O216" s="19">
        <f>IF($F216="","",ROUND($C216*N216/$E216,2))</f>
        <v/>
      </c>
      <c r="P216" s="19">
        <f>IF($F216="","",ROUND($D216*N216/$E216,2))</f>
        <v/>
      </c>
      <c r="Q216" s="19">
        <f>IF($F216="","",ROUND(P216-$D216,2))</f>
        <v/>
      </c>
      <c r="R216" s="19">
        <f>IF($F216="","",ROUND(Rates!$B$8*(MAX(0,P216-Rates!$B$9)-MAX(0,$D216-Rates!$B$9)),2))</f>
        <v/>
      </c>
      <c r="S216" s="19">
        <f>IF($F216="","",ROUND(Rates!$B$10*IF(Rates!$B$11="Full",P216-$D216,MAX(0,MIN(P216,Rates!$B$13)-Rates!$B$12)-MAX(0,MIN($D216,Rates!$B$13)-Rates!$B$12)),2))</f>
        <v/>
      </c>
      <c r="T216" s="19">
        <f>IF($F216="","",ROUND(Q216+R216+S216,2))</f>
        <v/>
      </c>
    </row>
    <row r="217">
      <c r="A217" s="13" t="n"/>
      <c r="B217" s="13" t="n"/>
      <c r="C217" s="14" t="n"/>
      <c r="D217" s="14" t="n"/>
      <c r="E217" s="15" t="n"/>
      <c r="F217" s="16" t="n"/>
      <c r="G217" s="13" t="n"/>
      <c r="H217" s="13" t="n"/>
      <c r="I217" s="13" t="n"/>
      <c r="J217" s="17">
        <f>IF($F217="","",DATEDIF($F217,Rates!$B$2,"Y"))</f>
        <v/>
      </c>
      <c r="K217" s="18">
        <f>IF($F217="","",IF(UPPER($I217)="Y",Rates!$B$7,IF(J217&gt;=21,Rates!$B$4,IF(J217&gt;=18,Rates!$B$5,Rates!$B$6))))</f>
        <v/>
      </c>
      <c r="L217" s="17">
        <f>IF($F217="","",IF($E217&lt;K217,"Uplift needed","OK"))</f>
        <v/>
      </c>
      <c r="M217" s="17">
        <f>IF($F217="","",IF(AND(J217&lt;21,DATEDIF($F217,Rates!$B$3,"Y")&gt;=21),"Turns 21",IF(AND(J217&lt;18,DATEDIF($F217,Rates!$B$3,"Y")&gt;=18),"Turns 18","")))</f>
        <v/>
      </c>
      <c r="N217" s="18">
        <f>IF($F217="","",MAX($E217,K217))</f>
        <v/>
      </c>
      <c r="O217" s="19">
        <f>IF($F217="","",ROUND($C217*N217/$E217,2))</f>
        <v/>
      </c>
      <c r="P217" s="19">
        <f>IF($F217="","",ROUND($D217*N217/$E217,2))</f>
        <v/>
      </c>
      <c r="Q217" s="19">
        <f>IF($F217="","",ROUND(P217-$D217,2))</f>
        <v/>
      </c>
      <c r="R217" s="19">
        <f>IF($F217="","",ROUND(Rates!$B$8*(MAX(0,P217-Rates!$B$9)-MAX(0,$D217-Rates!$B$9)),2))</f>
        <v/>
      </c>
      <c r="S217" s="19">
        <f>IF($F217="","",ROUND(Rates!$B$10*IF(Rates!$B$11="Full",P217-$D217,MAX(0,MIN(P217,Rates!$B$13)-Rates!$B$12)-MAX(0,MIN($D217,Rates!$B$13)-Rates!$B$12)),2))</f>
        <v/>
      </c>
      <c r="T217" s="19">
        <f>IF($F217="","",ROUND(Q217+R217+S217,2))</f>
        <v/>
      </c>
    </row>
    <row r="218">
      <c r="A218" s="13" t="n"/>
      <c r="B218" s="13" t="n"/>
      <c r="C218" s="14" t="n"/>
      <c r="D218" s="14" t="n"/>
      <c r="E218" s="15" t="n"/>
      <c r="F218" s="16" t="n"/>
      <c r="G218" s="13" t="n"/>
      <c r="H218" s="13" t="n"/>
      <c r="I218" s="13" t="n"/>
      <c r="J218" s="17">
        <f>IF($F218="","",DATEDIF($F218,Rates!$B$2,"Y"))</f>
        <v/>
      </c>
      <c r="K218" s="18">
        <f>IF($F218="","",IF(UPPER($I218)="Y",Rates!$B$7,IF(J218&gt;=21,Rates!$B$4,IF(J218&gt;=18,Rates!$B$5,Rates!$B$6))))</f>
        <v/>
      </c>
      <c r="L218" s="17">
        <f>IF($F218="","",IF($E218&lt;K218,"Uplift needed","OK"))</f>
        <v/>
      </c>
      <c r="M218" s="17">
        <f>IF($F218="","",IF(AND(J218&lt;21,DATEDIF($F218,Rates!$B$3,"Y")&gt;=21),"Turns 21",IF(AND(J218&lt;18,DATEDIF($F218,Rates!$B$3,"Y")&gt;=18),"Turns 18","")))</f>
        <v/>
      </c>
      <c r="N218" s="18">
        <f>IF($F218="","",MAX($E218,K218))</f>
        <v/>
      </c>
      <c r="O218" s="19">
        <f>IF($F218="","",ROUND($C218*N218/$E218,2))</f>
        <v/>
      </c>
      <c r="P218" s="19">
        <f>IF($F218="","",ROUND($D218*N218/$E218,2))</f>
        <v/>
      </c>
      <c r="Q218" s="19">
        <f>IF($F218="","",ROUND(P218-$D218,2))</f>
        <v/>
      </c>
      <c r="R218" s="19">
        <f>IF($F218="","",ROUND(Rates!$B$8*(MAX(0,P218-Rates!$B$9)-MAX(0,$D218-Rates!$B$9)),2))</f>
        <v/>
      </c>
      <c r="S218" s="19">
        <f>IF($F218="","",ROUND(Rates!$B$10*IF(Rates!$B$11="Full",P218-$D218,MAX(0,MIN(P218,Rates!$B$13)-Rates!$B$12)-MAX(0,MIN($D218,Rates!$B$13)-Rates!$B$12)),2))</f>
        <v/>
      </c>
      <c r="T218" s="19">
        <f>IF($F218="","",ROUND(Q218+R218+S218,2))</f>
        <v/>
      </c>
    </row>
    <row r="219">
      <c r="A219" s="13" t="n"/>
      <c r="B219" s="13" t="n"/>
      <c r="C219" s="14" t="n"/>
      <c r="D219" s="14" t="n"/>
      <c r="E219" s="15" t="n"/>
      <c r="F219" s="16" t="n"/>
      <c r="G219" s="13" t="n"/>
      <c r="H219" s="13" t="n"/>
      <c r="I219" s="13" t="n"/>
      <c r="J219" s="17">
        <f>IF($F219="","",DATEDIF($F219,Rates!$B$2,"Y"))</f>
        <v/>
      </c>
      <c r="K219" s="18">
        <f>IF($F219="","",IF(UPPER($I219)="Y",Rates!$B$7,IF(J219&gt;=21,Rates!$B$4,IF(J219&gt;=18,Rates!$B$5,Rates!$B$6))))</f>
        <v/>
      </c>
      <c r="L219" s="17">
        <f>IF($F219="","",IF($E219&lt;K219,"Uplift needed","OK"))</f>
        <v/>
      </c>
      <c r="M219" s="17">
        <f>IF($F219="","",IF(AND(J219&lt;21,DATEDIF($F219,Rates!$B$3,"Y")&gt;=21),"Turns 21",IF(AND(J219&lt;18,DATEDIF($F219,Rates!$B$3,"Y")&gt;=18),"Turns 18","")))</f>
        <v/>
      </c>
      <c r="N219" s="18">
        <f>IF($F219="","",MAX($E219,K219))</f>
        <v/>
      </c>
      <c r="O219" s="19">
        <f>IF($F219="","",ROUND($C219*N219/$E219,2))</f>
        <v/>
      </c>
      <c r="P219" s="19">
        <f>IF($F219="","",ROUND($D219*N219/$E219,2))</f>
        <v/>
      </c>
      <c r="Q219" s="19">
        <f>IF($F219="","",ROUND(P219-$D219,2))</f>
        <v/>
      </c>
      <c r="R219" s="19">
        <f>IF($F219="","",ROUND(Rates!$B$8*(MAX(0,P219-Rates!$B$9)-MAX(0,$D219-Rates!$B$9)),2))</f>
        <v/>
      </c>
      <c r="S219" s="19">
        <f>IF($F219="","",ROUND(Rates!$B$10*IF(Rates!$B$11="Full",P219-$D219,MAX(0,MIN(P219,Rates!$B$13)-Rates!$B$12)-MAX(0,MIN($D219,Rates!$B$13)-Rates!$B$12)),2))</f>
        <v/>
      </c>
      <c r="T219" s="19">
        <f>IF($F219="","",ROUND(Q219+R219+S219,2))</f>
        <v/>
      </c>
    </row>
    <row r="220">
      <c r="A220" s="13" t="n"/>
      <c r="B220" s="13" t="n"/>
      <c r="C220" s="14" t="n"/>
      <c r="D220" s="14" t="n"/>
      <c r="E220" s="15" t="n"/>
      <c r="F220" s="16" t="n"/>
      <c r="G220" s="13" t="n"/>
      <c r="H220" s="13" t="n"/>
      <c r="I220" s="13" t="n"/>
      <c r="J220" s="17">
        <f>IF($F220="","",DATEDIF($F220,Rates!$B$2,"Y"))</f>
        <v/>
      </c>
      <c r="K220" s="18">
        <f>IF($F220="","",IF(UPPER($I220)="Y",Rates!$B$7,IF(J220&gt;=21,Rates!$B$4,IF(J220&gt;=18,Rates!$B$5,Rates!$B$6))))</f>
        <v/>
      </c>
      <c r="L220" s="17">
        <f>IF($F220="","",IF($E220&lt;K220,"Uplift needed","OK"))</f>
        <v/>
      </c>
      <c r="M220" s="17">
        <f>IF($F220="","",IF(AND(J220&lt;21,DATEDIF($F220,Rates!$B$3,"Y")&gt;=21),"Turns 21",IF(AND(J220&lt;18,DATEDIF($F220,Rates!$B$3,"Y")&gt;=18),"Turns 18","")))</f>
        <v/>
      </c>
      <c r="N220" s="18">
        <f>IF($F220="","",MAX($E220,K220))</f>
        <v/>
      </c>
      <c r="O220" s="19">
        <f>IF($F220="","",ROUND($C220*N220/$E220,2))</f>
        <v/>
      </c>
      <c r="P220" s="19">
        <f>IF($F220="","",ROUND($D220*N220/$E220,2))</f>
        <v/>
      </c>
      <c r="Q220" s="19">
        <f>IF($F220="","",ROUND(P220-$D220,2))</f>
        <v/>
      </c>
      <c r="R220" s="19">
        <f>IF($F220="","",ROUND(Rates!$B$8*(MAX(0,P220-Rates!$B$9)-MAX(0,$D220-Rates!$B$9)),2))</f>
        <v/>
      </c>
      <c r="S220" s="19">
        <f>IF($F220="","",ROUND(Rates!$B$10*IF(Rates!$B$11="Full",P220-$D220,MAX(0,MIN(P220,Rates!$B$13)-Rates!$B$12)-MAX(0,MIN($D220,Rates!$B$13)-Rates!$B$12)),2))</f>
        <v/>
      </c>
      <c r="T220" s="19">
        <f>IF($F220="","",ROUND(Q220+R220+S220,2))</f>
        <v/>
      </c>
    </row>
    <row r="221">
      <c r="A221" s="13" t="n"/>
      <c r="B221" s="13" t="n"/>
      <c r="C221" s="14" t="n"/>
      <c r="D221" s="14" t="n"/>
      <c r="E221" s="15" t="n"/>
      <c r="F221" s="16" t="n"/>
      <c r="G221" s="13" t="n"/>
      <c r="H221" s="13" t="n"/>
      <c r="I221" s="13" t="n"/>
      <c r="J221" s="17">
        <f>IF($F221="","",DATEDIF($F221,Rates!$B$2,"Y"))</f>
        <v/>
      </c>
      <c r="K221" s="18">
        <f>IF($F221="","",IF(UPPER($I221)="Y",Rates!$B$7,IF(J221&gt;=21,Rates!$B$4,IF(J221&gt;=18,Rates!$B$5,Rates!$B$6))))</f>
        <v/>
      </c>
      <c r="L221" s="17">
        <f>IF($F221="","",IF($E221&lt;K221,"Uplift needed","OK"))</f>
        <v/>
      </c>
      <c r="M221" s="17">
        <f>IF($F221="","",IF(AND(J221&lt;21,DATEDIF($F221,Rates!$B$3,"Y")&gt;=21),"Turns 21",IF(AND(J221&lt;18,DATEDIF($F221,Rates!$B$3,"Y")&gt;=18),"Turns 18","")))</f>
        <v/>
      </c>
      <c r="N221" s="18">
        <f>IF($F221="","",MAX($E221,K221))</f>
        <v/>
      </c>
      <c r="O221" s="19">
        <f>IF($F221="","",ROUND($C221*N221/$E221,2))</f>
        <v/>
      </c>
      <c r="P221" s="19">
        <f>IF($F221="","",ROUND($D221*N221/$E221,2))</f>
        <v/>
      </c>
      <c r="Q221" s="19">
        <f>IF($F221="","",ROUND(P221-$D221,2))</f>
        <v/>
      </c>
      <c r="R221" s="19">
        <f>IF($F221="","",ROUND(Rates!$B$8*(MAX(0,P221-Rates!$B$9)-MAX(0,$D221-Rates!$B$9)),2))</f>
        <v/>
      </c>
      <c r="S221" s="19">
        <f>IF($F221="","",ROUND(Rates!$B$10*IF(Rates!$B$11="Full",P221-$D221,MAX(0,MIN(P221,Rates!$B$13)-Rates!$B$12)-MAX(0,MIN($D221,Rates!$B$13)-Rates!$B$12)),2))</f>
        <v/>
      </c>
      <c r="T221" s="19">
        <f>IF($F221="","",ROUND(Q221+R221+S221,2))</f>
        <v/>
      </c>
    </row>
    <row r="222">
      <c r="A222" s="13" t="n"/>
      <c r="B222" s="13" t="n"/>
      <c r="C222" s="14" t="n"/>
      <c r="D222" s="14" t="n"/>
      <c r="E222" s="15" t="n"/>
      <c r="F222" s="16" t="n"/>
      <c r="G222" s="13" t="n"/>
      <c r="H222" s="13" t="n"/>
      <c r="I222" s="13" t="n"/>
      <c r="J222" s="17">
        <f>IF($F222="","",DATEDIF($F222,Rates!$B$2,"Y"))</f>
        <v/>
      </c>
      <c r="K222" s="18">
        <f>IF($F222="","",IF(UPPER($I222)="Y",Rates!$B$7,IF(J222&gt;=21,Rates!$B$4,IF(J222&gt;=18,Rates!$B$5,Rates!$B$6))))</f>
        <v/>
      </c>
      <c r="L222" s="17">
        <f>IF($F222="","",IF($E222&lt;K222,"Uplift needed","OK"))</f>
        <v/>
      </c>
      <c r="M222" s="17">
        <f>IF($F222="","",IF(AND(J222&lt;21,DATEDIF($F222,Rates!$B$3,"Y")&gt;=21),"Turns 21",IF(AND(J222&lt;18,DATEDIF($F222,Rates!$B$3,"Y")&gt;=18),"Turns 18","")))</f>
        <v/>
      </c>
      <c r="N222" s="18">
        <f>IF($F222="","",MAX($E222,K222))</f>
        <v/>
      </c>
      <c r="O222" s="19">
        <f>IF($F222="","",ROUND($C222*N222/$E222,2))</f>
        <v/>
      </c>
      <c r="P222" s="19">
        <f>IF($F222="","",ROUND($D222*N222/$E222,2))</f>
        <v/>
      </c>
      <c r="Q222" s="19">
        <f>IF($F222="","",ROUND(P222-$D222,2))</f>
        <v/>
      </c>
      <c r="R222" s="19">
        <f>IF($F222="","",ROUND(Rates!$B$8*(MAX(0,P222-Rates!$B$9)-MAX(0,$D222-Rates!$B$9)),2))</f>
        <v/>
      </c>
      <c r="S222" s="19">
        <f>IF($F222="","",ROUND(Rates!$B$10*IF(Rates!$B$11="Full",P222-$D222,MAX(0,MIN(P222,Rates!$B$13)-Rates!$B$12)-MAX(0,MIN($D222,Rates!$B$13)-Rates!$B$12)),2))</f>
        <v/>
      </c>
      <c r="T222" s="19">
        <f>IF($F222="","",ROUND(Q222+R222+S222,2))</f>
        <v/>
      </c>
    </row>
    <row r="223">
      <c r="A223" s="13" t="n"/>
      <c r="B223" s="13" t="n"/>
      <c r="C223" s="14" t="n"/>
      <c r="D223" s="14" t="n"/>
      <c r="E223" s="15" t="n"/>
      <c r="F223" s="16" t="n"/>
      <c r="G223" s="13" t="n"/>
      <c r="H223" s="13" t="n"/>
      <c r="I223" s="13" t="n"/>
      <c r="J223" s="17">
        <f>IF($F223="","",DATEDIF($F223,Rates!$B$2,"Y"))</f>
        <v/>
      </c>
      <c r="K223" s="18">
        <f>IF($F223="","",IF(UPPER($I223)="Y",Rates!$B$7,IF(J223&gt;=21,Rates!$B$4,IF(J223&gt;=18,Rates!$B$5,Rates!$B$6))))</f>
        <v/>
      </c>
      <c r="L223" s="17">
        <f>IF($F223="","",IF($E223&lt;K223,"Uplift needed","OK"))</f>
        <v/>
      </c>
      <c r="M223" s="17">
        <f>IF($F223="","",IF(AND(J223&lt;21,DATEDIF($F223,Rates!$B$3,"Y")&gt;=21),"Turns 21",IF(AND(J223&lt;18,DATEDIF($F223,Rates!$B$3,"Y")&gt;=18),"Turns 18","")))</f>
        <v/>
      </c>
      <c r="N223" s="18">
        <f>IF($F223="","",MAX($E223,K223))</f>
        <v/>
      </c>
      <c r="O223" s="19">
        <f>IF($F223="","",ROUND($C223*N223/$E223,2))</f>
        <v/>
      </c>
      <c r="P223" s="19">
        <f>IF($F223="","",ROUND($D223*N223/$E223,2))</f>
        <v/>
      </c>
      <c r="Q223" s="19">
        <f>IF($F223="","",ROUND(P223-$D223,2))</f>
        <v/>
      </c>
      <c r="R223" s="19">
        <f>IF($F223="","",ROUND(Rates!$B$8*(MAX(0,P223-Rates!$B$9)-MAX(0,$D223-Rates!$B$9)),2))</f>
        <v/>
      </c>
      <c r="S223" s="19">
        <f>IF($F223="","",ROUND(Rates!$B$10*IF(Rates!$B$11="Full",P223-$D223,MAX(0,MIN(P223,Rates!$B$13)-Rates!$B$12)-MAX(0,MIN($D223,Rates!$B$13)-Rates!$B$12)),2))</f>
        <v/>
      </c>
      <c r="T223" s="19">
        <f>IF($F223="","",ROUND(Q223+R223+S223,2))</f>
        <v/>
      </c>
    </row>
    <row r="224">
      <c r="A224" s="13" t="n"/>
      <c r="B224" s="13" t="n"/>
      <c r="C224" s="14" t="n"/>
      <c r="D224" s="14" t="n"/>
      <c r="E224" s="15" t="n"/>
      <c r="F224" s="16" t="n"/>
      <c r="G224" s="13" t="n"/>
      <c r="H224" s="13" t="n"/>
      <c r="I224" s="13" t="n"/>
      <c r="J224" s="17">
        <f>IF($F224="","",DATEDIF($F224,Rates!$B$2,"Y"))</f>
        <v/>
      </c>
      <c r="K224" s="18">
        <f>IF($F224="","",IF(UPPER($I224)="Y",Rates!$B$7,IF(J224&gt;=21,Rates!$B$4,IF(J224&gt;=18,Rates!$B$5,Rates!$B$6))))</f>
        <v/>
      </c>
      <c r="L224" s="17">
        <f>IF($F224="","",IF($E224&lt;K224,"Uplift needed","OK"))</f>
        <v/>
      </c>
      <c r="M224" s="17">
        <f>IF($F224="","",IF(AND(J224&lt;21,DATEDIF($F224,Rates!$B$3,"Y")&gt;=21),"Turns 21",IF(AND(J224&lt;18,DATEDIF($F224,Rates!$B$3,"Y")&gt;=18),"Turns 18","")))</f>
        <v/>
      </c>
      <c r="N224" s="18">
        <f>IF($F224="","",MAX($E224,K224))</f>
        <v/>
      </c>
      <c r="O224" s="19">
        <f>IF($F224="","",ROUND($C224*N224/$E224,2))</f>
        <v/>
      </c>
      <c r="P224" s="19">
        <f>IF($F224="","",ROUND($D224*N224/$E224,2))</f>
        <v/>
      </c>
      <c r="Q224" s="19">
        <f>IF($F224="","",ROUND(P224-$D224,2))</f>
        <v/>
      </c>
      <c r="R224" s="19">
        <f>IF($F224="","",ROUND(Rates!$B$8*(MAX(0,P224-Rates!$B$9)-MAX(0,$D224-Rates!$B$9)),2))</f>
        <v/>
      </c>
      <c r="S224" s="19">
        <f>IF($F224="","",ROUND(Rates!$B$10*IF(Rates!$B$11="Full",P224-$D224,MAX(0,MIN(P224,Rates!$B$13)-Rates!$B$12)-MAX(0,MIN($D224,Rates!$B$13)-Rates!$B$12)),2))</f>
        <v/>
      </c>
      <c r="T224" s="19">
        <f>IF($F224="","",ROUND(Q224+R224+S224,2))</f>
        <v/>
      </c>
    </row>
    <row r="225">
      <c r="A225" s="13" t="n"/>
      <c r="B225" s="13" t="n"/>
      <c r="C225" s="14" t="n"/>
      <c r="D225" s="14" t="n"/>
      <c r="E225" s="15" t="n"/>
      <c r="F225" s="16" t="n"/>
      <c r="G225" s="13" t="n"/>
      <c r="H225" s="13" t="n"/>
      <c r="I225" s="13" t="n"/>
      <c r="J225" s="17">
        <f>IF($F225="","",DATEDIF($F225,Rates!$B$2,"Y"))</f>
        <v/>
      </c>
      <c r="K225" s="18">
        <f>IF($F225="","",IF(UPPER($I225)="Y",Rates!$B$7,IF(J225&gt;=21,Rates!$B$4,IF(J225&gt;=18,Rates!$B$5,Rates!$B$6))))</f>
        <v/>
      </c>
      <c r="L225" s="17">
        <f>IF($F225="","",IF($E225&lt;K225,"Uplift needed","OK"))</f>
        <v/>
      </c>
      <c r="M225" s="17">
        <f>IF($F225="","",IF(AND(J225&lt;21,DATEDIF($F225,Rates!$B$3,"Y")&gt;=21),"Turns 21",IF(AND(J225&lt;18,DATEDIF($F225,Rates!$B$3,"Y")&gt;=18),"Turns 18","")))</f>
        <v/>
      </c>
      <c r="N225" s="18">
        <f>IF($F225="","",MAX($E225,K225))</f>
        <v/>
      </c>
      <c r="O225" s="19">
        <f>IF($F225="","",ROUND($C225*N225/$E225,2))</f>
        <v/>
      </c>
      <c r="P225" s="19">
        <f>IF($F225="","",ROUND($D225*N225/$E225,2))</f>
        <v/>
      </c>
      <c r="Q225" s="19">
        <f>IF($F225="","",ROUND(P225-$D225,2))</f>
        <v/>
      </c>
      <c r="R225" s="19">
        <f>IF($F225="","",ROUND(Rates!$B$8*(MAX(0,P225-Rates!$B$9)-MAX(0,$D225-Rates!$B$9)),2))</f>
        <v/>
      </c>
      <c r="S225" s="19">
        <f>IF($F225="","",ROUND(Rates!$B$10*IF(Rates!$B$11="Full",P225-$D225,MAX(0,MIN(P225,Rates!$B$13)-Rates!$B$12)-MAX(0,MIN($D225,Rates!$B$13)-Rates!$B$12)),2))</f>
        <v/>
      </c>
      <c r="T225" s="19">
        <f>IF($F225="","",ROUND(Q225+R225+S225,2))</f>
        <v/>
      </c>
    </row>
    <row r="226">
      <c r="A226" s="13" t="n"/>
      <c r="B226" s="13" t="n"/>
      <c r="C226" s="14" t="n"/>
      <c r="D226" s="14" t="n"/>
      <c r="E226" s="15" t="n"/>
      <c r="F226" s="16" t="n"/>
      <c r="G226" s="13" t="n"/>
      <c r="H226" s="13" t="n"/>
      <c r="I226" s="13" t="n"/>
      <c r="J226" s="17">
        <f>IF($F226="","",DATEDIF($F226,Rates!$B$2,"Y"))</f>
        <v/>
      </c>
      <c r="K226" s="18">
        <f>IF($F226="","",IF(UPPER($I226)="Y",Rates!$B$7,IF(J226&gt;=21,Rates!$B$4,IF(J226&gt;=18,Rates!$B$5,Rates!$B$6))))</f>
        <v/>
      </c>
      <c r="L226" s="17">
        <f>IF($F226="","",IF($E226&lt;K226,"Uplift needed","OK"))</f>
        <v/>
      </c>
      <c r="M226" s="17">
        <f>IF($F226="","",IF(AND(J226&lt;21,DATEDIF($F226,Rates!$B$3,"Y")&gt;=21),"Turns 21",IF(AND(J226&lt;18,DATEDIF($F226,Rates!$B$3,"Y")&gt;=18),"Turns 18","")))</f>
        <v/>
      </c>
      <c r="N226" s="18">
        <f>IF($F226="","",MAX($E226,K226))</f>
        <v/>
      </c>
      <c r="O226" s="19">
        <f>IF($F226="","",ROUND($C226*N226/$E226,2))</f>
        <v/>
      </c>
      <c r="P226" s="19">
        <f>IF($F226="","",ROUND($D226*N226/$E226,2))</f>
        <v/>
      </c>
      <c r="Q226" s="19">
        <f>IF($F226="","",ROUND(P226-$D226,2))</f>
        <v/>
      </c>
      <c r="R226" s="19">
        <f>IF($F226="","",ROUND(Rates!$B$8*(MAX(0,P226-Rates!$B$9)-MAX(0,$D226-Rates!$B$9)),2))</f>
        <v/>
      </c>
      <c r="S226" s="19">
        <f>IF($F226="","",ROUND(Rates!$B$10*IF(Rates!$B$11="Full",P226-$D226,MAX(0,MIN(P226,Rates!$B$13)-Rates!$B$12)-MAX(0,MIN($D226,Rates!$B$13)-Rates!$B$12)),2))</f>
        <v/>
      </c>
      <c r="T226" s="19">
        <f>IF($F226="","",ROUND(Q226+R226+S226,2))</f>
        <v/>
      </c>
    </row>
    <row r="227">
      <c r="A227" s="13" t="n"/>
      <c r="B227" s="13" t="n"/>
      <c r="C227" s="14" t="n"/>
      <c r="D227" s="14" t="n"/>
      <c r="E227" s="15" t="n"/>
      <c r="F227" s="16" t="n"/>
      <c r="G227" s="13" t="n"/>
      <c r="H227" s="13" t="n"/>
      <c r="I227" s="13" t="n"/>
      <c r="J227" s="17">
        <f>IF($F227="","",DATEDIF($F227,Rates!$B$2,"Y"))</f>
        <v/>
      </c>
      <c r="K227" s="18">
        <f>IF($F227="","",IF(UPPER($I227)="Y",Rates!$B$7,IF(J227&gt;=21,Rates!$B$4,IF(J227&gt;=18,Rates!$B$5,Rates!$B$6))))</f>
        <v/>
      </c>
      <c r="L227" s="17">
        <f>IF($F227="","",IF($E227&lt;K227,"Uplift needed","OK"))</f>
        <v/>
      </c>
      <c r="M227" s="17">
        <f>IF($F227="","",IF(AND(J227&lt;21,DATEDIF($F227,Rates!$B$3,"Y")&gt;=21),"Turns 21",IF(AND(J227&lt;18,DATEDIF($F227,Rates!$B$3,"Y")&gt;=18),"Turns 18","")))</f>
        <v/>
      </c>
      <c r="N227" s="18">
        <f>IF($F227="","",MAX($E227,K227))</f>
        <v/>
      </c>
      <c r="O227" s="19">
        <f>IF($F227="","",ROUND($C227*N227/$E227,2))</f>
        <v/>
      </c>
      <c r="P227" s="19">
        <f>IF($F227="","",ROUND($D227*N227/$E227,2))</f>
        <v/>
      </c>
      <c r="Q227" s="19">
        <f>IF($F227="","",ROUND(P227-$D227,2))</f>
        <v/>
      </c>
      <c r="R227" s="19">
        <f>IF($F227="","",ROUND(Rates!$B$8*(MAX(0,P227-Rates!$B$9)-MAX(0,$D227-Rates!$B$9)),2))</f>
        <v/>
      </c>
      <c r="S227" s="19">
        <f>IF($F227="","",ROUND(Rates!$B$10*IF(Rates!$B$11="Full",P227-$D227,MAX(0,MIN(P227,Rates!$B$13)-Rates!$B$12)-MAX(0,MIN($D227,Rates!$B$13)-Rates!$B$12)),2))</f>
        <v/>
      </c>
      <c r="T227" s="19">
        <f>IF($F227="","",ROUND(Q227+R227+S227,2))</f>
        <v/>
      </c>
    </row>
    <row r="228">
      <c r="A228" s="13" t="n"/>
      <c r="B228" s="13" t="n"/>
      <c r="C228" s="14" t="n"/>
      <c r="D228" s="14" t="n"/>
      <c r="E228" s="15" t="n"/>
      <c r="F228" s="16" t="n"/>
      <c r="G228" s="13" t="n"/>
      <c r="H228" s="13" t="n"/>
      <c r="I228" s="13" t="n"/>
      <c r="J228" s="17">
        <f>IF($F228="","",DATEDIF($F228,Rates!$B$2,"Y"))</f>
        <v/>
      </c>
      <c r="K228" s="18">
        <f>IF($F228="","",IF(UPPER($I228)="Y",Rates!$B$7,IF(J228&gt;=21,Rates!$B$4,IF(J228&gt;=18,Rates!$B$5,Rates!$B$6))))</f>
        <v/>
      </c>
      <c r="L228" s="17">
        <f>IF($F228="","",IF($E228&lt;K228,"Uplift needed","OK"))</f>
        <v/>
      </c>
      <c r="M228" s="17">
        <f>IF($F228="","",IF(AND(J228&lt;21,DATEDIF($F228,Rates!$B$3,"Y")&gt;=21),"Turns 21",IF(AND(J228&lt;18,DATEDIF($F228,Rates!$B$3,"Y")&gt;=18),"Turns 18","")))</f>
        <v/>
      </c>
      <c r="N228" s="18">
        <f>IF($F228="","",MAX($E228,K228))</f>
        <v/>
      </c>
      <c r="O228" s="19">
        <f>IF($F228="","",ROUND($C228*N228/$E228,2))</f>
        <v/>
      </c>
      <c r="P228" s="19">
        <f>IF($F228="","",ROUND($D228*N228/$E228,2))</f>
        <v/>
      </c>
      <c r="Q228" s="19">
        <f>IF($F228="","",ROUND(P228-$D228,2))</f>
        <v/>
      </c>
      <c r="R228" s="19">
        <f>IF($F228="","",ROUND(Rates!$B$8*(MAX(0,P228-Rates!$B$9)-MAX(0,$D228-Rates!$B$9)),2))</f>
        <v/>
      </c>
      <c r="S228" s="19">
        <f>IF($F228="","",ROUND(Rates!$B$10*IF(Rates!$B$11="Full",P228-$D228,MAX(0,MIN(P228,Rates!$B$13)-Rates!$B$12)-MAX(0,MIN($D228,Rates!$B$13)-Rates!$B$12)),2))</f>
        <v/>
      </c>
      <c r="T228" s="19">
        <f>IF($F228="","",ROUND(Q228+R228+S228,2))</f>
        <v/>
      </c>
    </row>
    <row r="229">
      <c r="A229" s="13" t="n"/>
      <c r="B229" s="13" t="n"/>
      <c r="C229" s="14" t="n"/>
      <c r="D229" s="14" t="n"/>
      <c r="E229" s="15" t="n"/>
      <c r="F229" s="16" t="n"/>
      <c r="G229" s="13" t="n"/>
      <c r="H229" s="13" t="n"/>
      <c r="I229" s="13" t="n"/>
      <c r="J229" s="17">
        <f>IF($F229="","",DATEDIF($F229,Rates!$B$2,"Y"))</f>
        <v/>
      </c>
      <c r="K229" s="18">
        <f>IF($F229="","",IF(UPPER($I229)="Y",Rates!$B$7,IF(J229&gt;=21,Rates!$B$4,IF(J229&gt;=18,Rates!$B$5,Rates!$B$6))))</f>
        <v/>
      </c>
      <c r="L229" s="17">
        <f>IF($F229="","",IF($E229&lt;K229,"Uplift needed","OK"))</f>
        <v/>
      </c>
      <c r="M229" s="17">
        <f>IF($F229="","",IF(AND(J229&lt;21,DATEDIF($F229,Rates!$B$3,"Y")&gt;=21),"Turns 21",IF(AND(J229&lt;18,DATEDIF($F229,Rates!$B$3,"Y")&gt;=18),"Turns 18","")))</f>
        <v/>
      </c>
      <c r="N229" s="18">
        <f>IF($F229="","",MAX($E229,K229))</f>
        <v/>
      </c>
      <c r="O229" s="19">
        <f>IF($F229="","",ROUND($C229*N229/$E229,2))</f>
        <v/>
      </c>
      <c r="P229" s="19">
        <f>IF($F229="","",ROUND($D229*N229/$E229,2))</f>
        <v/>
      </c>
      <c r="Q229" s="19">
        <f>IF($F229="","",ROUND(P229-$D229,2))</f>
        <v/>
      </c>
      <c r="R229" s="19">
        <f>IF($F229="","",ROUND(Rates!$B$8*(MAX(0,P229-Rates!$B$9)-MAX(0,$D229-Rates!$B$9)),2))</f>
        <v/>
      </c>
      <c r="S229" s="19">
        <f>IF($F229="","",ROUND(Rates!$B$10*IF(Rates!$B$11="Full",P229-$D229,MAX(0,MIN(P229,Rates!$B$13)-Rates!$B$12)-MAX(0,MIN($D229,Rates!$B$13)-Rates!$B$12)),2))</f>
        <v/>
      </c>
      <c r="T229" s="19">
        <f>IF($F229="","",ROUND(Q229+R229+S229,2))</f>
        <v/>
      </c>
    </row>
    <row r="230">
      <c r="A230" s="13" t="n"/>
      <c r="B230" s="13" t="n"/>
      <c r="C230" s="14" t="n"/>
      <c r="D230" s="14" t="n"/>
      <c r="E230" s="15" t="n"/>
      <c r="F230" s="16" t="n"/>
      <c r="G230" s="13" t="n"/>
      <c r="H230" s="13" t="n"/>
      <c r="I230" s="13" t="n"/>
      <c r="J230" s="17">
        <f>IF($F230="","",DATEDIF($F230,Rates!$B$2,"Y"))</f>
        <v/>
      </c>
      <c r="K230" s="18">
        <f>IF($F230="","",IF(UPPER($I230)="Y",Rates!$B$7,IF(J230&gt;=21,Rates!$B$4,IF(J230&gt;=18,Rates!$B$5,Rates!$B$6))))</f>
        <v/>
      </c>
      <c r="L230" s="17">
        <f>IF($F230="","",IF($E230&lt;K230,"Uplift needed","OK"))</f>
        <v/>
      </c>
      <c r="M230" s="17">
        <f>IF($F230="","",IF(AND(J230&lt;21,DATEDIF($F230,Rates!$B$3,"Y")&gt;=21),"Turns 21",IF(AND(J230&lt;18,DATEDIF($F230,Rates!$B$3,"Y")&gt;=18),"Turns 18","")))</f>
        <v/>
      </c>
      <c r="N230" s="18">
        <f>IF($F230="","",MAX($E230,K230))</f>
        <v/>
      </c>
      <c r="O230" s="19">
        <f>IF($F230="","",ROUND($C230*N230/$E230,2))</f>
        <v/>
      </c>
      <c r="P230" s="19">
        <f>IF($F230="","",ROUND($D230*N230/$E230,2))</f>
        <v/>
      </c>
      <c r="Q230" s="19">
        <f>IF($F230="","",ROUND(P230-$D230,2))</f>
        <v/>
      </c>
      <c r="R230" s="19">
        <f>IF($F230="","",ROUND(Rates!$B$8*(MAX(0,P230-Rates!$B$9)-MAX(0,$D230-Rates!$B$9)),2))</f>
        <v/>
      </c>
      <c r="S230" s="19">
        <f>IF($F230="","",ROUND(Rates!$B$10*IF(Rates!$B$11="Full",P230-$D230,MAX(0,MIN(P230,Rates!$B$13)-Rates!$B$12)-MAX(0,MIN($D230,Rates!$B$13)-Rates!$B$12)),2))</f>
        <v/>
      </c>
      <c r="T230" s="19">
        <f>IF($F230="","",ROUND(Q230+R230+S230,2))</f>
        <v/>
      </c>
    </row>
    <row r="231">
      <c r="A231" s="13" t="n"/>
      <c r="B231" s="13" t="n"/>
      <c r="C231" s="14" t="n"/>
      <c r="D231" s="14" t="n"/>
      <c r="E231" s="15" t="n"/>
      <c r="F231" s="16" t="n"/>
      <c r="G231" s="13" t="n"/>
      <c r="H231" s="13" t="n"/>
      <c r="I231" s="13" t="n"/>
      <c r="J231" s="17">
        <f>IF($F231="","",DATEDIF($F231,Rates!$B$2,"Y"))</f>
        <v/>
      </c>
      <c r="K231" s="18">
        <f>IF($F231="","",IF(UPPER($I231)="Y",Rates!$B$7,IF(J231&gt;=21,Rates!$B$4,IF(J231&gt;=18,Rates!$B$5,Rates!$B$6))))</f>
        <v/>
      </c>
      <c r="L231" s="17">
        <f>IF($F231="","",IF($E231&lt;K231,"Uplift needed","OK"))</f>
        <v/>
      </c>
      <c r="M231" s="17">
        <f>IF($F231="","",IF(AND(J231&lt;21,DATEDIF($F231,Rates!$B$3,"Y")&gt;=21),"Turns 21",IF(AND(J231&lt;18,DATEDIF($F231,Rates!$B$3,"Y")&gt;=18),"Turns 18","")))</f>
        <v/>
      </c>
      <c r="N231" s="18">
        <f>IF($F231="","",MAX($E231,K231))</f>
        <v/>
      </c>
      <c r="O231" s="19">
        <f>IF($F231="","",ROUND($C231*N231/$E231,2))</f>
        <v/>
      </c>
      <c r="P231" s="19">
        <f>IF($F231="","",ROUND($D231*N231/$E231,2))</f>
        <v/>
      </c>
      <c r="Q231" s="19">
        <f>IF($F231="","",ROUND(P231-$D231,2))</f>
        <v/>
      </c>
      <c r="R231" s="19">
        <f>IF($F231="","",ROUND(Rates!$B$8*(MAX(0,P231-Rates!$B$9)-MAX(0,$D231-Rates!$B$9)),2))</f>
        <v/>
      </c>
      <c r="S231" s="19">
        <f>IF($F231="","",ROUND(Rates!$B$10*IF(Rates!$B$11="Full",P231-$D231,MAX(0,MIN(P231,Rates!$B$13)-Rates!$B$12)-MAX(0,MIN($D231,Rates!$B$13)-Rates!$B$12)),2))</f>
        <v/>
      </c>
      <c r="T231" s="19">
        <f>IF($F231="","",ROUND(Q231+R231+S231,2))</f>
        <v/>
      </c>
    </row>
    <row r="232">
      <c r="A232" s="13" t="n"/>
      <c r="B232" s="13" t="n"/>
      <c r="C232" s="14" t="n"/>
      <c r="D232" s="14" t="n"/>
      <c r="E232" s="15" t="n"/>
      <c r="F232" s="16" t="n"/>
      <c r="G232" s="13" t="n"/>
      <c r="H232" s="13" t="n"/>
      <c r="I232" s="13" t="n"/>
      <c r="J232" s="17">
        <f>IF($F232="","",DATEDIF($F232,Rates!$B$2,"Y"))</f>
        <v/>
      </c>
      <c r="K232" s="18">
        <f>IF($F232="","",IF(UPPER($I232)="Y",Rates!$B$7,IF(J232&gt;=21,Rates!$B$4,IF(J232&gt;=18,Rates!$B$5,Rates!$B$6))))</f>
        <v/>
      </c>
      <c r="L232" s="17">
        <f>IF($F232="","",IF($E232&lt;K232,"Uplift needed","OK"))</f>
        <v/>
      </c>
      <c r="M232" s="17">
        <f>IF($F232="","",IF(AND(J232&lt;21,DATEDIF($F232,Rates!$B$3,"Y")&gt;=21),"Turns 21",IF(AND(J232&lt;18,DATEDIF($F232,Rates!$B$3,"Y")&gt;=18),"Turns 18","")))</f>
        <v/>
      </c>
      <c r="N232" s="18">
        <f>IF($F232="","",MAX($E232,K232))</f>
        <v/>
      </c>
      <c r="O232" s="19">
        <f>IF($F232="","",ROUND($C232*N232/$E232,2))</f>
        <v/>
      </c>
      <c r="P232" s="19">
        <f>IF($F232="","",ROUND($D232*N232/$E232,2))</f>
        <v/>
      </c>
      <c r="Q232" s="19">
        <f>IF($F232="","",ROUND(P232-$D232,2))</f>
        <v/>
      </c>
      <c r="R232" s="19">
        <f>IF($F232="","",ROUND(Rates!$B$8*(MAX(0,P232-Rates!$B$9)-MAX(0,$D232-Rates!$B$9)),2))</f>
        <v/>
      </c>
      <c r="S232" s="19">
        <f>IF($F232="","",ROUND(Rates!$B$10*IF(Rates!$B$11="Full",P232-$D232,MAX(0,MIN(P232,Rates!$B$13)-Rates!$B$12)-MAX(0,MIN($D232,Rates!$B$13)-Rates!$B$12)),2))</f>
        <v/>
      </c>
      <c r="T232" s="19">
        <f>IF($F232="","",ROUND(Q232+R232+S232,2))</f>
        <v/>
      </c>
    </row>
    <row r="233">
      <c r="A233" s="13" t="n"/>
      <c r="B233" s="13" t="n"/>
      <c r="C233" s="14" t="n"/>
      <c r="D233" s="14" t="n"/>
      <c r="E233" s="15" t="n"/>
      <c r="F233" s="16" t="n"/>
      <c r="G233" s="13" t="n"/>
      <c r="H233" s="13" t="n"/>
      <c r="I233" s="13" t="n"/>
      <c r="J233" s="17">
        <f>IF($F233="","",DATEDIF($F233,Rates!$B$2,"Y"))</f>
        <v/>
      </c>
      <c r="K233" s="18">
        <f>IF($F233="","",IF(UPPER($I233)="Y",Rates!$B$7,IF(J233&gt;=21,Rates!$B$4,IF(J233&gt;=18,Rates!$B$5,Rates!$B$6))))</f>
        <v/>
      </c>
      <c r="L233" s="17">
        <f>IF($F233="","",IF($E233&lt;K233,"Uplift needed","OK"))</f>
        <v/>
      </c>
      <c r="M233" s="17">
        <f>IF($F233="","",IF(AND(J233&lt;21,DATEDIF($F233,Rates!$B$3,"Y")&gt;=21),"Turns 21",IF(AND(J233&lt;18,DATEDIF($F233,Rates!$B$3,"Y")&gt;=18),"Turns 18","")))</f>
        <v/>
      </c>
      <c r="N233" s="18">
        <f>IF($F233="","",MAX($E233,K233))</f>
        <v/>
      </c>
      <c r="O233" s="19">
        <f>IF($F233="","",ROUND($C233*N233/$E233,2))</f>
        <v/>
      </c>
      <c r="P233" s="19">
        <f>IF($F233="","",ROUND($D233*N233/$E233,2))</f>
        <v/>
      </c>
      <c r="Q233" s="19">
        <f>IF($F233="","",ROUND(P233-$D233,2))</f>
        <v/>
      </c>
      <c r="R233" s="19">
        <f>IF($F233="","",ROUND(Rates!$B$8*(MAX(0,P233-Rates!$B$9)-MAX(0,$D233-Rates!$B$9)),2))</f>
        <v/>
      </c>
      <c r="S233" s="19">
        <f>IF($F233="","",ROUND(Rates!$B$10*IF(Rates!$B$11="Full",P233-$D233,MAX(0,MIN(P233,Rates!$B$13)-Rates!$B$12)-MAX(0,MIN($D233,Rates!$B$13)-Rates!$B$12)),2))</f>
        <v/>
      </c>
      <c r="T233" s="19">
        <f>IF($F233="","",ROUND(Q233+R233+S233,2))</f>
        <v/>
      </c>
    </row>
    <row r="234">
      <c r="A234" s="13" t="n"/>
      <c r="B234" s="13" t="n"/>
      <c r="C234" s="14" t="n"/>
      <c r="D234" s="14" t="n"/>
      <c r="E234" s="15" t="n"/>
      <c r="F234" s="16" t="n"/>
      <c r="G234" s="13" t="n"/>
      <c r="H234" s="13" t="n"/>
      <c r="I234" s="13" t="n"/>
      <c r="J234" s="17">
        <f>IF($F234="","",DATEDIF($F234,Rates!$B$2,"Y"))</f>
        <v/>
      </c>
      <c r="K234" s="18">
        <f>IF($F234="","",IF(UPPER($I234)="Y",Rates!$B$7,IF(J234&gt;=21,Rates!$B$4,IF(J234&gt;=18,Rates!$B$5,Rates!$B$6))))</f>
        <v/>
      </c>
      <c r="L234" s="17">
        <f>IF($F234="","",IF($E234&lt;K234,"Uplift needed","OK"))</f>
        <v/>
      </c>
      <c r="M234" s="17">
        <f>IF($F234="","",IF(AND(J234&lt;21,DATEDIF($F234,Rates!$B$3,"Y")&gt;=21),"Turns 21",IF(AND(J234&lt;18,DATEDIF($F234,Rates!$B$3,"Y")&gt;=18),"Turns 18","")))</f>
        <v/>
      </c>
      <c r="N234" s="18">
        <f>IF($F234="","",MAX($E234,K234))</f>
        <v/>
      </c>
      <c r="O234" s="19">
        <f>IF($F234="","",ROUND($C234*N234/$E234,2))</f>
        <v/>
      </c>
      <c r="P234" s="19">
        <f>IF($F234="","",ROUND($D234*N234/$E234,2))</f>
        <v/>
      </c>
      <c r="Q234" s="19">
        <f>IF($F234="","",ROUND(P234-$D234,2))</f>
        <v/>
      </c>
      <c r="R234" s="19">
        <f>IF($F234="","",ROUND(Rates!$B$8*(MAX(0,P234-Rates!$B$9)-MAX(0,$D234-Rates!$B$9)),2))</f>
        <v/>
      </c>
      <c r="S234" s="19">
        <f>IF($F234="","",ROUND(Rates!$B$10*IF(Rates!$B$11="Full",P234-$D234,MAX(0,MIN(P234,Rates!$B$13)-Rates!$B$12)-MAX(0,MIN($D234,Rates!$B$13)-Rates!$B$12)),2))</f>
        <v/>
      </c>
      <c r="T234" s="19">
        <f>IF($F234="","",ROUND(Q234+R234+S234,2))</f>
        <v/>
      </c>
    </row>
    <row r="235">
      <c r="A235" s="13" t="n"/>
      <c r="B235" s="13" t="n"/>
      <c r="C235" s="14" t="n"/>
      <c r="D235" s="14" t="n"/>
      <c r="E235" s="15" t="n"/>
      <c r="F235" s="16" t="n"/>
      <c r="G235" s="13" t="n"/>
      <c r="H235" s="13" t="n"/>
      <c r="I235" s="13" t="n"/>
      <c r="J235" s="17">
        <f>IF($F235="","",DATEDIF($F235,Rates!$B$2,"Y"))</f>
        <v/>
      </c>
      <c r="K235" s="18">
        <f>IF($F235="","",IF(UPPER($I235)="Y",Rates!$B$7,IF(J235&gt;=21,Rates!$B$4,IF(J235&gt;=18,Rates!$B$5,Rates!$B$6))))</f>
        <v/>
      </c>
      <c r="L235" s="17">
        <f>IF($F235="","",IF($E235&lt;K235,"Uplift needed","OK"))</f>
        <v/>
      </c>
      <c r="M235" s="17">
        <f>IF($F235="","",IF(AND(J235&lt;21,DATEDIF($F235,Rates!$B$3,"Y")&gt;=21),"Turns 21",IF(AND(J235&lt;18,DATEDIF($F235,Rates!$B$3,"Y")&gt;=18),"Turns 18","")))</f>
        <v/>
      </c>
      <c r="N235" s="18">
        <f>IF($F235="","",MAX($E235,K235))</f>
        <v/>
      </c>
      <c r="O235" s="19">
        <f>IF($F235="","",ROUND($C235*N235/$E235,2))</f>
        <v/>
      </c>
      <c r="P235" s="19">
        <f>IF($F235="","",ROUND($D235*N235/$E235,2))</f>
        <v/>
      </c>
      <c r="Q235" s="19">
        <f>IF($F235="","",ROUND(P235-$D235,2))</f>
        <v/>
      </c>
      <c r="R235" s="19">
        <f>IF($F235="","",ROUND(Rates!$B$8*(MAX(0,P235-Rates!$B$9)-MAX(0,$D235-Rates!$B$9)),2))</f>
        <v/>
      </c>
      <c r="S235" s="19">
        <f>IF($F235="","",ROUND(Rates!$B$10*IF(Rates!$B$11="Full",P235-$D235,MAX(0,MIN(P235,Rates!$B$13)-Rates!$B$12)-MAX(0,MIN($D235,Rates!$B$13)-Rates!$B$12)),2))</f>
        <v/>
      </c>
      <c r="T235" s="19">
        <f>IF($F235="","",ROUND(Q235+R235+S235,2))</f>
        <v/>
      </c>
    </row>
    <row r="236">
      <c r="A236" s="13" t="n"/>
      <c r="B236" s="13" t="n"/>
      <c r="C236" s="14" t="n"/>
      <c r="D236" s="14" t="n"/>
      <c r="E236" s="15" t="n"/>
      <c r="F236" s="16" t="n"/>
      <c r="G236" s="13" t="n"/>
      <c r="H236" s="13" t="n"/>
      <c r="I236" s="13" t="n"/>
      <c r="J236" s="17">
        <f>IF($F236="","",DATEDIF($F236,Rates!$B$2,"Y"))</f>
        <v/>
      </c>
      <c r="K236" s="18">
        <f>IF($F236="","",IF(UPPER($I236)="Y",Rates!$B$7,IF(J236&gt;=21,Rates!$B$4,IF(J236&gt;=18,Rates!$B$5,Rates!$B$6))))</f>
        <v/>
      </c>
      <c r="L236" s="17">
        <f>IF($F236="","",IF($E236&lt;K236,"Uplift needed","OK"))</f>
        <v/>
      </c>
      <c r="M236" s="17">
        <f>IF($F236="","",IF(AND(J236&lt;21,DATEDIF($F236,Rates!$B$3,"Y")&gt;=21),"Turns 21",IF(AND(J236&lt;18,DATEDIF($F236,Rates!$B$3,"Y")&gt;=18),"Turns 18","")))</f>
        <v/>
      </c>
      <c r="N236" s="18">
        <f>IF($F236="","",MAX($E236,K236))</f>
        <v/>
      </c>
      <c r="O236" s="19">
        <f>IF($F236="","",ROUND($C236*N236/$E236,2))</f>
        <v/>
      </c>
      <c r="P236" s="19">
        <f>IF($F236="","",ROUND($D236*N236/$E236,2))</f>
        <v/>
      </c>
      <c r="Q236" s="19">
        <f>IF($F236="","",ROUND(P236-$D236,2))</f>
        <v/>
      </c>
      <c r="R236" s="19">
        <f>IF($F236="","",ROUND(Rates!$B$8*(MAX(0,P236-Rates!$B$9)-MAX(0,$D236-Rates!$B$9)),2))</f>
        <v/>
      </c>
      <c r="S236" s="19">
        <f>IF($F236="","",ROUND(Rates!$B$10*IF(Rates!$B$11="Full",P236-$D236,MAX(0,MIN(P236,Rates!$B$13)-Rates!$B$12)-MAX(0,MIN($D236,Rates!$B$13)-Rates!$B$12)),2))</f>
        <v/>
      </c>
      <c r="T236" s="19">
        <f>IF($F236="","",ROUND(Q236+R236+S236,2))</f>
        <v/>
      </c>
    </row>
    <row r="237">
      <c r="A237" s="13" t="n"/>
      <c r="B237" s="13" t="n"/>
      <c r="C237" s="14" t="n"/>
      <c r="D237" s="14" t="n"/>
      <c r="E237" s="15" t="n"/>
      <c r="F237" s="16" t="n"/>
      <c r="G237" s="13" t="n"/>
      <c r="H237" s="13" t="n"/>
      <c r="I237" s="13" t="n"/>
      <c r="J237" s="17">
        <f>IF($F237="","",DATEDIF($F237,Rates!$B$2,"Y"))</f>
        <v/>
      </c>
      <c r="K237" s="18">
        <f>IF($F237="","",IF(UPPER($I237)="Y",Rates!$B$7,IF(J237&gt;=21,Rates!$B$4,IF(J237&gt;=18,Rates!$B$5,Rates!$B$6))))</f>
        <v/>
      </c>
      <c r="L237" s="17">
        <f>IF($F237="","",IF($E237&lt;K237,"Uplift needed","OK"))</f>
        <v/>
      </c>
      <c r="M237" s="17">
        <f>IF($F237="","",IF(AND(J237&lt;21,DATEDIF($F237,Rates!$B$3,"Y")&gt;=21),"Turns 21",IF(AND(J237&lt;18,DATEDIF($F237,Rates!$B$3,"Y")&gt;=18),"Turns 18","")))</f>
        <v/>
      </c>
      <c r="N237" s="18">
        <f>IF($F237="","",MAX($E237,K237))</f>
        <v/>
      </c>
      <c r="O237" s="19">
        <f>IF($F237="","",ROUND($C237*N237/$E237,2))</f>
        <v/>
      </c>
      <c r="P237" s="19">
        <f>IF($F237="","",ROUND($D237*N237/$E237,2))</f>
        <v/>
      </c>
      <c r="Q237" s="19">
        <f>IF($F237="","",ROUND(P237-$D237,2))</f>
        <v/>
      </c>
      <c r="R237" s="19">
        <f>IF($F237="","",ROUND(Rates!$B$8*(MAX(0,P237-Rates!$B$9)-MAX(0,$D237-Rates!$B$9)),2))</f>
        <v/>
      </c>
      <c r="S237" s="19">
        <f>IF($F237="","",ROUND(Rates!$B$10*IF(Rates!$B$11="Full",P237-$D237,MAX(0,MIN(P237,Rates!$B$13)-Rates!$B$12)-MAX(0,MIN($D237,Rates!$B$13)-Rates!$B$12)),2))</f>
        <v/>
      </c>
      <c r="T237" s="19">
        <f>IF($F237="","",ROUND(Q237+R237+S237,2))</f>
        <v/>
      </c>
    </row>
    <row r="238">
      <c r="A238" s="13" t="n"/>
      <c r="B238" s="13" t="n"/>
      <c r="C238" s="14" t="n"/>
      <c r="D238" s="14" t="n"/>
      <c r="E238" s="15" t="n"/>
      <c r="F238" s="16" t="n"/>
      <c r="G238" s="13" t="n"/>
      <c r="H238" s="13" t="n"/>
      <c r="I238" s="13" t="n"/>
      <c r="J238" s="17">
        <f>IF($F238="","",DATEDIF($F238,Rates!$B$2,"Y"))</f>
        <v/>
      </c>
      <c r="K238" s="18">
        <f>IF($F238="","",IF(UPPER($I238)="Y",Rates!$B$7,IF(J238&gt;=21,Rates!$B$4,IF(J238&gt;=18,Rates!$B$5,Rates!$B$6))))</f>
        <v/>
      </c>
      <c r="L238" s="17">
        <f>IF($F238="","",IF($E238&lt;K238,"Uplift needed","OK"))</f>
        <v/>
      </c>
      <c r="M238" s="17">
        <f>IF($F238="","",IF(AND(J238&lt;21,DATEDIF($F238,Rates!$B$3,"Y")&gt;=21),"Turns 21",IF(AND(J238&lt;18,DATEDIF($F238,Rates!$B$3,"Y")&gt;=18),"Turns 18","")))</f>
        <v/>
      </c>
      <c r="N238" s="18">
        <f>IF($F238="","",MAX($E238,K238))</f>
        <v/>
      </c>
      <c r="O238" s="19">
        <f>IF($F238="","",ROUND($C238*N238/$E238,2))</f>
        <v/>
      </c>
      <c r="P238" s="19">
        <f>IF($F238="","",ROUND($D238*N238/$E238,2))</f>
        <v/>
      </c>
      <c r="Q238" s="19">
        <f>IF($F238="","",ROUND(P238-$D238,2))</f>
        <v/>
      </c>
      <c r="R238" s="19">
        <f>IF($F238="","",ROUND(Rates!$B$8*(MAX(0,P238-Rates!$B$9)-MAX(0,$D238-Rates!$B$9)),2))</f>
        <v/>
      </c>
      <c r="S238" s="19">
        <f>IF($F238="","",ROUND(Rates!$B$10*IF(Rates!$B$11="Full",P238-$D238,MAX(0,MIN(P238,Rates!$B$13)-Rates!$B$12)-MAX(0,MIN($D238,Rates!$B$13)-Rates!$B$12)),2))</f>
        <v/>
      </c>
      <c r="T238" s="19">
        <f>IF($F238="","",ROUND(Q238+R238+S238,2))</f>
        <v/>
      </c>
    </row>
    <row r="239">
      <c r="A239" s="13" t="n"/>
      <c r="B239" s="13" t="n"/>
      <c r="C239" s="14" t="n"/>
      <c r="D239" s="14" t="n"/>
      <c r="E239" s="15" t="n"/>
      <c r="F239" s="16" t="n"/>
      <c r="G239" s="13" t="n"/>
      <c r="H239" s="13" t="n"/>
      <c r="I239" s="13" t="n"/>
      <c r="J239" s="17">
        <f>IF($F239="","",DATEDIF($F239,Rates!$B$2,"Y"))</f>
        <v/>
      </c>
      <c r="K239" s="18">
        <f>IF($F239="","",IF(UPPER($I239)="Y",Rates!$B$7,IF(J239&gt;=21,Rates!$B$4,IF(J239&gt;=18,Rates!$B$5,Rates!$B$6))))</f>
        <v/>
      </c>
      <c r="L239" s="17">
        <f>IF($F239="","",IF($E239&lt;K239,"Uplift needed","OK"))</f>
        <v/>
      </c>
      <c r="M239" s="17">
        <f>IF($F239="","",IF(AND(J239&lt;21,DATEDIF($F239,Rates!$B$3,"Y")&gt;=21),"Turns 21",IF(AND(J239&lt;18,DATEDIF($F239,Rates!$B$3,"Y")&gt;=18),"Turns 18","")))</f>
        <v/>
      </c>
      <c r="N239" s="18">
        <f>IF($F239="","",MAX($E239,K239))</f>
        <v/>
      </c>
      <c r="O239" s="19">
        <f>IF($F239="","",ROUND($C239*N239/$E239,2))</f>
        <v/>
      </c>
      <c r="P239" s="19">
        <f>IF($F239="","",ROUND($D239*N239/$E239,2))</f>
        <v/>
      </c>
      <c r="Q239" s="19">
        <f>IF($F239="","",ROUND(P239-$D239,2))</f>
        <v/>
      </c>
      <c r="R239" s="19">
        <f>IF($F239="","",ROUND(Rates!$B$8*(MAX(0,P239-Rates!$B$9)-MAX(0,$D239-Rates!$B$9)),2))</f>
        <v/>
      </c>
      <c r="S239" s="19">
        <f>IF($F239="","",ROUND(Rates!$B$10*IF(Rates!$B$11="Full",P239-$D239,MAX(0,MIN(P239,Rates!$B$13)-Rates!$B$12)-MAX(0,MIN($D239,Rates!$B$13)-Rates!$B$12)),2))</f>
        <v/>
      </c>
      <c r="T239" s="19">
        <f>IF($F239="","",ROUND(Q239+R239+S239,2))</f>
        <v/>
      </c>
    </row>
    <row r="240">
      <c r="A240" s="13" t="n"/>
      <c r="B240" s="13" t="n"/>
      <c r="C240" s="14" t="n"/>
      <c r="D240" s="14" t="n"/>
      <c r="E240" s="15" t="n"/>
      <c r="F240" s="16" t="n"/>
      <c r="G240" s="13" t="n"/>
      <c r="H240" s="13" t="n"/>
      <c r="I240" s="13" t="n"/>
      <c r="J240" s="17">
        <f>IF($F240="","",DATEDIF($F240,Rates!$B$2,"Y"))</f>
        <v/>
      </c>
      <c r="K240" s="18">
        <f>IF($F240="","",IF(UPPER($I240)="Y",Rates!$B$7,IF(J240&gt;=21,Rates!$B$4,IF(J240&gt;=18,Rates!$B$5,Rates!$B$6))))</f>
        <v/>
      </c>
      <c r="L240" s="17">
        <f>IF($F240="","",IF($E240&lt;K240,"Uplift needed","OK"))</f>
        <v/>
      </c>
      <c r="M240" s="17">
        <f>IF($F240="","",IF(AND(J240&lt;21,DATEDIF($F240,Rates!$B$3,"Y")&gt;=21),"Turns 21",IF(AND(J240&lt;18,DATEDIF($F240,Rates!$B$3,"Y")&gt;=18),"Turns 18","")))</f>
        <v/>
      </c>
      <c r="N240" s="18">
        <f>IF($F240="","",MAX($E240,K240))</f>
        <v/>
      </c>
      <c r="O240" s="19">
        <f>IF($F240="","",ROUND($C240*N240/$E240,2))</f>
        <v/>
      </c>
      <c r="P240" s="19">
        <f>IF($F240="","",ROUND($D240*N240/$E240,2))</f>
        <v/>
      </c>
      <c r="Q240" s="19">
        <f>IF($F240="","",ROUND(P240-$D240,2))</f>
        <v/>
      </c>
      <c r="R240" s="19">
        <f>IF($F240="","",ROUND(Rates!$B$8*(MAX(0,P240-Rates!$B$9)-MAX(0,$D240-Rates!$B$9)),2))</f>
        <v/>
      </c>
      <c r="S240" s="19">
        <f>IF($F240="","",ROUND(Rates!$B$10*IF(Rates!$B$11="Full",P240-$D240,MAX(0,MIN(P240,Rates!$B$13)-Rates!$B$12)-MAX(0,MIN($D240,Rates!$B$13)-Rates!$B$12)),2))</f>
        <v/>
      </c>
      <c r="T240" s="19">
        <f>IF($F240="","",ROUND(Q240+R240+S240,2))</f>
        <v/>
      </c>
    </row>
    <row r="241">
      <c r="A241" s="13" t="n"/>
      <c r="B241" s="13" t="n"/>
      <c r="C241" s="14" t="n"/>
      <c r="D241" s="14" t="n"/>
      <c r="E241" s="15" t="n"/>
      <c r="F241" s="16" t="n"/>
      <c r="G241" s="13" t="n"/>
      <c r="H241" s="13" t="n"/>
      <c r="I241" s="13" t="n"/>
      <c r="J241" s="17">
        <f>IF($F241="","",DATEDIF($F241,Rates!$B$2,"Y"))</f>
        <v/>
      </c>
      <c r="K241" s="18">
        <f>IF($F241="","",IF(UPPER($I241)="Y",Rates!$B$7,IF(J241&gt;=21,Rates!$B$4,IF(J241&gt;=18,Rates!$B$5,Rates!$B$6))))</f>
        <v/>
      </c>
      <c r="L241" s="17">
        <f>IF($F241="","",IF($E241&lt;K241,"Uplift needed","OK"))</f>
        <v/>
      </c>
      <c r="M241" s="17">
        <f>IF($F241="","",IF(AND(J241&lt;21,DATEDIF($F241,Rates!$B$3,"Y")&gt;=21),"Turns 21",IF(AND(J241&lt;18,DATEDIF($F241,Rates!$B$3,"Y")&gt;=18),"Turns 18","")))</f>
        <v/>
      </c>
      <c r="N241" s="18">
        <f>IF($F241="","",MAX($E241,K241))</f>
        <v/>
      </c>
      <c r="O241" s="19">
        <f>IF($F241="","",ROUND($C241*N241/$E241,2))</f>
        <v/>
      </c>
      <c r="P241" s="19">
        <f>IF($F241="","",ROUND($D241*N241/$E241,2))</f>
        <v/>
      </c>
      <c r="Q241" s="19">
        <f>IF($F241="","",ROUND(P241-$D241,2))</f>
        <v/>
      </c>
      <c r="R241" s="19">
        <f>IF($F241="","",ROUND(Rates!$B$8*(MAX(0,P241-Rates!$B$9)-MAX(0,$D241-Rates!$B$9)),2))</f>
        <v/>
      </c>
      <c r="S241" s="19">
        <f>IF($F241="","",ROUND(Rates!$B$10*IF(Rates!$B$11="Full",P241-$D241,MAX(0,MIN(P241,Rates!$B$13)-Rates!$B$12)-MAX(0,MIN($D241,Rates!$B$13)-Rates!$B$12)),2))</f>
        <v/>
      </c>
      <c r="T241" s="19">
        <f>IF($F241="","",ROUND(Q241+R241+S241,2))</f>
        <v/>
      </c>
    </row>
    <row r="242">
      <c r="A242" s="13" t="n"/>
      <c r="B242" s="13" t="n"/>
      <c r="C242" s="14" t="n"/>
      <c r="D242" s="14" t="n"/>
      <c r="E242" s="15" t="n"/>
      <c r="F242" s="16" t="n"/>
      <c r="G242" s="13" t="n"/>
      <c r="H242" s="13" t="n"/>
      <c r="I242" s="13" t="n"/>
      <c r="J242" s="17">
        <f>IF($F242="","",DATEDIF($F242,Rates!$B$2,"Y"))</f>
        <v/>
      </c>
      <c r="K242" s="18">
        <f>IF($F242="","",IF(UPPER($I242)="Y",Rates!$B$7,IF(J242&gt;=21,Rates!$B$4,IF(J242&gt;=18,Rates!$B$5,Rates!$B$6))))</f>
        <v/>
      </c>
      <c r="L242" s="17">
        <f>IF($F242="","",IF($E242&lt;K242,"Uplift needed","OK"))</f>
        <v/>
      </c>
      <c r="M242" s="17">
        <f>IF($F242="","",IF(AND(J242&lt;21,DATEDIF($F242,Rates!$B$3,"Y")&gt;=21),"Turns 21",IF(AND(J242&lt;18,DATEDIF($F242,Rates!$B$3,"Y")&gt;=18),"Turns 18","")))</f>
        <v/>
      </c>
      <c r="N242" s="18">
        <f>IF($F242="","",MAX($E242,K242))</f>
        <v/>
      </c>
      <c r="O242" s="19">
        <f>IF($F242="","",ROUND($C242*N242/$E242,2))</f>
        <v/>
      </c>
      <c r="P242" s="19">
        <f>IF($F242="","",ROUND($D242*N242/$E242,2))</f>
        <v/>
      </c>
      <c r="Q242" s="19">
        <f>IF($F242="","",ROUND(P242-$D242,2))</f>
        <v/>
      </c>
      <c r="R242" s="19">
        <f>IF($F242="","",ROUND(Rates!$B$8*(MAX(0,P242-Rates!$B$9)-MAX(0,$D242-Rates!$B$9)),2))</f>
        <v/>
      </c>
      <c r="S242" s="19">
        <f>IF($F242="","",ROUND(Rates!$B$10*IF(Rates!$B$11="Full",P242-$D242,MAX(0,MIN(P242,Rates!$B$13)-Rates!$B$12)-MAX(0,MIN($D242,Rates!$B$13)-Rates!$B$12)),2))</f>
        <v/>
      </c>
      <c r="T242" s="19">
        <f>IF($F242="","",ROUND(Q242+R242+S242,2))</f>
        <v/>
      </c>
    </row>
    <row r="243">
      <c r="A243" s="13" t="n"/>
      <c r="B243" s="13" t="n"/>
      <c r="C243" s="14" t="n"/>
      <c r="D243" s="14" t="n"/>
      <c r="E243" s="15" t="n"/>
      <c r="F243" s="16" t="n"/>
      <c r="G243" s="13" t="n"/>
      <c r="H243" s="13" t="n"/>
      <c r="I243" s="13" t="n"/>
      <c r="J243" s="17">
        <f>IF($F243="","",DATEDIF($F243,Rates!$B$2,"Y"))</f>
        <v/>
      </c>
      <c r="K243" s="18">
        <f>IF($F243="","",IF(UPPER($I243)="Y",Rates!$B$7,IF(J243&gt;=21,Rates!$B$4,IF(J243&gt;=18,Rates!$B$5,Rates!$B$6))))</f>
        <v/>
      </c>
      <c r="L243" s="17">
        <f>IF($F243="","",IF($E243&lt;K243,"Uplift needed","OK"))</f>
        <v/>
      </c>
      <c r="M243" s="17">
        <f>IF($F243="","",IF(AND(J243&lt;21,DATEDIF($F243,Rates!$B$3,"Y")&gt;=21),"Turns 21",IF(AND(J243&lt;18,DATEDIF($F243,Rates!$B$3,"Y")&gt;=18),"Turns 18","")))</f>
        <v/>
      </c>
      <c r="N243" s="18">
        <f>IF($F243="","",MAX($E243,K243))</f>
        <v/>
      </c>
      <c r="O243" s="19">
        <f>IF($F243="","",ROUND($C243*N243/$E243,2))</f>
        <v/>
      </c>
      <c r="P243" s="19">
        <f>IF($F243="","",ROUND($D243*N243/$E243,2))</f>
        <v/>
      </c>
      <c r="Q243" s="19">
        <f>IF($F243="","",ROUND(P243-$D243,2))</f>
        <v/>
      </c>
      <c r="R243" s="19">
        <f>IF($F243="","",ROUND(Rates!$B$8*(MAX(0,P243-Rates!$B$9)-MAX(0,$D243-Rates!$B$9)),2))</f>
        <v/>
      </c>
      <c r="S243" s="19">
        <f>IF($F243="","",ROUND(Rates!$B$10*IF(Rates!$B$11="Full",P243-$D243,MAX(0,MIN(P243,Rates!$B$13)-Rates!$B$12)-MAX(0,MIN($D243,Rates!$B$13)-Rates!$B$12)),2))</f>
        <v/>
      </c>
      <c r="T243" s="19">
        <f>IF($F243="","",ROUND(Q243+R243+S243,2))</f>
        <v/>
      </c>
    </row>
    <row r="244">
      <c r="A244" s="13" t="n"/>
      <c r="B244" s="13" t="n"/>
      <c r="C244" s="14" t="n"/>
      <c r="D244" s="14" t="n"/>
      <c r="E244" s="15" t="n"/>
      <c r="F244" s="16" t="n"/>
      <c r="G244" s="13" t="n"/>
      <c r="H244" s="13" t="n"/>
      <c r="I244" s="13" t="n"/>
      <c r="J244" s="17">
        <f>IF($F244="","",DATEDIF($F244,Rates!$B$2,"Y"))</f>
        <v/>
      </c>
      <c r="K244" s="18">
        <f>IF($F244="","",IF(UPPER($I244)="Y",Rates!$B$7,IF(J244&gt;=21,Rates!$B$4,IF(J244&gt;=18,Rates!$B$5,Rates!$B$6))))</f>
        <v/>
      </c>
      <c r="L244" s="17">
        <f>IF($F244="","",IF($E244&lt;K244,"Uplift needed","OK"))</f>
        <v/>
      </c>
      <c r="M244" s="17">
        <f>IF($F244="","",IF(AND(J244&lt;21,DATEDIF($F244,Rates!$B$3,"Y")&gt;=21),"Turns 21",IF(AND(J244&lt;18,DATEDIF($F244,Rates!$B$3,"Y")&gt;=18),"Turns 18","")))</f>
        <v/>
      </c>
      <c r="N244" s="18">
        <f>IF($F244="","",MAX($E244,K244))</f>
        <v/>
      </c>
      <c r="O244" s="19">
        <f>IF($F244="","",ROUND($C244*N244/$E244,2))</f>
        <v/>
      </c>
      <c r="P244" s="19">
        <f>IF($F244="","",ROUND($D244*N244/$E244,2))</f>
        <v/>
      </c>
      <c r="Q244" s="19">
        <f>IF($F244="","",ROUND(P244-$D244,2))</f>
        <v/>
      </c>
      <c r="R244" s="19">
        <f>IF($F244="","",ROUND(Rates!$B$8*(MAX(0,P244-Rates!$B$9)-MAX(0,$D244-Rates!$B$9)),2))</f>
        <v/>
      </c>
      <c r="S244" s="19">
        <f>IF($F244="","",ROUND(Rates!$B$10*IF(Rates!$B$11="Full",P244-$D244,MAX(0,MIN(P244,Rates!$B$13)-Rates!$B$12)-MAX(0,MIN($D244,Rates!$B$13)-Rates!$B$12)),2))</f>
        <v/>
      </c>
      <c r="T244" s="19">
        <f>IF($F244="","",ROUND(Q244+R244+S244,2))</f>
        <v/>
      </c>
    </row>
    <row r="245">
      <c r="A245" s="13" t="n"/>
      <c r="B245" s="13" t="n"/>
      <c r="C245" s="14" t="n"/>
      <c r="D245" s="14" t="n"/>
      <c r="E245" s="15" t="n"/>
      <c r="F245" s="16" t="n"/>
      <c r="G245" s="13" t="n"/>
      <c r="H245" s="13" t="n"/>
      <c r="I245" s="13" t="n"/>
      <c r="J245" s="17">
        <f>IF($F245="","",DATEDIF($F245,Rates!$B$2,"Y"))</f>
        <v/>
      </c>
      <c r="K245" s="18">
        <f>IF($F245="","",IF(UPPER($I245)="Y",Rates!$B$7,IF(J245&gt;=21,Rates!$B$4,IF(J245&gt;=18,Rates!$B$5,Rates!$B$6))))</f>
        <v/>
      </c>
      <c r="L245" s="17">
        <f>IF($F245="","",IF($E245&lt;K245,"Uplift needed","OK"))</f>
        <v/>
      </c>
      <c r="M245" s="17">
        <f>IF($F245="","",IF(AND(J245&lt;21,DATEDIF($F245,Rates!$B$3,"Y")&gt;=21),"Turns 21",IF(AND(J245&lt;18,DATEDIF($F245,Rates!$B$3,"Y")&gt;=18),"Turns 18","")))</f>
        <v/>
      </c>
      <c r="N245" s="18">
        <f>IF($F245="","",MAX($E245,K245))</f>
        <v/>
      </c>
      <c r="O245" s="19">
        <f>IF($F245="","",ROUND($C245*N245/$E245,2))</f>
        <v/>
      </c>
      <c r="P245" s="19">
        <f>IF($F245="","",ROUND($D245*N245/$E245,2))</f>
        <v/>
      </c>
      <c r="Q245" s="19">
        <f>IF($F245="","",ROUND(P245-$D245,2))</f>
        <v/>
      </c>
      <c r="R245" s="19">
        <f>IF($F245="","",ROUND(Rates!$B$8*(MAX(0,P245-Rates!$B$9)-MAX(0,$D245-Rates!$B$9)),2))</f>
        <v/>
      </c>
      <c r="S245" s="19">
        <f>IF($F245="","",ROUND(Rates!$B$10*IF(Rates!$B$11="Full",P245-$D245,MAX(0,MIN(P245,Rates!$B$13)-Rates!$B$12)-MAX(0,MIN($D245,Rates!$B$13)-Rates!$B$12)),2))</f>
        <v/>
      </c>
      <c r="T245" s="19">
        <f>IF($F245="","",ROUND(Q245+R245+S245,2))</f>
        <v/>
      </c>
    </row>
    <row r="246">
      <c r="A246" s="13" t="n"/>
      <c r="B246" s="13" t="n"/>
      <c r="C246" s="14" t="n"/>
      <c r="D246" s="14" t="n"/>
      <c r="E246" s="15" t="n"/>
      <c r="F246" s="16" t="n"/>
      <c r="G246" s="13" t="n"/>
      <c r="H246" s="13" t="n"/>
      <c r="I246" s="13" t="n"/>
      <c r="J246" s="17">
        <f>IF($F246="","",DATEDIF($F246,Rates!$B$2,"Y"))</f>
        <v/>
      </c>
      <c r="K246" s="18">
        <f>IF($F246="","",IF(UPPER($I246)="Y",Rates!$B$7,IF(J246&gt;=21,Rates!$B$4,IF(J246&gt;=18,Rates!$B$5,Rates!$B$6))))</f>
        <v/>
      </c>
      <c r="L246" s="17">
        <f>IF($F246="","",IF($E246&lt;K246,"Uplift needed","OK"))</f>
        <v/>
      </c>
      <c r="M246" s="17">
        <f>IF($F246="","",IF(AND(J246&lt;21,DATEDIF($F246,Rates!$B$3,"Y")&gt;=21),"Turns 21",IF(AND(J246&lt;18,DATEDIF($F246,Rates!$B$3,"Y")&gt;=18),"Turns 18","")))</f>
        <v/>
      </c>
      <c r="N246" s="18">
        <f>IF($F246="","",MAX($E246,K246))</f>
        <v/>
      </c>
      <c r="O246" s="19">
        <f>IF($F246="","",ROUND($C246*N246/$E246,2))</f>
        <v/>
      </c>
      <c r="P246" s="19">
        <f>IF($F246="","",ROUND($D246*N246/$E246,2))</f>
        <v/>
      </c>
      <c r="Q246" s="19">
        <f>IF($F246="","",ROUND(P246-$D246,2))</f>
        <v/>
      </c>
      <c r="R246" s="19">
        <f>IF($F246="","",ROUND(Rates!$B$8*(MAX(0,P246-Rates!$B$9)-MAX(0,$D246-Rates!$B$9)),2))</f>
        <v/>
      </c>
      <c r="S246" s="19">
        <f>IF($F246="","",ROUND(Rates!$B$10*IF(Rates!$B$11="Full",P246-$D246,MAX(0,MIN(P246,Rates!$B$13)-Rates!$B$12)-MAX(0,MIN($D246,Rates!$B$13)-Rates!$B$12)),2))</f>
        <v/>
      </c>
      <c r="T246" s="19">
        <f>IF($F246="","",ROUND(Q246+R246+S246,2))</f>
        <v/>
      </c>
    </row>
    <row r="247">
      <c r="A247" s="13" t="n"/>
      <c r="B247" s="13" t="n"/>
      <c r="C247" s="14" t="n"/>
      <c r="D247" s="14" t="n"/>
      <c r="E247" s="15" t="n"/>
      <c r="F247" s="16" t="n"/>
      <c r="G247" s="13" t="n"/>
      <c r="H247" s="13" t="n"/>
      <c r="I247" s="13" t="n"/>
      <c r="J247" s="17">
        <f>IF($F247="","",DATEDIF($F247,Rates!$B$2,"Y"))</f>
        <v/>
      </c>
      <c r="K247" s="18">
        <f>IF($F247="","",IF(UPPER($I247)="Y",Rates!$B$7,IF(J247&gt;=21,Rates!$B$4,IF(J247&gt;=18,Rates!$B$5,Rates!$B$6))))</f>
        <v/>
      </c>
      <c r="L247" s="17">
        <f>IF($F247="","",IF($E247&lt;K247,"Uplift needed","OK"))</f>
        <v/>
      </c>
      <c r="M247" s="17">
        <f>IF($F247="","",IF(AND(J247&lt;21,DATEDIF($F247,Rates!$B$3,"Y")&gt;=21),"Turns 21",IF(AND(J247&lt;18,DATEDIF($F247,Rates!$B$3,"Y")&gt;=18),"Turns 18","")))</f>
        <v/>
      </c>
      <c r="N247" s="18">
        <f>IF($F247="","",MAX($E247,K247))</f>
        <v/>
      </c>
      <c r="O247" s="19">
        <f>IF($F247="","",ROUND($C247*N247/$E247,2))</f>
        <v/>
      </c>
      <c r="P247" s="19">
        <f>IF($F247="","",ROUND($D247*N247/$E247,2))</f>
        <v/>
      </c>
      <c r="Q247" s="19">
        <f>IF($F247="","",ROUND(P247-$D247,2))</f>
        <v/>
      </c>
      <c r="R247" s="19">
        <f>IF($F247="","",ROUND(Rates!$B$8*(MAX(0,P247-Rates!$B$9)-MAX(0,$D247-Rates!$B$9)),2))</f>
        <v/>
      </c>
      <c r="S247" s="19">
        <f>IF($F247="","",ROUND(Rates!$B$10*IF(Rates!$B$11="Full",P247-$D247,MAX(0,MIN(P247,Rates!$B$13)-Rates!$B$12)-MAX(0,MIN($D247,Rates!$B$13)-Rates!$B$12)),2))</f>
        <v/>
      </c>
      <c r="T247" s="19">
        <f>IF($F247="","",ROUND(Q247+R247+S247,2))</f>
        <v/>
      </c>
    </row>
    <row r="248">
      <c r="A248" s="13" t="n"/>
      <c r="B248" s="13" t="n"/>
      <c r="C248" s="14" t="n"/>
      <c r="D248" s="14" t="n"/>
      <c r="E248" s="15" t="n"/>
      <c r="F248" s="16" t="n"/>
      <c r="G248" s="13" t="n"/>
      <c r="H248" s="13" t="n"/>
      <c r="I248" s="13" t="n"/>
      <c r="J248" s="17">
        <f>IF($F248="","",DATEDIF($F248,Rates!$B$2,"Y"))</f>
        <v/>
      </c>
      <c r="K248" s="18">
        <f>IF($F248="","",IF(UPPER($I248)="Y",Rates!$B$7,IF(J248&gt;=21,Rates!$B$4,IF(J248&gt;=18,Rates!$B$5,Rates!$B$6))))</f>
        <v/>
      </c>
      <c r="L248" s="17">
        <f>IF($F248="","",IF($E248&lt;K248,"Uplift needed","OK"))</f>
        <v/>
      </c>
      <c r="M248" s="17">
        <f>IF($F248="","",IF(AND(J248&lt;21,DATEDIF($F248,Rates!$B$3,"Y")&gt;=21),"Turns 21",IF(AND(J248&lt;18,DATEDIF($F248,Rates!$B$3,"Y")&gt;=18),"Turns 18","")))</f>
        <v/>
      </c>
      <c r="N248" s="18">
        <f>IF($F248="","",MAX($E248,K248))</f>
        <v/>
      </c>
      <c r="O248" s="19">
        <f>IF($F248="","",ROUND($C248*N248/$E248,2))</f>
        <v/>
      </c>
      <c r="P248" s="19">
        <f>IF($F248="","",ROUND($D248*N248/$E248,2))</f>
        <v/>
      </c>
      <c r="Q248" s="19">
        <f>IF($F248="","",ROUND(P248-$D248,2))</f>
        <v/>
      </c>
      <c r="R248" s="19">
        <f>IF($F248="","",ROUND(Rates!$B$8*(MAX(0,P248-Rates!$B$9)-MAX(0,$D248-Rates!$B$9)),2))</f>
        <v/>
      </c>
      <c r="S248" s="19">
        <f>IF($F248="","",ROUND(Rates!$B$10*IF(Rates!$B$11="Full",P248-$D248,MAX(0,MIN(P248,Rates!$B$13)-Rates!$B$12)-MAX(0,MIN($D248,Rates!$B$13)-Rates!$B$12)),2))</f>
        <v/>
      </c>
      <c r="T248" s="19">
        <f>IF($F248="","",ROUND(Q248+R248+S248,2))</f>
        <v/>
      </c>
    </row>
    <row r="249">
      <c r="A249" s="13" t="n"/>
      <c r="B249" s="13" t="n"/>
      <c r="C249" s="14" t="n"/>
      <c r="D249" s="14" t="n"/>
      <c r="E249" s="15" t="n"/>
      <c r="F249" s="16" t="n"/>
      <c r="G249" s="13" t="n"/>
      <c r="H249" s="13" t="n"/>
      <c r="I249" s="13" t="n"/>
      <c r="J249" s="17">
        <f>IF($F249="","",DATEDIF($F249,Rates!$B$2,"Y"))</f>
        <v/>
      </c>
      <c r="K249" s="18">
        <f>IF($F249="","",IF(UPPER($I249)="Y",Rates!$B$7,IF(J249&gt;=21,Rates!$B$4,IF(J249&gt;=18,Rates!$B$5,Rates!$B$6))))</f>
        <v/>
      </c>
      <c r="L249" s="17">
        <f>IF($F249="","",IF($E249&lt;K249,"Uplift needed","OK"))</f>
        <v/>
      </c>
      <c r="M249" s="17">
        <f>IF($F249="","",IF(AND(J249&lt;21,DATEDIF($F249,Rates!$B$3,"Y")&gt;=21),"Turns 21",IF(AND(J249&lt;18,DATEDIF($F249,Rates!$B$3,"Y")&gt;=18),"Turns 18","")))</f>
        <v/>
      </c>
      <c r="N249" s="18">
        <f>IF($F249="","",MAX($E249,K249))</f>
        <v/>
      </c>
      <c r="O249" s="19">
        <f>IF($F249="","",ROUND($C249*N249/$E249,2))</f>
        <v/>
      </c>
      <c r="P249" s="19">
        <f>IF($F249="","",ROUND($D249*N249/$E249,2))</f>
        <v/>
      </c>
      <c r="Q249" s="19">
        <f>IF($F249="","",ROUND(P249-$D249,2))</f>
        <v/>
      </c>
      <c r="R249" s="19">
        <f>IF($F249="","",ROUND(Rates!$B$8*(MAX(0,P249-Rates!$B$9)-MAX(0,$D249-Rates!$B$9)),2))</f>
        <v/>
      </c>
      <c r="S249" s="19">
        <f>IF($F249="","",ROUND(Rates!$B$10*IF(Rates!$B$11="Full",P249-$D249,MAX(0,MIN(P249,Rates!$B$13)-Rates!$B$12)-MAX(0,MIN($D249,Rates!$B$13)-Rates!$B$12)),2))</f>
        <v/>
      </c>
      <c r="T249" s="19">
        <f>IF($F249="","",ROUND(Q249+R249+S249,2))</f>
        <v/>
      </c>
    </row>
    <row r="250">
      <c r="A250" s="13" t="n"/>
      <c r="B250" s="13" t="n"/>
      <c r="C250" s="14" t="n"/>
      <c r="D250" s="14" t="n"/>
      <c r="E250" s="15" t="n"/>
      <c r="F250" s="16" t="n"/>
      <c r="G250" s="13" t="n"/>
      <c r="H250" s="13" t="n"/>
      <c r="I250" s="13" t="n"/>
      <c r="J250" s="17">
        <f>IF($F250="","",DATEDIF($F250,Rates!$B$2,"Y"))</f>
        <v/>
      </c>
      <c r="K250" s="18">
        <f>IF($F250="","",IF(UPPER($I250)="Y",Rates!$B$7,IF(J250&gt;=21,Rates!$B$4,IF(J250&gt;=18,Rates!$B$5,Rates!$B$6))))</f>
        <v/>
      </c>
      <c r="L250" s="17">
        <f>IF($F250="","",IF($E250&lt;K250,"Uplift needed","OK"))</f>
        <v/>
      </c>
      <c r="M250" s="17">
        <f>IF($F250="","",IF(AND(J250&lt;21,DATEDIF($F250,Rates!$B$3,"Y")&gt;=21),"Turns 21",IF(AND(J250&lt;18,DATEDIF($F250,Rates!$B$3,"Y")&gt;=18),"Turns 18","")))</f>
        <v/>
      </c>
      <c r="N250" s="18">
        <f>IF($F250="","",MAX($E250,K250))</f>
        <v/>
      </c>
      <c r="O250" s="19">
        <f>IF($F250="","",ROUND($C250*N250/$E250,2))</f>
        <v/>
      </c>
      <c r="P250" s="19">
        <f>IF($F250="","",ROUND($D250*N250/$E250,2))</f>
        <v/>
      </c>
      <c r="Q250" s="19">
        <f>IF($F250="","",ROUND(P250-$D250,2))</f>
        <v/>
      </c>
      <c r="R250" s="19">
        <f>IF($F250="","",ROUND(Rates!$B$8*(MAX(0,P250-Rates!$B$9)-MAX(0,$D250-Rates!$B$9)),2))</f>
        <v/>
      </c>
      <c r="S250" s="19">
        <f>IF($F250="","",ROUND(Rates!$B$10*IF(Rates!$B$11="Full",P250-$D250,MAX(0,MIN(P250,Rates!$B$13)-Rates!$B$12)-MAX(0,MIN($D250,Rates!$B$13)-Rates!$B$12)),2))</f>
        <v/>
      </c>
      <c r="T250" s="19">
        <f>IF($F250="","",ROUND(Q250+R250+S250,2))</f>
        <v/>
      </c>
    </row>
    <row r="251">
      <c r="A251" s="13" t="n"/>
      <c r="B251" s="13" t="n"/>
      <c r="C251" s="14" t="n"/>
      <c r="D251" s="14" t="n"/>
      <c r="E251" s="15" t="n"/>
      <c r="F251" s="16" t="n"/>
      <c r="G251" s="13" t="n"/>
      <c r="H251" s="13" t="n"/>
      <c r="I251" s="13" t="n"/>
      <c r="J251" s="17">
        <f>IF($F251="","",DATEDIF($F251,Rates!$B$2,"Y"))</f>
        <v/>
      </c>
      <c r="K251" s="18">
        <f>IF($F251="","",IF(UPPER($I251)="Y",Rates!$B$7,IF(J251&gt;=21,Rates!$B$4,IF(J251&gt;=18,Rates!$B$5,Rates!$B$6))))</f>
        <v/>
      </c>
      <c r="L251" s="17">
        <f>IF($F251="","",IF($E251&lt;K251,"Uplift needed","OK"))</f>
        <v/>
      </c>
      <c r="M251" s="17">
        <f>IF($F251="","",IF(AND(J251&lt;21,DATEDIF($F251,Rates!$B$3,"Y")&gt;=21),"Turns 21",IF(AND(J251&lt;18,DATEDIF($F251,Rates!$B$3,"Y")&gt;=18),"Turns 18","")))</f>
        <v/>
      </c>
      <c r="N251" s="18">
        <f>IF($F251="","",MAX($E251,K251))</f>
        <v/>
      </c>
      <c r="O251" s="19">
        <f>IF($F251="","",ROUND($C251*N251/$E251,2))</f>
        <v/>
      </c>
      <c r="P251" s="19">
        <f>IF($F251="","",ROUND($D251*N251/$E251,2))</f>
        <v/>
      </c>
      <c r="Q251" s="19">
        <f>IF($F251="","",ROUND(P251-$D251,2))</f>
        <v/>
      </c>
      <c r="R251" s="19">
        <f>IF($F251="","",ROUND(Rates!$B$8*(MAX(0,P251-Rates!$B$9)-MAX(0,$D251-Rates!$B$9)),2))</f>
        <v/>
      </c>
      <c r="S251" s="19">
        <f>IF($F251="","",ROUND(Rates!$B$10*IF(Rates!$B$11="Full",P251-$D251,MAX(0,MIN(P251,Rates!$B$13)-Rates!$B$12)-MAX(0,MIN($D251,Rates!$B$13)-Rates!$B$12)),2))</f>
        <v/>
      </c>
      <c r="T251" s="19">
        <f>IF($F251="","",ROUND(Q251+R251+S251,2))</f>
        <v/>
      </c>
    </row>
    <row r="252">
      <c r="A252" s="13" t="n"/>
      <c r="B252" s="13" t="n"/>
      <c r="C252" s="14" t="n"/>
      <c r="D252" s="14" t="n"/>
      <c r="E252" s="15" t="n"/>
      <c r="F252" s="16" t="n"/>
      <c r="G252" s="13" t="n"/>
      <c r="H252" s="13" t="n"/>
      <c r="I252" s="13" t="n"/>
      <c r="J252" s="17">
        <f>IF($F252="","",DATEDIF($F252,Rates!$B$2,"Y"))</f>
        <v/>
      </c>
      <c r="K252" s="18">
        <f>IF($F252="","",IF(UPPER($I252)="Y",Rates!$B$7,IF(J252&gt;=21,Rates!$B$4,IF(J252&gt;=18,Rates!$B$5,Rates!$B$6))))</f>
        <v/>
      </c>
      <c r="L252" s="17">
        <f>IF($F252="","",IF($E252&lt;K252,"Uplift needed","OK"))</f>
        <v/>
      </c>
      <c r="M252" s="17">
        <f>IF($F252="","",IF(AND(J252&lt;21,DATEDIF($F252,Rates!$B$3,"Y")&gt;=21),"Turns 21",IF(AND(J252&lt;18,DATEDIF($F252,Rates!$B$3,"Y")&gt;=18),"Turns 18","")))</f>
        <v/>
      </c>
      <c r="N252" s="18">
        <f>IF($F252="","",MAX($E252,K252))</f>
        <v/>
      </c>
      <c r="O252" s="19">
        <f>IF($F252="","",ROUND($C252*N252/$E252,2))</f>
        <v/>
      </c>
      <c r="P252" s="19">
        <f>IF($F252="","",ROUND($D252*N252/$E252,2))</f>
        <v/>
      </c>
      <c r="Q252" s="19">
        <f>IF($F252="","",ROUND(P252-$D252,2))</f>
        <v/>
      </c>
      <c r="R252" s="19">
        <f>IF($F252="","",ROUND(Rates!$B$8*(MAX(0,P252-Rates!$B$9)-MAX(0,$D252-Rates!$B$9)),2))</f>
        <v/>
      </c>
      <c r="S252" s="19">
        <f>IF($F252="","",ROUND(Rates!$B$10*IF(Rates!$B$11="Full",P252-$D252,MAX(0,MIN(P252,Rates!$B$13)-Rates!$B$12)-MAX(0,MIN($D252,Rates!$B$13)-Rates!$B$12)),2))</f>
        <v/>
      </c>
      <c r="T252" s="19">
        <f>IF($F252="","",ROUND(Q252+R252+S252,2))</f>
        <v/>
      </c>
    </row>
    <row r="253">
      <c r="A253" s="13" t="n"/>
      <c r="B253" s="13" t="n"/>
      <c r="C253" s="14" t="n"/>
      <c r="D253" s="14" t="n"/>
      <c r="E253" s="15" t="n"/>
      <c r="F253" s="16" t="n"/>
      <c r="G253" s="13" t="n"/>
      <c r="H253" s="13" t="n"/>
      <c r="I253" s="13" t="n"/>
      <c r="J253" s="17">
        <f>IF($F253="","",DATEDIF($F253,Rates!$B$2,"Y"))</f>
        <v/>
      </c>
      <c r="K253" s="18">
        <f>IF($F253="","",IF(UPPER($I253)="Y",Rates!$B$7,IF(J253&gt;=21,Rates!$B$4,IF(J253&gt;=18,Rates!$B$5,Rates!$B$6))))</f>
        <v/>
      </c>
      <c r="L253" s="17">
        <f>IF($F253="","",IF($E253&lt;K253,"Uplift needed","OK"))</f>
        <v/>
      </c>
      <c r="M253" s="17">
        <f>IF($F253="","",IF(AND(J253&lt;21,DATEDIF($F253,Rates!$B$3,"Y")&gt;=21),"Turns 21",IF(AND(J253&lt;18,DATEDIF($F253,Rates!$B$3,"Y")&gt;=18),"Turns 18","")))</f>
        <v/>
      </c>
      <c r="N253" s="18">
        <f>IF($F253="","",MAX($E253,K253))</f>
        <v/>
      </c>
      <c r="O253" s="19">
        <f>IF($F253="","",ROUND($C253*N253/$E253,2))</f>
        <v/>
      </c>
      <c r="P253" s="19">
        <f>IF($F253="","",ROUND($D253*N253/$E253,2))</f>
        <v/>
      </c>
      <c r="Q253" s="19">
        <f>IF($F253="","",ROUND(P253-$D253,2))</f>
        <v/>
      </c>
      <c r="R253" s="19">
        <f>IF($F253="","",ROUND(Rates!$B$8*(MAX(0,P253-Rates!$B$9)-MAX(0,$D253-Rates!$B$9)),2))</f>
        <v/>
      </c>
      <c r="S253" s="19">
        <f>IF($F253="","",ROUND(Rates!$B$10*IF(Rates!$B$11="Full",P253-$D253,MAX(0,MIN(P253,Rates!$B$13)-Rates!$B$12)-MAX(0,MIN($D253,Rates!$B$13)-Rates!$B$12)),2))</f>
        <v/>
      </c>
      <c r="T253" s="19">
        <f>IF($F253="","",ROUND(Q253+R253+S253,2))</f>
        <v/>
      </c>
    </row>
    <row r="254">
      <c r="A254" s="13" t="n"/>
      <c r="B254" s="13" t="n"/>
      <c r="C254" s="14" t="n"/>
      <c r="D254" s="14" t="n"/>
      <c r="E254" s="15" t="n"/>
      <c r="F254" s="16" t="n"/>
      <c r="G254" s="13" t="n"/>
      <c r="H254" s="13" t="n"/>
      <c r="I254" s="13" t="n"/>
      <c r="J254" s="17">
        <f>IF($F254="","",DATEDIF($F254,Rates!$B$2,"Y"))</f>
        <v/>
      </c>
      <c r="K254" s="18">
        <f>IF($F254="","",IF(UPPER($I254)="Y",Rates!$B$7,IF(J254&gt;=21,Rates!$B$4,IF(J254&gt;=18,Rates!$B$5,Rates!$B$6))))</f>
        <v/>
      </c>
      <c r="L254" s="17">
        <f>IF($F254="","",IF($E254&lt;K254,"Uplift needed","OK"))</f>
        <v/>
      </c>
      <c r="M254" s="17">
        <f>IF($F254="","",IF(AND(J254&lt;21,DATEDIF($F254,Rates!$B$3,"Y")&gt;=21),"Turns 21",IF(AND(J254&lt;18,DATEDIF($F254,Rates!$B$3,"Y")&gt;=18),"Turns 18","")))</f>
        <v/>
      </c>
      <c r="N254" s="18">
        <f>IF($F254="","",MAX($E254,K254))</f>
        <v/>
      </c>
      <c r="O254" s="19">
        <f>IF($F254="","",ROUND($C254*N254/$E254,2))</f>
        <v/>
      </c>
      <c r="P254" s="19">
        <f>IF($F254="","",ROUND($D254*N254/$E254,2))</f>
        <v/>
      </c>
      <c r="Q254" s="19">
        <f>IF($F254="","",ROUND(P254-$D254,2))</f>
        <v/>
      </c>
      <c r="R254" s="19">
        <f>IF($F254="","",ROUND(Rates!$B$8*(MAX(0,P254-Rates!$B$9)-MAX(0,$D254-Rates!$B$9)),2))</f>
        <v/>
      </c>
      <c r="S254" s="19">
        <f>IF($F254="","",ROUND(Rates!$B$10*IF(Rates!$B$11="Full",P254-$D254,MAX(0,MIN(P254,Rates!$B$13)-Rates!$B$12)-MAX(0,MIN($D254,Rates!$B$13)-Rates!$B$12)),2))</f>
        <v/>
      </c>
      <c r="T254" s="19">
        <f>IF($F254="","",ROUND(Q254+R254+S254,2))</f>
        <v/>
      </c>
    </row>
    <row r="255">
      <c r="A255" s="13" t="n"/>
      <c r="B255" s="13" t="n"/>
      <c r="C255" s="14" t="n"/>
      <c r="D255" s="14" t="n"/>
      <c r="E255" s="15" t="n"/>
      <c r="F255" s="16" t="n"/>
      <c r="G255" s="13" t="n"/>
      <c r="H255" s="13" t="n"/>
      <c r="I255" s="13" t="n"/>
      <c r="J255" s="17">
        <f>IF($F255="","",DATEDIF($F255,Rates!$B$2,"Y"))</f>
        <v/>
      </c>
      <c r="K255" s="18">
        <f>IF($F255="","",IF(UPPER($I255)="Y",Rates!$B$7,IF(J255&gt;=21,Rates!$B$4,IF(J255&gt;=18,Rates!$B$5,Rates!$B$6))))</f>
        <v/>
      </c>
      <c r="L255" s="17">
        <f>IF($F255="","",IF($E255&lt;K255,"Uplift needed","OK"))</f>
        <v/>
      </c>
      <c r="M255" s="17">
        <f>IF($F255="","",IF(AND(J255&lt;21,DATEDIF($F255,Rates!$B$3,"Y")&gt;=21),"Turns 21",IF(AND(J255&lt;18,DATEDIF($F255,Rates!$B$3,"Y")&gt;=18),"Turns 18","")))</f>
        <v/>
      </c>
      <c r="N255" s="18">
        <f>IF($F255="","",MAX($E255,K255))</f>
        <v/>
      </c>
      <c r="O255" s="19">
        <f>IF($F255="","",ROUND($C255*N255/$E255,2))</f>
        <v/>
      </c>
      <c r="P255" s="19">
        <f>IF($F255="","",ROUND($D255*N255/$E255,2))</f>
        <v/>
      </c>
      <c r="Q255" s="19">
        <f>IF($F255="","",ROUND(P255-$D255,2))</f>
        <v/>
      </c>
      <c r="R255" s="19">
        <f>IF($F255="","",ROUND(Rates!$B$8*(MAX(0,P255-Rates!$B$9)-MAX(0,$D255-Rates!$B$9)),2))</f>
        <v/>
      </c>
      <c r="S255" s="19">
        <f>IF($F255="","",ROUND(Rates!$B$10*IF(Rates!$B$11="Full",P255-$D255,MAX(0,MIN(P255,Rates!$B$13)-Rates!$B$12)-MAX(0,MIN($D255,Rates!$B$13)-Rates!$B$12)),2))</f>
        <v/>
      </c>
      <c r="T255" s="19">
        <f>IF($F255="","",ROUND(Q255+R255+S255,2))</f>
        <v/>
      </c>
    </row>
    <row r="256">
      <c r="A256" s="13" t="n"/>
      <c r="B256" s="13" t="n"/>
      <c r="C256" s="14" t="n"/>
      <c r="D256" s="14" t="n"/>
      <c r="E256" s="15" t="n"/>
      <c r="F256" s="16" t="n"/>
      <c r="G256" s="13" t="n"/>
      <c r="H256" s="13" t="n"/>
      <c r="I256" s="13" t="n"/>
      <c r="J256" s="17">
        <f>IF($F256="","",DATEDIF($F256,Rates!$B$2,"Y"))</f>
        <v/>
      </c>
      <c r="K256" s="18">
        <f>IF($F256="","",IF(UPPER($I256)="Y",Rates!$B$7,IF(J256&gt;=21,Rates!$B$4,IF(J256&gt;=18,Rates!$B$5,Rates!$B$6))))</f>
        <v/>
      </c>
      <c r="L256" s="17">
        <f>IF($F256="","",IF($E256&lt;K256,"Uplift needed","OK"))</f>
        <v/>
      </c>
      <c r="M256" s="17">
        <f>IF($F256="","",IF(AND(J256&lt;21,DATEDIF($F256,Rates!$B$3,"Y")&gt;=21),"Turns 21",IF(AND(J256&lt;18,DATEDIF($F256,Rates!$B$3,"Y")&gt;=18),"Turns 18","")))</f>
        <v/>
      </c>
      <c r="N256" s="18">
        <f>IF($F256="","",MAX($E256,K256))</f>
        <v/>
      </c>
      <c r="O256" s="19">
        <f>IF($F256="","",ROUND($C256*N256/$E256,2))</f>
        <v/>
      </c>
      <c r="P256" s="19">
        <f>IF($F256="","",ROUND($D256*N256/$E256,2))</f>
        <v/>
      </c>
      <c r="Q256" s="19">
        <f>IF($F256="","",ROUND(P256-$D256,2))</f>
        <v/>
      </c>
      <c r="R256" s="19">
        <f>IF($F256="","",ROUND(Rates!$B$8*(MAX(0,P256-Rates!$B$9)-MAX(0,$D256-Rates!$B$9)),2))</f>
        <v/>
      </c>
      <c r="S256" s="19">
        <f>IF($F256="","",ROUND(Rates!$B$10*IF(Rates!$B$11="Full",P256-$D256,MAX(0,MIN(P256,Rates!$B$13)-Rates!$B$12)-MAX(0,MIN($D256,Rates!$B$13)-Rates!$B$12)),2))</f>
        <v/>
      </c>
      <c r="T256" s="19">
        <f>IF($F256="","",ROUND(Q256+R256+S256,2))</f>
        <v/>
      </c>
    </row>
    <row r="257">
      <c r="A257" s="13" t="n"/>
      <c r="B257" s="13" t="n"/>
      <c r="C257" s="14" t="n"/>
      <c r="D257" s="14" t="n"/>
      <c r="E257" s="15" t="n"/>
      <c r="F257" s="16" t="n"/>
      <c r="G257" s="13" t="n"/>
      <c r="H257" s="13" t="n"/>
      <c r="I257" s="13" t="n"/>
      <c r="J257" s="17">
        <f>IF($F257="","",DATEDIF($F257,Rates!$B$2,"Y"))</f>
        <v/>
      </c>
      <c r="K257" s="18">
        <f>IF($F257="","",IF(UPPER($I257)="Y",Rates!$B$7,IF(J257&gt;=21,Rates!$B$4,IF(J257&gt;=18,Rates!$B$5,Rates!$B$6))))</f>
        <v/>
      </c>
      <c r="L257" s="17">
        <f>IF($F257="","",IF($E257&lt;K257,"Uplift needed","OK"))</f>
        <v/>
      </c>
      <c r="M257" s="17">
        <f>IF($F257="","",IF(AND(J257&lt;21,DATEDIF($F257,Rates!$B$3,"Y")&gt;=21),"Turns 21",IF(AND(J257&lt;18,DATEDIF($F257,Rates!$B$3,"Y")&gt;=18),"Turns 18","")))</f>
        <v/>
      </c>
      <c r="N257" s="18">
        <f>IF($F257="","",MAX($E257,K257))</f>
        <v/>
      </c>
      <c r="O257" s="19">
        <f>IF($F257="","",ROUND($C257*N257/$E257,2))</f>
        <v/>
      </c>
      <c r="P257" s="19">
        <f>IF($F257="","",ROUND($D257*N257/$E257,2))</f>
        <v/>
      </c>
      <c r="Q257" s="19">
        <f>IF($F257="","",ROUND(P257-$D257,2))</f>
        <v/>
      </c>
      <c r="R257" s="19">
        <f>IF($F257="","",ROUND(Rates!$B$8*(MAX(0,P257-Rates!$B$9)-MAX(0,$D257-Rates!$B$9)),2))</f>
        <v/>
      </c>
      <c r="S257" s="19">
        <f>IF($F257="","",ROUND(Rates!$B$10*IF(Rates!$B$11="Full",P257-$D257,MAX(0,MIN(P257,Rates!$B$13)-Rates!$B$12)-MAX(0,MIN($D257,Rates!$B$13)-Rates!$B$12)),2))</f>
        <v/>
      </c>
      <c r="T257" s="19">
        <f>IF($F257="","",ROUND(Q257+R257+S257,2))</f>
        <v/>
      </c>
    </row>
    <row r="258">
      <c r="A258" s="13" t="n"/>
      <c r="B258" s="13" t="n"/>
      <c r="C258" s="14" t="n"/>
      <c r="D258" s="14" t="n"/>
      <c r="E258" s="15" t="n"/>
      <c r="F258" s="16" t="n"/>
      <c r="G258" s="13" t="n"/>
      <c r="H258" s="13" t="n"/>
      <c r="I258" s="13" t="n"/>
      <c r="J258" s="17">
        <f>IF($F258="","",DATEDIF($F258,Rates!$B$2,"Y"))</f>
        <v/>
      </c>
      <c r="K258" s="18">
        <f>IF($F258="","",IF(UPPER($I258)="Y",Rates!$B$7,IF(J258&gt;=21,Rates!$B$4,IF(J258&gt;=18,Rates!$B$5,Rates!$B$6))))</f>
        <v/>
      </c>
      <c r="L258" s="17">
        <f>IF($F258="","",IF($E258&lt;K258,"Uplift needed","OK"))</f>
        <v/>
      </c>
      <c r="M258" s="17">
        <f>IF($F258="","",IF(AND(J258&lt;21,DATEDIF($F258,Rates!$B$3,"Y")&gt;=21),"Turns 21",IF(AND(J258&lt;18,DATEDIF($F258,Rates!$B$3,"Y")&gt;=18),"Turns 18","")))</f>
        <v/>
      </c>
      <c r="N258" s="18">
        <f>IF($F258="","",MAX($E258,K258))</f>
        <v/>
      </c>
      <c r="O258" s="19">
        <f>IF($F258="","",ROUND($C258*N258/$E258,2))</f>
        <v/>
      </c>
      <c r="P258" s="19">
        <f>IF($F258="","",ROUND($D258*N258/$E258,2))</f>
        <v/>
      </c>
      <c r="Q258" s="19">
        <f>IF($F258="","",ROUND(P258-$D258,2))</f>
        <v/>
      </c>
      <c r="R258" s="19">
        <f>IF($F258="","",ROUND(Rates!$B$8*(MAX(0,P258-Rates!$B$9)-MAX(0,$D258-Rates!$B$9)),2))</f>
        <v/>
      </c>
      <c r="S258" s="19">
        <f>IF($F258="","",ROUND(Rates!$B$10*IF(Rates!$B$11="Full",P258-$D258,MAX(0,MIN(P258,Rates!$B$13)-Rates!$B$12)-MAX(0,MIN($D258,Rates!$B$13)-Rates!$B$12)),2))</f>
        <v/>
      </c>
      <c r="T258" s="19">
        <f>IF($F258="","",ROUND(Q258+R258+S258,2))</f>
        <v/>
      </c>
    </row>
    <row r="259">
      <c r="A259" s="13" t="n"/>
      <c r="B259" s="13" t="n"/>
      <c r="C259" s="14" t="n"/>
      <c r="D259" s="14" t="n"/>
      <c r="E259" s="15" t="n"/>
      <c r="F259" s="16" t="n"/>
      <c r="G259" s="13" t="n"/>
      <c r="H259" s="13" t="n"/>
      <c r="I259" s="13" t="n"/>
      <c r="J259" s="17">
        <f>IF($F259="","",DATEDIF($F259,Rates!$B$2,"Y"))</f>
        <v/>
      </c>
      <c r="K259" s="18">
        <f>IF($F259="","",IF(UPPER($I259)="Y",Rates!$B$7,IF(J259&gt;=21,Rates!$B$4,IF(J259&gt;=18,Rates!$B$5,Rates!$B$6))))</f>
        <v/>
      </c>
      <c r="L259" s="17">
        <f>IF($F259="","",IF($E259&lt;K259,"Uplift needed","OK"))</f>
        <v/>
      </c>
      <c r="M259" s="17">
        <f>IF($F259="","",IF(AND(J259&lt;21,DATEDIF($F259,Rates!$B$3,"Y")&gt;=21),"Turns 21",IF(AND(J259&lt;18,DATEDIF($F259,Rates!$B$3,"Y")&gt;=18),"Turns 18","")))</f>
        <v/>
      </c>
      <c r="N259" s="18">
        <f>IF($F259="","",MAX($E259,K259))</f>
        <v/>
      </c>
      <c r="O259" s="19">
        <f>IF($F259="","",ROUND($C259*N259/$E259,2))</f>
        <v/>
      </c>
      <c r="P259" s="19">
        <f>IF($F259="","",ROUND($D259*N259/$E259,2))</f>
        <v/>
      </c>
      <c r="Q259" s="19">
        <f>IF($F259="","",ROUND(P259-$D259,2))</f>
        <v/>
      </c>
      <c r="R259" s="19">
        <f>IF($F259="","",ROUND(Rates!$B$8*(MAX(0,P259-Rates!$B$9)-MAX(0,$D259-Rates!$B$9)),2))</f>
        <v/>
      </c>
      <c r="S259" s="19">
        <f>IF($F259="","",ROUND(Rates!$B$10*IF(Rates!$B$11="Full",P259-$D259,MAX(0,MIN(P259,Rates!$B$13)-Rates!$B$12)-MAX(0,MIN($D259,Rates!$B$13)-Rates!$B$12)),2))</f>
        <v/>
      </c>
      <c r="T259" s="19">
        <f>IF($F259="","",ROUND(Q259+R259+S259,2))</f>
        <v/>
      </c>
    </row>
    <row r="260">
      <c r="A260" s="13" t="n"/>
      <c r="B260" s="13" t="n"/>
      <c r="C260" s="14" t="n"/>
      <c r="D260" s="14" t="n"/>
      <c r="E260" s="15" t="n"/>
      <c r="F260" s="16" t="n"/>
      <c r="G260" s="13" t="n"/>
      <c r="H260" s="13" t="n"/>
      <c r="I260" s="13" t="n"/>
      <c r="J260" s="17">
        <f>IF($F260="","",DATEDIF($F260,Rates!$B$2,"Y"))</f>
        <v/>
      </c>
      <c r="K260" s="18">
        <f>IF($F260="","",IF(UPPER($I260)="Y",Rates!$B$7,IF(J260&gt;=21,Rates!$B$4,IF(J260&gt;=18,Rates!$B$5,Rates!$B$6))))</f>
        <v/>
      </c>
      <c r="L260" s="17">
        <f>IF($F260="","",IF($E260&lt;K260,"Uplift needed","OK"))</f>
        <v/>
      </c>
      <c r="M260" s="17">
        <f>IF($F260="","",IF(AND(J260&lt;21,DATEDIF($F260,Rates!$B$3,"Y")&gt;=21),"Turns 21",IF(AND(J260&lt;18,DATEDIF($F260,Rates!$B$3,"Y")&gt;=18),"Turns 18","")))</f>
        <v/>
      </c>
      <c r="N260" s="18">
        <f>IF($F260="","",MAX($E260,K260))</f>
        <v/>
      </c>
      <c r="O260" s="19">
        <f>IF($F260="","",ROUND($C260*N260/$E260,2))</f>
        <v/>
      </c>
      <c r="P260" s="19">
        <f>IF($F260="","",ROUND($D260*N260/$E260,2))</f>
        <v/>
      </c>
      <c r="Q260" s="19">
        <f>IF($F260="","",ROUND(P260-$D260,2))</f>
        <v/>
      </c>
      <c r="R260" s="19">
        <f>IF($F260="","",ROUND(Rates!$B$8*(MAX(0,P260-Rates!$B$9)-MAX(0,$D260-Rates!$B$9)),2))</f>
        <v/>
      </c>
      <c r="S260" s="19">
        <f>IF($F260="","",ROUND(Rates!$B$10*IF(Rates!$B$11="Full",P260-$D260,MAX(0,MIN(P260,Rates!$B$13)-Rates!$B$12)-MAX(0,MIN($D260,Rates!$B$13)-Rates!$B$12)),2))</f>
        <v/>
      </c>
      <c r="T260" s="19">
        <f>IF($F260="","",ROUND(Q260+R260+S260,2))</f>
        <v/>
      </c>
    </row>
    <row r="261">
      <c r="A261" s="13" t="n"/>
      <c r="B261" s="13" t="n"/>
      <c r="C261" s="14" t="n"/>
      <c r="D261" s="14" t="n"/>
      <c r="E261" s="15" t="n"/>
      <c r="F261" s="16" t="n"/>
      <c r="G261" s="13" t="n"/>
      <c r="H261" s="13" t="n"/>
      <c r="I261" s="13" t="n"/>
      <c r="J261" s="17">
        <f>IF($F261="","",DATEDIF($F261,Rates!$B$2,"Y"))</f>
        <v/>
      </c>
      <c r="K261" s="18">
        <f>IF($F261="","",IF(UPPER($I261)="Y",Rates!$B$7,IF(J261&gt;=21,Rates!$B$4,IF(J261&gt;=18,Rates!$B$5,Rates!$B$6))))</f>
        <v/>
      </c>
      <c r="L261" s="17">
        <f>IF($F261="","",IF($E261&lt;K261,"Uplift needed","OK"))</f>
        <v/>
      </c>
      <c r="M261" s="17">
        <f>IF($F261="","",IF(AND(J261&lt;21,DATEDIF($F261,Rates!$B$3,"Y")&gt;=21),"Turns 21",IF(AND(J261&lt;18,DATEDIF($F261,Rates!$B$3,"Y")&gt;=18),"Turns 18","")))</f>
        <v/>
      </c>
      <c r="N261" s="18">
        <f>IF($F261="","",MAX($E261,K261))</f>
        <v/>
      </c>
      <c r="O261" s="19">
        <f>IF($F261="","",ROUND($C261*N261/$E261,2))</f>
        <v/>
      </c>
      <c r="P261" s="19">
        <f>IF($F261="","",ROUND($D261*N261/$E261,2))</f>
        <v/>
      </c>
      <c r="Q261" s="19">
        <f>IF($F261="","",ROUND(P261-$D261,2))</f>
        <v/>
      </c>
      <c r="R261" s="19">
        <f>IF($F261="","",ROUND(Rates!$B$8*(MAX(0,P261-Rates!$B$9)-MAX(0,$D261-Rates!$B$9)),2))</f>
        <v/>
      </c>
      <c r="S261" s="19">
        <f>IF($F261="","",ROUND(Rates!$B$10*IF(Rates!$B$11="Full",P261-$D261,MAX(0,MIN(P261,Rates!$B$13)-Rates!$B$12)-MAX(0,MIN($D261,Rates!$B$13)-Rates!$B$12)),2))</f>
        <v/>
      </c>
      <c r="T261" s="19">
        <f>IF($F261="","",ROUND(Q261+R261+S261,2))</f>
        <v/>
      </c>
    </row>
    <row r="262">
      <c r="A262" s="13" t="n"/>
      <c r="B262" s="13" t="n"/>
      <c r="C262" s="14" t="n"/>
      <c r="D262" s="14" t="n"/>
      <c r="E262" s="15" t="n"/>
      <c r="F262" s="16" t="n"/>
      <c r="G262" s="13" t="n"/>
      <c r="H262" s="13" t="n"/>
      <c r="I262" s="13" t="n"/>
      <c r="J262" s="17">
        <f>IF($F262="","",DATEDIF($F262,Rates!$B$2,"Y"))</f>
        <v/>
      </c>
      <c r="K262" s="18">
        <f>IF($F262="","",IF(UPPER($I262)="Y",Rates!$B$7,IF(J262&gt;=21,Rates!$B$4,IF(J262&gt;=18,Rates!$B$5,Rates!$B$6))))</f>
        <v/>
      </c>
      <c r="L262" s="17">
        <f>IF($F262="","",IF($E262&lt;K262,"Uplift needed","OK"))</f>
        <v/>
      </c>
      <c r="M262" s="17">
        <f>IF($F262="","",IF(AND(J262&lt;21,DATEDIF($F262,Rates!$B$3,"Y")&gt;=21),"Turns 21",IF(AND(J262&lt;18,DATEDIF($F262,Rates!$B$3,"Y")&gt;=18),"Turns 18","")))</f>
        <v/>
      </c>
      <c r="N262" s="18">
        <f>IF($F262="","",MAX($E262,K262))</f>
        <v/>
      </c>
      <c r="O262" s="19">
        <f>IF($F262="","",ROUND($C262*N262/$E262,2))</f>
        <v/>
      </c>
      <c r="P262" s="19">
        <f>IF($F262="","",ROUND($D262*N262/$E262,2))</f>
        <v/>
      </c>
      <c r="Q262" s="19">
        <f>IF($F262="","",ROUND(P262-$D262,2))</f>
        <v/>
      </c>
      <c r="R262" s="19">
        <f>IF($F262="","",ROUND(Rates!$B$8*(MAX(0,P262-Rates!$B$9)-MAX(0,$D262-Rates!$B$9)),2))</f>
        <v/>
      </c>
      <c r="S262" s="19">
        <f>IF($F262="","",ROUND(Rates!$B$10*IF(Rates!$B$11="Full",P262-$D262,MAX(0,MIN(P262,Rates!$B$13)-Rates!$B$12)-MAX(0,MIN($D262,Rates!$B$13)-Rates!$B$12)),2))</f>
        <v/>
      </c>
      <c r="T262" s="19">
        <f>IF($F262="","",ROUND(Q262+R262+S262,2))</f>
        <v/>
      </c>
    </row>
    <row r="263">
      <c r="A263" s="13" t="n"/>
      <c r="B263" s="13" t="n"/>
      <c r="C263" s="14" t="n"/>
      <c r="D263" s="14" t="n"/>
      <c r="E263" s="15" t="n"/>
      <c r="F263" s="16" t="n"/>
      <c r="G263" s="13" t="n"/>
      <c r="H263" s="13" t="n"/>
      <c r="I263" s="13" t="n"/>
      <c r="J263" s="17">
        <f>IF($F263="","",DATEDIF($F263,Rates!$B$2,"Y"))</f>
        <v/>
      </c>
      <c r="K263" s="18">
        <f>IF($F263="","",IF(UPPER($I263)="Y",Rates!$B$7,IF(J263&gt;=21,Rates!$B$4,IF(J263&gt;=18,Rates!$B$5,Rates!$B$6))))</f>
        <v/>
      </c>
      <c r="L263" s="17">
        <f>IF($F263="","",IF($E263&lt;K263,"Uplift needed","OK"))</f>
        <v/>
      </c>
      <c r="M263" s="17">
        <f>IF($F263="","",IF(AND(J263&lt;21,DATEDIF($F263,Rates!$B$3,"Y")&gt;=21),"Turns 21",IF(AND(J263&lt;18,DATEDIF($F263,Rates!$B$3,"Y")&gt;=18),"Turns 18","")))</f>
        <v/>
      </c>
      <c r="N263" s="18">
        <f>IF($F263="","",MAX($E263,K263))</f>
        <v/>
      </c>
      <c r="O263" s="19">
        <f>IF($F263="","",ROUND($C263*N263/$E263,2))</f>
        <v/>
      </c>
      <c r="P263" s="19">
        <f>IF($F263="","",ROUND($D263*N263/$E263,2))</f>
        <v/>
      </c>
      <c r="Q263" s="19">
        <f>IF($F263="","",ROUND(P263-$D263,2))</f>
        <v/>
      </c>
      <c r="R263" s="19">
        <f>IF($F263="","",ROUND(Rates!$B$8*(MAX(0,P263-Rates!$B$9)-MAX(0,$D263-Rates!$B$9)),2))</f>
        <v/>
      </c>
      <c r="S263" s="19">
        <f>IF($F263="","",ROUND(Rates!$B$10*IF(Rates!$B$11="Full",P263-$D263,MAX(0,MIN(P263,Rates!$B$13)-Rates!$B$12)-MAX(0,MIN($D263,Rates!$B$13)-Rates!$B$12)),2))</f>
        <v/>
      </c>
      <c r="T263" s="19">
        <f>IF($F263="","",ROUND(Q263+R263+S263,2))</f>
        <v/>
      </c>
    </row>
    <row r="264">
      <c r="A264" s="13" t="n"/>
      <c r="B264" s="13" t="n"/>
      <c r="C264" s="14" t="n"/>
      <c r="D264" s="14" t="n"/>
      <c r="E264" s="15" t="n"/>
      <c r="F264" s="16" t="n"/>
      <c r="G264" s="13" t="n"/>
      <c r="H264" s="13" t="n"/>
      <c r="I264" s="13" t="n"/>
      <c r="J264" s="17">
        <f>IF($F264="","",DATEDIF($F264,Rates!$B$2,"Y"))</f>
        <v/>
      </c>
      <c r="K264" s="18">
        <f>IF($F264="","",IF(UPPER($I264)="Y",Rates!$B$7,IF(J264&gt;=21,Rates!$B$4,IF(J264&gt;=18,Rates!$B$5,Rates!$B$6))))</f>
        <v/>
      </c>
      <c r="L264" s="17">
        <f>IF($F264="","",IF($E264&lt;K264,"Uplift needed","OK"))</f>
        <v/>
      </c>
      <c r="M264" s="17">
        <f>IF($F264="","",IF(AND(J264&lt;21,DATEDIF($F264,Rates!$B$3,"Y")&gt;=21),"Turns 21",IF(AND(J264&lt;18,DATEDIF($F264,Rates!$B$3,"Y")&gt;=18),"Turns 18","")))</f>
        <v/>
      </c>
      <c r="N264" s="18">
        <f>IF($F264="","",MAX($E264,K264))</f>
        <v/>
      </c>
      <c r="O264" s="19">
        <f>IF($F264="","",ROUND($C264*N264/$E264,2))</f>
        <v/>
      </c>
      <c r="P264" s="19">
        <f>IF($F264="","",ROUND($D264*N264/$E264,2))</f>
        <v/>
      </c>
      <c r="Q264" s="19">
        <f>IF($F264="","",ROUND(P264-$D264,2))</f>
        <v/>
      </c>
      <c r="R264" s="19">
        <f>IF($F264="","",ROUND(Rates!$B$8*(MAX(0,P264-Rates!$B$9)-MAX(0,$D264-Rates!$B$9)),2))</f>
        <v/>
      </c>
      <c r="S264" s="19">
        <f>IF($F264="","",ROUND(Rates!$B$10*IF(Rates!$B$11="Full",P264-$D264,MAX(0,MIN(P264,Rates!$B$13)-Rates!$B$12)-MAX(0,MIN($D264,Rates!$B$13)-Rates!$B$12)),2))</f>
        <v/>
      </c>
      <c r="T264" s="19">
        <f>IF($F264="","",ROUND(Q264+R264+S264,2))</f>
        <v/>
      </c>
    </row>
    <row r="265">
      <c r="A265" s="13" t="n"/>
      <c r="B265" s="13" t="n"/>
      <c r="C265" s="14" t="n"/>
      <c r="D265" s="14" t="n"/>
      <c r="E265" s="15" t="n"/>
      <c r="F265" s="16" t="n"/>
      <c r="G265" s="13" t="n"/>
      <c r="H265" s="13" t="n"/>
      <c r="I265" s="13" t="n"/>
      <c r="J265" s="17">
        <f>IF($F265="","",DATEDIF($F265,Rates!$B$2,"Y"))</f>
        <v/>
      </c>
      <c r="K265" s="18">
        <f>IF($F265="","",IF(UPPER($I265)="Y",Rates!$B$7,IF(J265&gt;=21,Rates!$B$4,IF(J265&gt;=18,Rates!$B$5,Rates!$B$6))))</f>
        <v/>
      </c>
      <c r="L265" s="17">
        <f>IF($F265="","",IF($E265&lt;K265,"Uplift needed","OK"))</f>
        <v/>
      </c>
      <c r="M265" s="17">
        <f>IF($F265="","",IF(AND(J265&lt;21,DATEDIF($F265,Rates!$B$3,"Y")&gt;=21),"Turns 21",IF(AND(J265&lt;18,DATEDIF($F265,Rates!$B$3,"Y")&gt;=18),"Turns 18","")))</f>
        <v/>
      </c>
      <c r="N265" s="18">
        <f>IF($F265="","",MAX($E265,K265))</f>
        <v/>
      </c>
      <c r="O265" s="19">
        <f>IF($F265="","",ROUND($C265*N265/$E265,2))</f>
        <v/>
      </c>
      <c r="P265" s="19">
        <f>IF($F265="","",ROUND($D265*N265/$E265,2))</f>
        <v/>
      </c>
      <c r="Q265" s="19">
        <f>IF($F265="","",ROUND(P265-$D265,2))</f>
        <v/>
      </c>
      <c r="R265" s="19">
        <f>IF($F265="","",ROUND(Rates!$B$8*(MAX(0,P265-Rates!$B$9)-MAX(0,$D265-Rates!$B$9)),2))</f>
        <v/>
      </c>
      <c r="S265" s="19">
        <f>IF($F265="","",ROUND(Rates!$B$10*IF(Rates!$B$11="Full",P265-$D265,MAX(0,MIN(P265,Rates!$B$13)-Rates!$B$12)-MAX(0,MIN($D265,Rates!$B$13)-Rates!$B$12)),2))</f>
        <v/>
      </c>
      <c r="T265" s="19">
        <f>IF($F265="","",ROUND(Q265+R265+S265,2))</f>
        <v/>
      </c>
    </row>
    <row r="266">
      <c r="A266" s="13" t="n"/>
      <c r="B266" s="13" t="n"/>
      <c r="C266" s="14" t="n"/>
      <c r="D266" s="14" t="n"/>
      <c r="E266" s="15" t="n"/>
      <c r="F266" s="16" t="n"/>
      <c r="G266" s="13" t="n"/>
      <c r="H266" s="13" t="n"/>
      <c r="I266" s="13" t="n"/>
      <c r="J266" s="17">
        <f>IF($F266="","",DATEDIF($F266,Rates!$B$2,"Y"))</f>
        <v/>
      </c>
      <c r="K266" s="18">
        <f>IF($F266="","",IF(UPPER($I266)="Y",Rates!$B$7,IF(J266&gt;=21,Rates!$B$4,IF(J266&gt;=18,Rates!$B$5,Rates!$B$6))))</f>
        <v/>
      </c>
      <c r="L266" s="17">
        <f>IF($F266="","",IF($E266&lt;K266,"Uplift needed","OK"))</f>
        <v/>
      </c>
      <c r="M266" s="17">
        <f>IF($F266="","",IF(AND(J266&lt;21,DATEDIF($F266,Rates!$B$3,"Y")&gt;=21),"Turns 21",IF(AND(J266&lt;18,DATEDIF($F266,Rates!$B$3,"Y")&gt;=18),"Turns 18","")))</f>
        <v/>
      </c>
      <c r="N266" s="18">
        <f>IF($F266="","",MAX($E266,K266))</f>
        <v/>
      </c>
      <c r="O266" s="19">
        <f>IF($F266="","",ROUND($C266*N266/$E266,2))</f>
        <v/>
      </c>
      <c r="P266" s="19">
        <f>IF($F266="","",ROUND($D266*N266/$E266,2))</f>
        <v/>
      </c>
      <c r="Q266" s="19">
        <f>IF($F266="","",ROUND(P266-$D266,2))</f>
        <v/>
      </c>
      <c r="R266" s="19">
        <f>IF($F266="","",ROUND(Rates!$B$8*(MAX(0,P266-Rates!$B$9)-MAX(0,$D266-Rates!$B$9)),2))</f>
        <v/>
      </c>
      <c r="S266" s="19">
        <f>IF($F266="","",ROUND(Rates!$B$10*IF(Rates!$B$11="Full",P266-$D266,MAX(0,MIN(P266,Rates!$B$13)-Rates!$B$12)-MAX(0,MIN($D266,Rates!$B$13)-Rates!$B$12)),2))</f>
        <v/>
      </c>
      <c r="T266" s="19">
        <f>IF($F266="","",ROUND(Q266+R266+S266,2))</f>
        <v/>
      </c>
    </row>
    <row r="267">
      <c r="A267" s="13" t="n"/>
      <c r="B267" s="13" t="n"/>
      <c r="C267" s="14" t="n"/>
      <c r="D267" s="14" t="n"/>
      <c r="E267" s="15" t="n"/>
      <c r="F267" s="16" t="n"/>
      <c r="G267" s="13" t="n"/>
      <c r="H267" s="13" t="n"/>
      <c r="I267" s="13" t="n"/>
      <c r="J267" s="17">
        <f>IF($F267="","",DATEDIF($F267,Rates!$B$2,"Y"))</f>
        <v/>
      </c>
      <c r="K267" s="18">
        <f>IF($F267="","",IF(UPPER($I267)="Y",Rates!$B$7,IF(J267&gt;=21,Rates!$B$4,IF(J267&gt;=18,Rates!$B$5,Rates!$B$6))))</f>
        <v/>
      </c>
      <c r="L267" s="17">
        <f>IF($F267="","",IF($E267&lt;K267,"Uplift needed","OK"))</f>
        <v/>
      </c>
      <c r="M267" s="17">
        <f>IF($F267="","",IF(AND(J267&lt;21,DATEDIF($F267,Rates!$B$3,"Y")&gt;=21),"Turns 21",IF(AND(J267&lt;18,DATEDIF($F267,Rates!$B$3,"Y")&gt;=18),"Turns 18","")))</f>
        <v/>
      </c>
      <c r="N267" s="18">
        <f>IF($F267="","",MAX($E267,K267))</f>
        <v/>
      </c>
      <c r="O267" s="19">
        <f>IF($F267="","",ROUND($C267*N267/$E267,2))</f>
        <v/>
      </c>
      <c r="P267" s="19">
        <f>IF($F267="","",ROUND($D267*N267/$E267,2))</f>
        <v/>
      </c>
      <c r="Q267" s="19">
        <f>IF($F267="","",ROUND(P267-$D267,2))</f>
        <v/>
      </c>
      <c r="R267" s="19">
        <f>IF($F267="","",ROUND(Rates!$B$8*(MAX(0,P267-Rates!$B$9)-MAX(0,$D267-Rates!$B$9)),2))</f>
        <v/>
      </c>
      <c r="S267" s="19">
        <f>IF($F267="","",ROUND(Rates!$B$10*IF(Rates!$B$11="Full",P267-$D267,MAX(0,MIN(P267,Rates!$B$13)-Rates!$B$12)-MAX(0,MIN($D267,Rates!$B$13)-Rates!$B$12)),2))</f>
        <v/>
      </c>
      <c r="T267" s="19">
        <f>IF($F267="","",ROUND(Q267+R267+S267,2))</f>
        <v/>
      </c>
    </row>
    <row r="268">
      <c r="A268" s="13" t="n"/>
      <c r="B268" s="13" t="n"/>
      <c r="C268" s="14" t="n"/>
      <c r="D268" s="14" t="n"/>
      <c r="E268" s="15" t="n"/>
      <c r="F268" s="16" t="n"/>
      <c r="G268" s="13" t="n"/>
      <c r="H268" s="13" t="n"/>
      <c r="I268" s="13" t="n"/>
      <c r="J268" s="17">
        <f>IF($F268="","",DATEDIF($F268,Rates!$B$2,"Y"))</f>
        <v/>
      </c>
      <c r="K268" s="18">
        <f>IF($F268="","",IF(UPPER($I268)="Y",Rates!$B$7,IF(J268&gt;=21,Rates!$B$4,IF(J268&gt;=18,Rates!$B$5,Rates!$B$6))))</f>
        <v/>
      </c>
      <c r="L268" s="17">
        <f>IF($F268="","",IF($E268&lt;K268,"Uplift needed","OK"))</f>
        <v/>
      </c>
      <c r="M268" s="17">
        <f>IF($F268="","",IF(AND(J268&lt;21,DATEDIF($F268,Rates!$B$3,"Y")&gt;=21),"Turns 21",IF(AND(J268&lt;18,DATEDIF($F268,Rates!$B$3,"Y")&gt;=18),"Turns 18","")))</f>
        <v/>
      </c>
      <c r="N268" s="18">
        <f>IF($F268="","",MAX($E268,K268))</f>
        <v/>
      </c>
      <c r="O268" s="19">
        <f>IF($F268="","",ROUND($C268*N268/$E268,2))</f>
        <v/>
      </c>
      <c r="P268" s="19">
        <f>IF($F268="","",ROUND($D268*N268/$E268,2))</f>
        <v/>
      </c>
      <c r="Q268" s="19">
        <f>IF($F268="","",ROUND(P268-$D268,2))</f>
        <v/>
      </c>
      <c r="R268" s="19">
        <f>IF($F268="","",ROUND(Rates!$B$8*(MAX(0,P268-Rates!$B$9)-MAX(0,$D268-Rates!$B$9)),2))</f>
        <v/>
      </c>
      <c r="S268" s="19">
        <f>IF($F268="","",ROUND(Rates!$B$10*IF(Rates!$B$11="Full",P268-$D268,MAX(0,MIN(P268,Rates!$B$13)-Rates!$B$12)-MAX(0,MIN($D268,Rates!$B$13)-Rates!$B$12)),2))</f>
        <v/>
      </c>
      <c r="T268" s="19">
        <f>IF($F268="","",ROUND(Q268+R268+S268,2))</f>
        <v/>
      </c>
    </row>
    <row r="269">
      <c r="A269" s="13" t="n"/>
      <c r="B269" s="13" t="n"/>
      <c r="C269" s="14" t="n"/>
      <c r="D269" s="14" t="n"/>
      <c r="E269" s="15" t="n"/>
      <c r="F269" s="16" t="n"/>
      <c r="G269" s="13" t="n"/>
      <c r="H269" s="13" t="n"/>
      <c r="I269" s="13" t="n"/>
      <c r="J269" s="17">
        <f>IF($F269="","",DATEDIF($F269,Rates!$B$2,"Y"))</f>
        <v/>
      </c>
      <c r="K269" s="18">
        <f>IF($F269="","",IF(UPPER($I269)="Y",Rates!$B$7,IF(J269&gt;=21,Rates!$B$4,IF(J269&gt;=18,Rates!$B$5,Rates!$B$6))))</f>
        <v/>
      </c>
      <c r="L269" s="17">
        <f>IF($F269="","",IF($E269&lt;K269,"Uplift needed","OK"))</f>
        <v/>
      </c>
      <c r="M269" s="17">
        <f>IF($F269="","",IF(AND(J269&lt;21,DATEDIF($F269,Rates!$B$3,"Y")&gt;=21),"Turns 21",IF(AND(J269&lt;18,DATEDIF($F269,Rates!$B$3,"Y")&gt;=18),"Turns 18","")))</f>
        <v/>
      </c>
      <c r="N269" s="18">
        <f>IF($F269="","",MAX($E269,K269))</f>
        <v/>
      </c>
      <c r="O269" s="19">
        <f>IF($F269="","",ROUND($C269*N269/$E269,2))</f>
        <v/>
      </c>
      <c r="P269" s="19">
        <f>IF($F269="","",ROUND($D269*N269/$E269,2))</f>
        <v/>
      </c>
      <c r="Q269" s="19">
        <f>IF($F269="","",ROUND(P269-$D269,2))</f>
        <v/>
      </c>
      <c r="R269" s="19">
        <f>IF($F269="","",ROUND(Rates!$B$8*(MAX(0,P269-Rates!$B$9)-MAX(0,$D269-Rates!$B$9)),2))</f>
        <v/>
      </c>
      <c r="S269" s="19">
        <f>IF($F269="","",ROUND(Rates!$B$10*IF(Rates!$B$11="Full",P269-$D269,MAX(0,MIN(P269,Rates!$B$13)-Rates!$B$12)-MAX(0,MIN($D269,Rates!$B$13)-Rates!$B$12)),2))</f>
        <v/>
      </c>
      <c r="T269" s="19">
        <f>IF($F269="","",ROUND(Q269+R269+S269,2))</f>
        <v/>
      </c>
    </row>
    <row r="270">
      <c r="A270" s="13" t="n"/>
      <c r="B270" s="13" t="n"/>
      <c r="C270" s="14" t="n"/>
      <c r="D270" s="14" t="n"/>
      <c r="E270" s="15" t="n"/>
      <c r="F270" s="16" t="n"/>
      <c r="G270" s="13" t="n"/>
      <c r="H270" s="13" t="n"/>
      <c r="I270" s="13" t="n"/>
      <c r="J270" s="17">
        <f>IF($F270="","",DATEDIF($F270,Rates!$B$2,"Y"))</f>
        <v/>
      </c>
      <c r="K270" s="18">
        <f>IF($F270="","",IF(UPPER($I270)="Y",Rates!$B$7,IF(J270&gt;=21,Rates!$B$4,IF(J270&gt;=18,Rates!$B$5,Rates!$B$6))))</f>
        <v/>
      </c>
      <c r="L270" s="17">
        <f>IF($F270="","",IF($E270&lt;K270,"Uplift needed","OK"))</f>
        <v/>
      </c>
      <c r="M270" s="17">
        <f>IF($F270="","",IF(AND(J270&lt;21,DATEDIF($F270,Rates!$B$3,"Y")&gt;=21),"Turns 21",IF(AND(J270&lt;18,DATEDIF($F270,Rates!$B$3,"Y")&gt;=18),"Turns 18","")))</f>
        <v/>
      </c>
      <c r="N270" s="18">
        <f>IF($F270="","",MAX($E270,K270))</f>
        <v/>
      </c>
      <c r="O270" s="19">
        <f>IF($F270="","",ROUND($C270*N270/$E270,2))</f>
        <v/>
      </c>
      <c r="P270" s="19">
        <f>IF($F270="","",ROUND($D270*N270/$E270,2))</f>
        <v/>
      </c>
      <c r="Q270" s="19">
        <f>IF($F270="","",ROUND(P270-$D270,2))</f>
        <v/>
      </c>
      <c r="R270" s="19">
        <f>IF($F270="","",ROUND(Rates!$B$8*(MAX(0,P270-Rates!$B$9)-MAX(0,$D270-Rates!$B$9)),2))</f>
        <v/>
      </c>
      <c r="S270" s="19">
        <f>IF($F270="","",ROUND(Rates!$B$10*IF(Rates!$B$11="Full",P270-$D270,MAX(0,MIN(P270,Rates!$B$13)-Rates!$B$12)-MAX(0,MIN($D270,Rates!$B$13)-Rates!$B$12)),2))</f>
        <v/>
      </c>
      <c r="T270" s="19">
        <f>IF($F270="","",ROUND(Q270+R270+S270,2))</f>
        <v/>
      </c>
    </row>
    <row r="271">
      <c r="A271" s="13" t="n"/>
      <c r="B271" s="13" t="n"/>
      <c r="C271" s="14" t="n"/>
      <c r="D271" s="14" t="n"/>
      <c r="E271" s="15" t="n"/>
      <c r="F271" s="16" t="n"/>
      <c r="G271" s="13" t="n"/>
      <c r="H271" s="13" t="n"/>
      <c r="I271" s="13" t="n"/>
      <c r="J271" s="17">
        <f>IF($F271="","",DATEDIF($F271,Rates!$B$2,"Y"))</f>
        <v/>
      </c>
      <c r="K271" s="18">
        <f>IF($F271="","",IF(UPPER($I271)="Y",Rates!$B$7,IF(J271&gt;=21,Rates!$B$4,IF(J271&gt;=18,Rates!$B$5,Rates!$B$6))))</f>
        <v/>
      </c>
      <c r="L271" s="17">
        <f>IF($F271="","",IF($E271&lt;K271,"Uplift needed","OK"))</f>
        <v/>
      </c>
      <c r="M271" s="17">
        <f>IF($F271="","",IF(AND(J271&lt;21,DATEDIF($F271,Rates!$B$3,"Y")&gt;=21),"Turns 21",IF(AND(J271&lt;18,DATEDIF($F271,Rates!$B$3,"Y")&gt;=18),"Turns 18","")))</f>
        <v/>
      </c>
      <c r="N271" s="18">
        <f>IF($F271="","",MAX($E271,K271))</f>
        <v/>
      </c>
      <c r="O271" s="19">
        <f>IF($F271="","",ROUND($C271*N271/$E271,2))</f>
        <v/>
      </c>
      <c r="P271" s="19">
        <f>IF($F271="","",ROUND($D271*N271/$E271,2))</f>
        <v/>
      </c>
      <c r="Q271" s="19">
        <f>IF($F271="","",ROUND(P271-$D271,2))</f>
        <v/>
      </c>
      <c r="R271" s="19">
        <f>IF($F271="","",ROUND(Rates!$B$8*(MAX(0,P271-Rates!$B$9)-MAX(0,$D271-Rates!$B$9)),2))</f>
        <v/>
      </c>
      <c r="S271" s="19">
        <f>IF($F271="","",ROUND(Rates!$B$10*IF(Rates!$B$11="Full",P271-$D271,MAX(0,MIN(P271,Rates!$B$13)-Rates!$B$12)-MAX(0,MIN($D271,Rates!$B$13)-Rates!$B$12)),2))</f>
        <v/>
      </c>
      <c r="T271" s="19">
        <f>IF($F271="","",ROUND(Q271+R271+S271,2))</f>
        <v/>
      </c>
    </row>
    <row r="272">
      <c r="A272" s="13" t="n"/>
      <c r="B272" s="13" t="n"/>
      <c r="C272" s="14" t="n"/>
      <c r="D272" s="14" t="n"/>
      <c r="E272" s="15" t="n"/>
      <c r="F272" s="16" t="n"/>
      <c r="G272" s="13" t="n"/>
      <c r="H272" s="13" t="n"/>
      <c r="I272" s="13" t="n"/>
      <c r="J272" s="17">
        <f>IF($F272="","",DATEDIF($F272,Rates!$B$2,"Y"))</f>
        <v/>
      </c>
      <c r="K272" s="18">
        <f>IF($F272="","",IF(UPPER($I272)="Y",Rates!$B$7,IF(J272&gt;=21,Rates!$B$4,IF(J272&gt;=18,Rates!$B$5,Rates!$B$6))))</f>
        <v/>
      </c>
      <c r="L272" s="17">
        <f>IF($F272="","",IF($E272&lt;K272,"Uplift needed","OK"))</f>
        <v/>
      </c>
      <c r="M272" s="17">
        <f>IF($F272="","",IF(AND(J272&lt;21,DATEDIF($F272,Rates!$B$3,"Y")&gt;=21),"Turns 21",IF(AND(J272&lt;18,DATEDIF($F272,Rates!$B$3,"Y")&gt;=18),"Turns 18","")))</f>
        <v/>
      </c>
      <c r="N272" s="18">
        <f>IF($F272="","",MAX($E272,K272))</f>
        <v/>
      </c>
      <c r="O272" s="19">
        <f>IF($F272="","",ROUND($C272*N272/$E272,2))</f>
        <v/>
      </c>
      <c r="P272" s="19">
        <f>IF($F272="","",ROUND($D272*N272/$E272,2))</f>
        <v/>
      </c>
      <c r="Q272" s="19">
        <f>IF($F272="","",ROUND(P272-$D272,2))</f>
        <v/>
      </c>
      <c r="R272" s="19">
        <f>IF($F272="","",ROUND(Rates!$B$8*(MAX(0,P272-Rates!$B$9)-MAX(0,$D272-Rates!$B$9)),2))</f>
        <v/>
      </c>
      <c r="S272" s="19">
        <f>IF($F272="","",ROUND(Rates!$B$10*IF(Rates!$B$11="Full",P272-$D272,MAX(0,MIN(P272,Rates!$B$13)-Rates!$B$12)-MAX(0,MIN($D272,Rates!$B$13)-Rates!$B$12)),2))</f>
        <v/>
      </c>
      <c r="T272" s="19">
        <f>IF($F272="","",ROUND(Q272+R272+S272,2))</f>
        <v/>
      </c>
    </row>
    <row r="273">
      <c r="A273" s="13" t="n"/>
      <c r="B273" s="13" t="n"/>
      <c r="C273" s="14" t="n"/>
      <c r="D273" s="14" t="n"/>
      <c r="E273" s="15" t="n"/>
      <c r="F273" s="16" t="n"/>
      <c r="G273" s="13" t="n"/>
      <c r="H273" s="13" t="n"/>
      <c r="I273" s="13" t="n"/>
      <c r="J273" s="17">
        <f>IF($F273="","",DATEDIF($F273,Rates!$B$2,"Y"))</f>
        <v/>
      </c>
      <c r="K273" s="18">
        <f>IF($F273="","",IF(UPPER($I273)="Y",Rates!$B$7,IF(J273&gt;=21,Rates!$B$4,IF(J273&gt;=18,Rates!$B$5,Rates!$B$6))))</f>
        <v/>
      </c>
      <c r="L273" s="17">
        <f>IF($F273="","",IF($E273&lt;K273,"Uplift needed","OK"))</f>
        <v/>
      </c>
      <c r="M273" s="17">
        <f>IF($F273="","",IF(AND(J273&lt;21,DATEDIF($F273,Rates!$B$3,"Y")&gt;=21),"Turns 21",IF(AND(J273&lt;18,DATEDIF($F273,Rates!$B$3,"Y")&gt;=18),"Turns 18","")))</f>
        <v/>
      </c>
      <c r="N273" s="18">
        <f>IF($F273="","",MAX($E273,K273))</f>
        <v/>
      </c>
      <c r="O273" s="19">
        <f>IF($F273="","",ROUND($C273*N273/$E273,2))</f>
        <v/>
      </c>
      <c r="P273" s="19">
        <f>IF($F273="","",ROUND($D273*N273/$E273,2))</f>
        <v/>
      </c>
      <c r="Q273" s="19">
        <f>IF($F273="","",ROUND(P273-$D273,2))</f>
        <v/>
      </c>
      <c r="R273" s="19">
        <f>IF($F273="","",ROUND(Rates!$B$8*(MAX(0,P273-Rates!$B$9)-MAX(0,$D273-Rates!$B$9)),2))</f>
        <v/>
      </c>
      <c r="S273" s="19">
        <f>IF($F273="","",ROUND(Rates!$B$10*IF(Rates!$B$11="Full",P273-$D273,MAX(0,MIN(P273,Rates!$B$13)-Rates!$B$12)-MAX(0,MIN($D273,Rates!$B$13)-Rates!$B$12)),2))</f>
        <v/>
      </c>
      <c r="T273" s="19">
        <f>IF($F273="","",ROUND(Q273+R273+S273,2))</f>
        <v/>
      </c>
    </row>
    <row r="274">
      <c r="A274" s="13" t="n"/>
      <c r="B274" s="13" t="n"/>
      <c r="C274" s="14" t="n"/>
      <c r="D274" s="14" t="n"/>
      <c r="E274" s="15" t="n"/>
      <c r="F274" s="16" t="n"/>
      <c r="G274" s="13" t="n"/>
      <c r="H274" s="13" t="n"/>
      <c r="I274" s="13" t="n"/>
      <c r="J274" s="17">
        <f>IF($F274="","",DATEDIF($F274,Rates!$B$2,"Y"))</f>
        <v/>
      </c>
      <c r="K274" s="18">
        <f>IF($F274="","",IF(UPPER($I274)="Y",Rates!$B$7,IF(J274&gt;=21,Rates!$B$4,IF(J274&gt;=18,Rates!$B$5,Rates!$B$6))))</f>
        <v/>
      </c>
      <c r="L274" s="17">
        <f>IF($F274="","",IF($E274&lt;K274,"Uplift needed","OK"))</f>
        <v/>
      </c>
      <c r="M274" s="17">
        <f>IF($F274="","",IF(AND(J274&lt;21,DATEDIF($F274,Rates!$B$3,"Y")&gt;=21),"Turns 21",IF(AND(J274&lt;18,DATEDIF($F274,Rates!$B$3,"Y")&gt;=18),"Turns 18","")))</f>
        <v/>
      </c>
      <c r="N274" s="18">
        <f>IF($F274="","",MAX($E274,K274))</f>
        <v/>
      </c>
      <c r="O274" s="19">
        <f>IF($F274="","",ROUND($C274*N274/$E274,2))</f>
        <v/>
      </c>
      <c r="P274" s="19">
        <f>IF($F274="","",ROUND($D274*N274/$E274,2))</f>
        <v/>
      </c>
      <c r="Q274" s="19">
        <f>IF($F274="","",ROUND(P274-$D274,2))</f>
        <v/>
      </c>
      <c r="R274" s="19">
        <f>IF($F274="","",ROUND(Rates!$B$8*(MAX(0,P274-Rates!$B$9)-MAX(0,$D274-Rates!$B$9)),2))</f>
        <v/>
      </c>
      <c r="S274" s="19">
        <f>IF($F274="","",ROUND(Rates!$B$10*IF(Rates!$B$11="Full",P274-$D274,MAX(0,MIN(P274,Rates!$B$13)-Rates!$B$12)-MAX(0,MIN($D274,Rates!$B$13)-Rates!$B$12)),2))</f>
        <v/>
      </c>
      <c r="T274" s="19">
        <f>IF($F274="","",ROUND(Q274+R274+S274,2))</f>
        <v/>
      </c>
    </row>
    <row r="275">
      <c r="A275" s="13" t="n"/>
      <c r="B275" s="13" t="n"/>
      <c r="C275" s="14" t="n"/>
      <c r="D275" s="14" t="n"/>
      <c r="E275" s="15" t="n"/>
      <c r="F275" s="16" t="n"/>
      <c r="G275" s="13" t="n"/>
      <c r="H275" s="13" t="n"/>
      <c r="I275" s="13" t="n"/>
      <c r="J275" s="17">
        <f>IF($F275="","",DATEDIF($F275,Rates!$B$2,"Y"))</f>
        <v/>
      </c>
      <c r="K275" s="18">
        <f>IF($F275="","",IF(UPPER($I275)="Y",Rates!$B$7,IF(J275&gt;=21,Rates!$B$4,IF(J275&gt;=18,Rates!$B$5,Rates!$B$6))))</f>
        <v/>
      </c>
      <c r="L275" s="17">
        <f>IF($F275="","",IF($E275&lt;K275,"Uplift needed","OK"))</f>
        <v/>
      </c>
      <c r="M275" s="17">
        <f>IF($F275="","",IF(AND(J275&lt;21,DATEDIF($F275,Rates!$B$3,"Y")&gt;=21),"Turns 21",IF(AND(J275&lt;18,DATEDIF($F275,Rates!$B$3,"Y")&gt;=18),"Turns 18","")))</f>
        <v/>
      </c>
      <c r="N275" s="18">
        <f>IF($F275="","",MAX($E275,K275))</f>
        <v/>
      </c>
      <c r="O275" s="19">
        <f>IF($F275="","",ROUND($C275*N275/$E275,2))</f>
        <v/>
      </c>
      <c r="P275" s="19">
        <f>IF($F275="","",ROUND($D275*N275/$E275,2))</f>
        <v/>
      </c>
      <c r="Q275" s="19">
        <f>IF($F275="","",ROUND(P275-$D275,2))</f>
        <v/>
      </c>
      <c r="R275" s="19">
        <f>IF($F275="","",ROUND(Rates!$B$8*(MAX(0,P275-Rates!$B$9)-MAX(0,$D275-Rates!$B$9)),2))</f>
        <v/>
      </c>
      <c r="S275" s="19">
        <f>IF($F275="","",ROUND(Rates!$B$10*IF(Rates!$B$11="Full",P275-$D275,MAX(0,MIN(P275,Rates!$B$13)-Rates!$B$12)-MAX(0,MIN($D275,Rates!$B$13)-Rates!$B$12)),2))</f>
        <v/>
      </c>
      <c r="T275" s="19">
        <f>IF($F275="","",ROUND(Q275+R275+S275,2))</f>
        <v/>
      </c>
    </row>
    <row r="276">
      <c r="A276" s="13" t="n"/>
      <c r="B276" s="13" t="n"/>
      <c r="C276" s="14" t="n"/>
      <c r="D276" s="14" t="n"/>
      <c r="E276" s="15" t="n"/>
      <c r="F276" s="16" t="n"/>
      <c r="G276" s="13" t="n"/>
      <c r="H276" s="13" t="n"/>
      <c r="I276" s="13" t="n"/>
      <c r="J276" s="17">
        <f>IF($F276="","",DATEDIF($F276,Rates!$B$2,"Y"))</f>
        <v/>
      </c>
      <c r="K276" s="18">
        <f>IF($F276="","",IF(UPPER($I276)="Y",Rates!$B$7,IF(J276&gt;=21,Rates!$B$4,IF(J276&gt;=18,Rates!$B$5,Rates!$B$6))))</f>
        <v/>
      </c>
      <c r="L276" s="17">
        <f>IF($F276="","",IF($E276&lt;K276,"Uplift needed","OK"))</f>
        <v/>
      </c>
      <c r="M276" s="17">
        <f>IF($F276="","",IF(AND(J276&lt;21,DATEDIF($F276,Rates!$B$3,"Y")&gt;=21),"Turns 21",IF(AND(J276&lt;18,DATEDIF($F276,Rates!$B$3,"Y")&gt;=18),"Turns 18","")))</f>
        <v/>
      </c>
      <c r="N276" s="18">
        <f>IF($F276="","",MAX($E276,K276))</f>
        <v/>
      </c>
      <c r="O276" s="19">
        <f>IF($F276="","",ROUND($C276*N276/$E276,2))</f>
        <v/>
      </c>
      <c r="P276" s="19">
        <f>IF($F276="","",ROUND($D276*N276/$E276,2))</f>
        <v/>
      </c>
      <c r="Q276" s="19">
        <f>IF($F276="","",ROUND(P276-$D276,2))</f>
        <v/>
      </c>
      <c r="R276" s="19">
        <f>IF($F276="","",ROUND(Rates!$B$8*(MAX(0,P276-Rates!$B$9)-MAX(0,$D276-Rates!$B$9)),2))</f>
        <v/>
      </c>
      <c r="S276" s="19">
        <f>IF($F276="","",ROUND(Rates!$B$10*IF(Rates!$B$11="Full",P276-$D276,MAX(0,MIN(P276,Rates!$B$13)-Rates!$B$12)-MAX(0,MIN($D276,Rates!$B$13)-Rates!$B$12)),2))</f>
        <v/>
      </c>
      <c r="T276" s="19">
        <f>IF($F276="","",ROUND(Q276+R276+S276,2))</f>
        <v/>
      </c>
    </row>
    <row r="277">
      <c r="A277" s="13" t="n"/>
      <c r="B277" s="13" t="n"/>
      <c r="C277" s="14" t="n"/>
      <c r="D277" s="14" t="n"/>
      <c r="E277" s="15" t="n"/>
      <c r="F277" s="16" t="n"/>
      <c r="G277" s="13" t="n"/>
      <c r="H277" s="13" t="n"/>
      <c r="I277" s="13" t="n"/>
      <c r="J277" s="17">
        <f>IF($F277="","",DATEDIF($F277,Rates!$B$2,"Y"))</f>
        <v/>
      </c>
      <c r="K277" s="18">
        <f>IF($F277="","",IF(UPPER($I277)="Y",Rates!$B$7,IF(J277&gt;=21,Rates!$B$4,IF(J277&gt;=18,Rates!$B$5,Rates!$B$6))))</f>
        <v/>
      </c>
      <c r="L277" s="17">
        <f>IF($F277="","",IF($E277&lt;K277,"Uplift needed","OK"))</f>
        <v/>
      </c>
      <c r="M277" s="17">
        <f>IF($F277="","",IF(AND(J277&lt;21,DATEDIF($F277,Rates!$B$3,"Y")&gt;=21),"Turns 21",IF(AND(J277&lt;18,DATEDIF($F277,Rates!$B$3,"Y")&gt;=18),"Turns 18","")))</f>
        <v/>
      </c>
      <c r="N277" s="18">
        <f>IF($F277="","",MAX($E277,K277))</f>
        <v/>
      </c>
      <c r="O277" s="19">
        <f>IF($F277="","",ROUND($C277*N277/$E277,2))</f>
        <v/>
      </c>
      <c r="P277" s="19">
        <f>IF($F277="","",ROUND($D277*N277/$E277,2))</f>
        <v/>
      </c>
      <c r="Q277" s="19">
        <f>IF($F277="","",ROUND(P277-$D277,2))</f>
        <v/>
      </c>
      <c r="R277" s="19">
        <f>IF($F277="","",ROUND(Rates!$B$8*(MAX(0,P277-Rates!$B$9)-MAX(0,$D277-Rates!$B$9)),2))</f>
        <v/>
      </c>
      <c r="S277" s="19">
        <f>IF($F277="","",ROUND(Rates!$B$10*IF(Rates!$B$11="Full",P277-$D277,MAX(0,MIN(P277,Rates!$B$13)-Rates!$B$12)-MAX(0,MIN($D277,Rates!$B$13)-Rates!$B$12)),2))</f>
        <v/>
      </c>
      <c r="T277" s="19">
        <f>IF($F277="","",ROUND(Q277+R277+S277,2))</f>
        <v/>
      </c>
    </row>
    <row r="278">
      <c r="A278" s="13" t="n"/>
      <c r="B278" s="13" t="n"/>
      <c r="C278" s="14" t="n"/>
      <c r="D278" s="14" t="n"/>
      <c r="E278" s="15" t="n"/>
      <c r="F278" s="16" t="n"/>
      <c r="G278" s="13" t="n"/>
      <c r="H278" s="13" t="n"/>
      <c r="I278" s="13" t="n"/>
      <c r="J278" s="17">
        <f>IF($F278="","",DATEDIF($F278,Rates!$B$2,"Y"))</f>
        <v/>
      </c>
      <c r="K278" s="18">
        <f>IF($F278="","",IF(UPPER($I278)="Y",Rates!$B$7,IF(J278&gt;=21,Rates!$B$4,IF(J278&gt;=18,Rates!$B$5,Rates!$B$6))))</f>
        <v/>
      </c>
      <c r="L278" s="17">
        <f>IF($F278="","",IF($E278&lt;K278,"Uplift needed","OK"))</f>
        <v/>
      </c>
      <c r="M278" s="17">
        <f>IF($F278="","",IF(AND(J278&lt;21,DATEDIF($F278,Rates!$B$3,"Y")&gt;=21),"Turns 21",IF(AND(J278&lt;18,DATEDIF($F278,Rates!$B$3,"Y")&gt;=18),"Turns 18","")))</f>
        <v/>
      </c>
      <c r="N278" s="18">
        <f>IF($F278="","",MAX($E278,K278))</f>
        <v/>
      </c>
      <c r="O278" s="19">
        <f>IF($F278="","",ROUND($C278*N278/$E278,2))</f>
        <v/>
      </c>
      <c r="P278" s="19">
        <f>IF($F278="","",ROUND($D278*N278/$E278,2))</f>
        <v/>
      </c>
      <c r="Q278" s="19">
        <f>IF($F278="","",ROUND(P278-$D278,2))</f>
        <v/>
      </c>
      <c r="R278" s="19">
        <f>IF($F278="","",ROUND(Rates!$B$8*(MAX(0,P278-Rates!$B$9)-MAX(0,$D278-Rates!$B$9)),2))</f>
        <v/>
      </c>
      <c r="S278" s="19">
        <f>IF($F278="","",ROUND(Rates!$B$10*IF(Rates!$B$11="Full",P278-$D278,MAX(0,MIN(P278,Rates!$B$13)-Rates!$B$12)-MAX(0,MIN($D278,Rates!$B$13)-Rates!$B$12)),2))</f>
        <v/>
      </c>
      <c r="T278" s="19">
        <f>IF($F278="","",ROUND(Q278+R278+S278,2))</f>
        <v/>
      </c>
    </row>
    <row r="279">
      <c r="A279" s="13" t="n"/>
      <c r="B279" s="13" t="n"/>
      <c r="C279" s="14" t="n"/>
      <c r="D279" s="14" t="n"/>
      <c r="E279" s="15" t="n"/>
      <c r="F279" s="16" t="n"/>
      <c r="G279" s="13" t="n"/>
      <c r="H279" s="13" t="n"/>
      <c r="I279" s="13" t="n"/>
      <c r="J279" s="17">
        <f>IF($F279="","",DATEDIF($F279,Rates!$B$2,"Y"))</f>
        <v/>
      </c>
      <c r="K279" s="18">
        <f>IF($F279="","",IF(UPPER($I279)="Y",Rates!$B$7,IF(J279&gt;=21,Rates!$B$4,IF(J279&gt;=18,Rates!$B$5,Rates!$B$6))))</f>
        <v/>
      </c>
      <c r="L279" s="17">
        <f>IF($F279="","",IF($E279&lt;K279,"Uplift needed","OK"))</f>
        <v/>
      </c>
      <c r="M279" s="17">
        <f>IF($F279="","",IF(AND(J279&lt;21,DATEDIF($F279,Rates!$B$3,"Y")&gt;=21),"Turns 21",IF(AND(J279&lt;18,DATEDIF($F279,Rates!$B$3,"Y")&gt;=18),"Turns 18","")))</f>
        <v/>
      </c>
      <c r="N279" s="18">
        <f>IF($F279="","",MAX($E279,K279))</f>
        <v/>
      </c>
      <c r="O279" s="19">
        <f>IF($F279="","",ROUND($C279*N279/$E279,2))</f>
        <v/>
      </c>
      <c r="P279" s="19">
        <f>IF($F279="","",ROUND($D279*N279/$E279,2))</f>
        <v/>
      </c>
      <c r="Q279" s="19">
        <f>IF($F279="","",ROUND(P279-$D279,2))</f>
        <v/>
      </c>
      <c r="R279" s="19">
        <f>IF($F279="","",ROUND(Rates!$B$8*(MAX(0,P279-Rates!$B$9)-MAX(0,$D279-Rates!$B$9)),2))</f>
        <v/>
      </c>
      <c r="S279" s="19">
        <f>IF($F279="","",ROUND(Rates!$B$10*IF(Rates!$B$11="Full",P279-$D279,MAX(0,MIN(P279,Rates!$B$13)-Rates!$B$12)-MAX(0,MIN($D279,Rates!$B$13)-Rates!$B$12)),2))</f>
        <v/>
      </c>
      <c r="T279" s="19">
        <f>IF($F279="","",ROUND(Q279+R279+S279,2))</f>
        <v/>
      </c>
    </row>
    <row r="280">
      <c r="A280" s="13" t="n"/>
      <c r="B280" s="13" t="n"/>
      <c r="C280" s="14" t="n"/>
      <c r="D280" s="14" t="n"/>
      <c r="E280" s="15" t="n"/>
      <c r="F280" s="16" t="n"/>
      <c r="G280" s="13" t="n"/>
      <c r="H280" s="13" t="n"/>
      <c r="I280" s="13" t="n"/>
      <c r="J280" s="17">
        <f>IF($F280="","",DATEDIF($F280,Rates!$B$2,"Y"))</f>
        <v/>
      </c>
      <c r="K280" s="18">
        <f>IF($F280="","",IF(UPPER($I280)="Y",Rates!$B$7,IF(J280&gt;=21,Rates!$B$4,IF(J280&gt;=18,Rates!$B$5,Rates!$B$6))))</f>
        <v/>
      </c>
      <c r="L280" s="17">
        <f>IF($F280="","",IF($E280&lt;K280,"Uplift needed","OK"))</f>
        <v/>
      </c>
      <c r="M280" s="17">
        <f>IF($F280="","",IF(AND(J280&lt;21,DATEDIF($F280,Rates!$B$3,"Y")&gt;=21),"Turns 21",IF(AND(J280&lt;18,DATEDIF($F280,Rates!$B$3,"Y")&gt;=18),"Turns 18","")))</f>
        <v/>
      </c>
      <c r="N280" s="18">
        <f>IF($F280="","",MAX($E280,K280))</f>
        <v/>
      </c>
      <c r="O280" s="19">
        <f>IF($F280="","",ROUND($C280*N280/$E280,2))</f>
        <v/>
      </c>
      <c r="P280" s="19">
        <f>IF($F280="","",ROUND($D280*N280/$E280,2))</f>
        <v/>
      </c>
      <c r="Q280" s="19">
        <f>IF($F280="","",ROUND(P280-$D280,2))</f>
        <v/>
      </c>
      <c r="R280" s="19">
        <f>IF($F280="","",ROUND(Rates!$B$8*(MAX(0,P280-Rates!$B$9)-MAX(0,$D280-Rates!$B$9)),2))</f>
        <v/>
      </c>
      <c r="S280" s="19">
        <f>IF($F280="","",ROUND(Rates!$B$10*IF(Rates!$B$11="Full",P280-$D280,MAX(0,MIN(P280,Rates!$B$13)-Rates!$B$12)-MAX(0,MIN($D280,Rates!$B$13)-Rates!$B$12)),2))</f>
        <v/>
      </c>
      <c r="T280" s="19">
        <f>IF($F280="","",ROUND(Q280+R280+S280,2))</f>
        <v/>
      </c>
    </row>
    <row r="281">
      <c r="A281" s="13" t="n"/>
      <c r="B281" s="13" t="n"/>
      <c r="C281" s="14" t="n"/>
      <c r="D281" s="14" t="n"/>
      <c r="E281" s="15" t="n"/>
      <c r="F281" s="16" t="n"/>
      <c r="G281" s="13" t="n"/>
      <c r="H281" s="13" t="n"/>
      <c r="I281" s="13" t="n"/>
      <c r="J281" s="17">
        <f>IF($F281="","",DATEDIF($F281,Rates!$B$2,"Y"))</f>
        <v/>
      </c>
      <c r="K281" s="18">
        <f>IF($F281="","",IF(UPPER($I281)="Y",Rates!$B$7,IF(J281&gt;=21,Rates!$B$4,IF(J281&gt;=18,Rates!$B$5,Rates!$B$6))))</f>
        <v/>
      </c>
      <c r="L281" s="17">
        <f>IF($F281="","",IF($E281&lt;K281,"Uplift needed","OK"))</f>
        <v/>
      </c>
      <c r="M281" s="17">
        <f>IF($F281="","",IF(AND(J281&lt;21,DATEDIF($F281,Rates!$B$3,"Y")&gt;=21),"Turns 21",IF(AND(J281&lt;18,DATEDIF($F281,Rates!$B$3,"Y")&gt;=18),"Turns 18","")))</f>
        <v/>
      </c>
      <c r="N281" s="18">
        <f>IF($F281="","",MAX($E281,K281))</f>
        <v/>
      </c>
      <c r="O281" s="19">
        <f>IF($F281="","",ROUND($C281*N281/$E281,2))</f>
        <v/>
      </c>
      <c r="P281" s="19">
        <f>IF($F281="","",ROUND($D281*N281/$E281,2))</f>
        <v/>
      </c>
      <c r="Q281" s="19">
        <f>IF($F281="","",ROUND(P281-$D281,2))</f>
        <v/>
      </c>
      <c r="R281" s="19">
        <f>IF($F281="","",ROUND(Rates!$B$8*(MAX(0,P281-Rates!$B$9)-MAX(0,$D281-Rates!$B$9)),2))</f>
        <v/>
      </c>
      <c r="S281" s="19">
        <f>IF($F281="","",ROUND(Rates!$B$10*IF(Rates!$B$11="Full",P281-$D281,MAX(0,MIN(P281,Rates!$B$13)-Rates!$B$12)-MAX(0,MIN($D281,Rates!$B$13)-Rates!$B$12)),2))</f>
        <v/>
      </c>
      <c r="T281" s="19">
        <f>IF($F281="","",ROUND(Q281+R281+S281,2))</f>
        <v/>
      </c>
    </row>
    <row r="282">
      <c r="A282" s="13" t="n"/>
      <c r="B282" s="13" t="n"/>
      <c r="C282" s="14" t="n"/>
      <c r="D282" s="14" t="n"/>
      <c r="E282" s="15" t="n"/>
      <c r="F282" s="16" t="n"/>
      <c r="G282" s="13" t="n"/>
      <c r="H282" s="13" t="n"/>
      <c r="I282" s="13" t="n"/>
      <c r="J282" s="17">
        <f>IF($F282="","",DATEDIF($F282,Rates!$B$2,"Y"))</f>
        <v/>
      </c>
      <c r="K282" s="18">
        <f>IF($F282="","",IF(UPPER($I282)="Y",Rates!$B$7,IF(J282&gt;=21,Rates!$B$4,IF(J282&gt;=18,Rates!$B$5,Rates!$B$6))))</f>
        <v/>
      </c>
      <c r="L282" s="17">
        <f>IF($F282="","",IF($E282&lt;K282,"Uplift needed","OK"))</f>
        <v/>
      </c>
      <c r="M282" s="17">
        <f>IF($F282="","",IF(AND(J282&lt;21,DATEDIF($F282,Rates!$B$3,"Y")&gt;=21),"Turns 21",IF(AND(J282&lt;18,DATEDIF($F282,Rates!$B$3,"Y")&gt;=18),"Turns 18","")))</f>
        <v/>
      </c>
      <c r="N282" s="18">
        <f>IF($F282="","",MAX($E282,K282))</f>
        <v/>
      </c>
      <c r="O282" s="19">
        <f>IF($F282="","",ROUND($C282*N282/$E282,2))</f>
        <v/>
      </c>
      <c r="P282" s="19">
        <f>IF($F282="","",ROUND($D282*N282/$E282,2))</f>
        <v/>
      </c>
      <c r="Q282" s="19">
        <f>IF($F282="","",ROUND(P282-$D282,2))</f>
        <v/>
      </c>
      <c r="R282" s="19">
        <f>IF($F282="","",ROUND(Rates!$B$8*(MAX(0,P282-Rates!$B$9)-MAX(0,$D282-Rates!$B$9)),2))</f>
        <v/>
      </c>
      <c r="S282" s="19">
        <f>IF($F282="","",ROUND(Rates!$B$10*IF(Rates!$B$11="Full",P282-$D282,MAX(0,MIN(P282,Rates!$B$13)-Rates!$B$12)-MAX(0,MIN($D282,Rates!$B$13)-Rates!$B$12)),2))</f>
        <v/>
      </c>
      <c r="T282" s="19">
        <f>IF($F282="","",ROUND(Q282+R282+S282,2))</f>
        <v/>
      </c>
    </row>
    <row r="283">
      <c r="A283" s="13" t="n"/>
      <c r="B283" s="13" t="n"/>
      <c r="C283" s="14" t="n"/>
      <c r="D283" s="14" t="n"/>
      <c r="E283" s="15" t="n"/>
      <c r="F283" s="16" t="n"/>
      <c r="G283" s="13" t="n"/>
      <c r="H283" s="13" t="n"/>
      <c r="I283" s="13" t="n"/>
      <c r="J283" s="17">
        <f>IF($F283="","",DATEDIF($F283,Rates!$B$2,"Y"))</f>
        <v/>
      </c>
      <c r="K283" s="18">
        <f>IF($F283="","",IF(UPPER($I283)="Y",Rates!$B$7,IF(J283&gt;=21,Rates!$B$4,IF(J283&gt;=18,Rates!$B$5,Rates!$B$6))))</f>
        <v/>
      </c>
      <c r="L283" s="17">
        <f>IF($F283="","",IF($E283&lt;K283,"Uplift needed","OK"))</f>
        <v/>
      </c>
      <c r="M283" s="17">
        <f>IF($F283="","",IF(AND(J283&lt;21,DATEDIF($F283,Rates!$B$3,"Y")&gt;=21),"Turns 21",IF(AND(J283&lt;18,DATEDIF($F283,Rates!$B$3,"Y")&gt;=18),"Turns 18","")))</f>
        <v/>
      </c>
      <c r="N283" s="18">
        <f>IF($F283="","",MAX($E283,K283))</f>
        <v/>
      </c>
      <c r="O283" s="19">
        <f>IF($F283="","",ROUND($C283*N283/$E283,2))</f>
        <v/>
      </c>
      <c r="P283" s="19">
        <f>IF($F283="","",ROUND($D283*N283/$E283,2))</f>
        <v/>
      </c>
      <c r="Q283" s="19">
        <f>IF($F283="","",ROUND(P283-$D283,2))</f>
        <v/>
      </c>
      <c r="R283" s="19">
        <f>IF($F283="","",ROUND(Rates!$B$8*(MAX(0,P283-Rates!$B$9)-MAX(0,$D283-Rates!$B$9)),2))</f>
        <v/>
      </c>
      <c r="S283" s="19">
        <f>IF($F283="","",ROUND(Rates!$B$10*IF(Rates!$B$11="Full",P283-$D283,MAX(0,MIN(P283,Rates!$B$13)-Rates!$B$12)-MAX(0,MIN($D283,Rates!$B$13)-Rates!$B$12)),2))</f>
        <v/>
      </c>
      <c r="T283" s="19">
        <f>IF($F283="","",ROUND(Q283+R283+S283,2))</f>
        <v/>
      </c>
    </row>
    <row r="284">
      <c r="A284" s="13" t="n"/>
      <c r="B284" s="13" t="n"/>
      <c r="C284" s="14" t="n"/>
      <c r="D284" s="14" t="n"/>
      <c r="E284" s="15" t="n"/>
      <c r="F284" s="16" t="n"/>
      <c r="G284" s="13" t="n"/>
      <c r="H284" s="13" t="n"/>
      <c r="I284" s="13" t="n"/>
      <c r="J284" s="17">
        <f>IF($F284="","",DATEDIF($F284,Rates!$B$2,"Y"))</f>
        <v/>
      </c>
      <c r="K284" s="18">
        <f>IF($F284="","",IF(UPPER($I284)="Y",Rates!$B$7,IF(J284&gt;=21,Rates!$B$4,IF(J284&gt;=18,Rates!$B$5,Rates!$B$6))))</f>
        <v/>
      </c>
      <c r="L284" s="17">
        <f>IF($F284="","",IF($E284&lt;K284,"Uplift needed","OK"))</f>
        <v/>
      </c>
      <c r="M284" s="17">
        <f>IF($F284="","",IF(AND(J284&lt;21,DATEDIF($F284,Rates!$B$3,"Y")&gt;=21),"Turns 21",IF(AND(J284&lt;18,DATEDIF($F284,Rates!$B$3,"Y")&gt;=18),"Turns 18","")))</f>
        <v/>
      </c>
      <c r="N284" s="18">
        <f>IF($F284="","",MAX($E284,K284))</f>
        <v/>
      </c>
      <c r="O284" s="19">
        <f>IF($F284="","",ROUND($C284*N284/$E284,2))</f>
        <v/>
      </c>
      <c r="P284" s="19">
        <f>IF($F284="","",ROUND($D284*N284/$E284,2))</f>
        <v/>
      </c>
      <c r="Q284" s="19">
        <f>IF($F284="","",ROUND(P284-$D284,2))</f>
        <v/>
      </c>
      <c r="R284" s="19">
        <f>IF($F284="","",ROUND(Rates!$B$8*(MAX(0,P284-Rates!$B$9)-MAX(0,$D284-Rates!$B$9)),2))</f>
        <v/>
      </c>
      <c r="S284" s="19">
        <f>IF($F284="","",ROUND(Rates!$B$10*IF(Rates!$B$11="Full",P284-$D284,MAX(0,MIN(P284,Rates!$B$13)-Rates!$B$12)-MAX(0,MIN($D284,Rates!$B$13)-Rates!$B$12)),2))</f>
        <v/>
      </c>
      <c r="T284" s="19">
        <f>IF($F284="","",ROUND(Q284+R284+S284,2))</f>
        <v/>
      </c>
    </row>
    <row r="285">
      <c r="A285" s="13" t="n"/>
      <c r="B285" s="13" t="n"/>
      <c r="C285" s="14" t="n"/>
      <c r="D285" s="14" t="n"/>
      <c r="E285" s="15" t="n"/>
      <c r="F285" s="16" t="n"/>
      <c r="G285" s="13" t="n"/>
      <c r="H285" s="13" t="n"/>
      <c r="I285" s="13" t="n"/>
      <c r="J285" s="17">
        <f>IF($F285="","",DATEDIF($F285,Rates!$B$2,"Y"))</f>
        <v/>
      </c>
      <c r="K285" s="18">
        <f>IF($F285="","",IF(UPPER($I285)="Y",Rates!$B$7,IF(J285&gt;=21,Rates!$B$4,IF(J285&gt;=18,Rates!$B$5,Rates!$B$6))))</f>
        <v/>
      </c>
      <c r="L285" s="17">
        <f>IF($F285="","",IF($E285&lt;K285,"Uplift needed","OK"))</f>
        <v/>
      </c>
      <c r="M285" s="17">
        <f>IF($F285="","",IF(AND(J285&lt;21,DATEDIF($F285,Rates!$B$3,"Y")&gt;=21),"Turns 21",IF(AND(J285&lt;18,DATEDIF($F285,Rates!$B$3,"Y")&gt;=18),"Turns 18","")))</f>
        <v/>
      </c>
      <c r="N285" s="18">
        <f>IF($F285="","",MAX($E285,K285))</f>
        <v/>
      </c>
      <c r="O285" s="19">
        <f>IF($F285="","",ROUND($C285*N285/$E285,2))</f>
        <v/>
      </c>
      <c r="P285" s="19">
        <f>IF($F285="","",ROUND($D285*N285/$E285,2))</f>
        <v/>
      </c>
      <c r="Q285" s="19">
        <f>IF($F285="","",ROUND(P285-$D285,2))</f>
        <v/>
      </c>
      <c r="R285" s="19">
        <f>IF($F285="","",ROUND(Rates!$B$8*(MAX(0,P285-Rates!$B$9)-MAX(0,$D285-Rates!$B$9)),2))</f>
        <v/>
      </c>
      <c r="S285" s="19">
        <f>IF($F285="","",ROUND(Rates!$B$10*IF(Rates!$B$11="Full",P285-$D285,MAX(0,MIN(P285,Rates!$B$13)-Rates!$B$12)-MAX(0,MIN($D285,Rates!$B$13)-Rates!$B$12)),2))</f>
        <v/>
      </c>
      <c r="T285" s="19">
        <f>IF($F285="","",ROUND(Q285+R285+S285,2))</f>
        <v/>
      </c>
    </row>
    <row r="286">
      <c r="A286" s="13" t="n"/>
      <c r="B286" s="13" t="n"/>
      <c r="C286" s="14" t="n"/>
      <c r="D286" s="14" t="n"/>
      <c r="E286" s="15" t="n"/>
      <c r="F286" s="16" t="n"/>
      <c r="G286" s="13" t="n"/>
      <c r="H286" s="13" t="n"/>
      <c r="I286" s="13" t="n"/>
      <c r="J286" s="17">
        <f>IF($F286="","",DATEDIF($F286,Rates!$B$2,"Y"))</f>
        <v/>
      </c>
      <c r="K286" s="18">
        <f>IF($F286="","",IF(UPPER($I286)="Y",Rates!$B$7,IF(J286&gt;=21,Rates!$B$4,IF(J286&gt;=18,Rates!$B$5,Rates!$B$6))))</f>
        <v/>
      </c>
      <c r="L286" s="17">
        <f>IF($F286="","",IF($E286&lt;K286,"Uplift needed","OK"))</f>
        <v/>
      </c>
      <c r="M286" s="17">
        <f>IF($F286="","",IF(AND(J286&lt;21,DATEDIF($F286,Rates!$B$3,"Y")&gt;=21),"Turns 21",IF(AND(J286&lt;18,DATEDIF($F286,Rates!$B$3,"Y")&gt;=18),"Turns 18","")))</f>
        <v/>
      </c>
      <c r="N286" s="18">
        <f>IF($F286="","",MAX($E286,K286))</f>
        <v/>
      </c>
      <c r="O286" s="19">
        <f>IF($F286="","",ROUND($C286*N286/$E286,2))</f>
        <v/>
      </c>
      <c r="P286" s="19">
        <f>IF($F286="","",ROUND($D286*N286/$E286,2))</f>
        <v/>
      </c>
      <c r="Q286" s="19">
        <f>IF($F286="","",ROUND(P286-$D286,2))</f>
        <v/>
      </c>
      <c r="R286" s="19">
        <f>IF($F286="","",ROUND(Rates!$B$8*(MAX(0,P286-Rates!$B$9)-MAX(0,$D286-Rates!$B$9)),2))</f>
        <v/>
      </c>
      <c r="S286" s="19">
        <f>IF($F286="","",ROUND(Rates!$B$10*IF(Rates!$B$11="Full",P286-$D286,MAX(0,MIN(P286,Rates!$B$13)-Rates!$B$12)-MAX(0,MIN($D286,Rates!$B$13)-Rates!$B$12)),2))</f>
        <v/>
      </c>
      <c r="T286" s="19">
        <f>IF($F286="","",ROUND(Q286+R286+S286,2))</f>
        <v/>
      </c>
    </row>
    <row r="287">
      <c r="A287" s="13" t="n"/>
      <c r="B287" s="13" t="n"/>
      <c r="C287" s="14" t="n"/>
      <c r="D287" s="14" t="n"/>
      <c r="E287" s="15" t="n"/>
      <c r="F287" s="16" t="n"/>
      <c r="G287" s="13" t="n"/>
      <c r="H287" s="13" t="n"/>
      <c r="I287" s="13" t="n"/>
      <c r="J287" s="17">
        <f>IF($F287="","",DATEDIF($F287,Rates!$B$2,"Y"))</f>
        <v/>
      </c>
      <c r="K287" s="18">
        <f>IF($F287="","",IF(UPPER($I287)="Y",Rates!$B$7,IF(J287&gt;=21,Rates!$B$4,IF(J287&gt;=18,Rates!$B$5,Rates!$B$6))))</f>
        <v/>
      </c>
      <c r="L287" s="17">
        <f>IF($F287="","",IF($E287&lt;K287,"Uplift needed","OK"))</f>
        <v/>
      </c>
      <c r="M287" s="17">
        <f>IF($F287="","",IF(AND(J287&lt;21,DATEDIF($F287,Rates!$B$3,"Y")&gt;=21),"Turns 21",IF(AND(J287&lt;18,DATEDIF($F287,Rates!$B$3,"Y")&gt;=18),"Turns 18","")))</f>
        <v/>
      </c>
      <c r="N287" s="18">
        <f>IF($F287="","",MAX($E287,K287))</f>
        <v/>
      </c>
      <c r="O287" s="19">
        <f>IF($F287="","",ROUND($C287*N287/$E287,2))</f>
        <v/>
      </c>
      <c r="P287" s="19">
        <f>IF($F287="","",ROUND($D287*N287/$E287,2))</f>
        <v/>
      </c>
      <c r="Q287" s="19">
        <f>IF($F287="","",ROUND(P287-$D287,2))</f>
        <v/>
      </c>
      <c r="R287" s="19">
        <f>IF($F287="","",ROUND(Rates!$B$8*(MAX(0,P287-Rates!$B$9)-MAX(0,$D287-Rates!$B$9)),2))</f>
        <v/>
      </c>
      <c r="S287" s="19">
        <f>IF($F287="","",ROUND(Rates!$B$10*IF(Rates!$B$11="Full",P287-$D287,MAX(0,MIN(P287,Rates!$B$13)-Rates!$B$12)-MAX(0,MIN($D287,Rates!$B$13)-Rates!$B$12)),2))</f>
        <v/>
      </c>
      <c r="T287" s="19">
        <f>IF($F287="","",ROUND(Q287+R287+S287,2))</f>
        <v/>
      </c>
    </row>
    <row r="288">
      <c r="A288" s="13" t="n"/>
      <c r="B288" s="13" t="n"/>
      <c r="C288" s="14" t="n"/>
      <c r="D288" s="14" t="n"/>
      <c r="E288" s="15" t="n"/>
      <c r="F288" s="16" t="n"/>
      <c r="G288" s="13" t="n"/>
      <c r="H288" s="13" t="n"/>
      <c r="I288" s="13" t="n"/>
      <c r="J288" s="17">
        <f>IF($F288="","",DATEDIF($F288,Rates!$B$2,"Y"))</f>
        <v/>
      </c>
      <c r="K288" s="18">
        <f>IF($F288="","",IF(UPPER($I288)="Y",Rates!$B$7,IF(J288&gt;=21,Rates!$B$4,IF(J288&gt;=18,Rates!$B$5,Rates!$B$6))))</f>
        <v/>
      </c>
      <c r="L288" s="17">
        <f>IF($F288="","",IF($E288&lt;K288,"Uplift needed","OK"))</f>
        <v/>
      </c>
      <c r="M288" s="17">
        <f>IF($F288="","",IF(AND(J288&lt;21,DATEDIF($F288,Rates!$B$3,"Y")&gt;=21),"Turns 21",IF(AND(J288&lt;18,DATEDIF($F288,Rates!$B$3,"Y")&gt;=18),"Turns 18","")))</f>
        <v/>
      </c>
      <c r="N288" s="18">
        <f>IF($F288="","",MAX($E288,K288))</f>
        <v/>
      </c>
      <c r="O288" s="19">
        <f>IF($F288="","",ROUND($C288*N288/$E288,2))</f>
        <v/>
      </c>
      <c r="P288" s="19">
        <f>IF($F288="","",ROUND($D288*N288/$E288,2))</f>
        <v/>
      </c>
      <c r="Q288" s="19">
        <f>IF($F288="","",ROUND(P288-$D288,2))</f>
        <v/>
      </c>
      <c r="R288" s="19">
        <f>IF($F288="","",ROUND(Rates!$B$8*(MAX(0,P288-Rates!$B$9)-MAX(0,$D288-Rates!$B$9)),2))</f>
        <v/>
      </c>
      <c r="S288" s="19">
        <f>IF($F288="","",ROUND(Rates!$B$10*IF(Rates!$B$11="Full",P288-$D288,MAX(0,MIN(P288,Rates!$B$13)-Rates!$B$12)-MAX(0,MIN($D288,Rates!$B$13)-Rates!$B$12)),2))</f>
        <v/>
      </c>
      <c r="T288" s="19">
        <f>IF($F288="","",ROUND(Q288+R288+S288,2))</f>
        <v/>
      </c>
    </row>
    <row r="289">
      <c r="A289" s="13" t="n"/>
      <c r="B289" s="13" t="n"/>
      <c r="C289" s="14" t="n"/>
      <c r="D289" s="14" t="n"/>
      <c r="E289" s="15" t="n"/>
      <c r="F289" s="16" t="n"/>
      <c r="G289" s="13" t="n"/>
      <c r="H289" s="13" t="n"/>
      <c r="I289" s="13" t="n"/>
      <c r="J289" s="17">
        <f>IF($F289="","",DATEDIF($F289,Rates!$B$2,"Y"))</f>
        <v/>
      </c>
      <c r="K289" s="18">
        <f>IF($F289="","",IF(UPPER($I289)="Y",Rates!$B$7,IF(J289&gt;=21,Rates!$B$4,IF(J289&gt;=18,Rates!$B$5,Rates!$B$6))))</f>
        <v/>
      </c>
      <c r="L289" s="17">
        <f>IF($F289="","",IF($E289&lt;K289,"Uplift needed","OK"))</f>
        <v/>
      </c>
      <c r="M289" s="17">
        <f>IF($F289="","",IF(AND(J289&lt;21,DATEDIF($F289,Rates!$B$3,"Y")&gt;=21),"Turns 21",IF(AND(J289&lt;18,DATEDIF($F289,Rates!$B$3,"Y")&gt;=18),"Turns 18","")))</f>
        <v/>
      </c>
      <c r="N289" s="18">
        <f>IF($F289="","",MAX($E289,K289))</f>
        <v/>
      </c>
      <c r="O289" s="19">
        <f>IF($F289="","",ROUND($C289*N289/$E289,2))</f>
        <v/>
      </c>
      <c r="P289" s="19">
        <f>IF($F289="","",ROUND($D289*N289/$E289,2))</f>
        <v/>
      </c>
      <c r="Q289" s="19">
        <f>IF($F289="","",ROUND(P289-$D289,2))</f>
        <v/>
      </c>
      <c r="R289" s="19">
        <f>IF($F289="","",ROUND(Rates!$B$8*(MAX(0,P289-Rates!$B$9)-MAX(0,$D289-Rates!$B$9)),2))</f>
        <v/>
      </c>
      <c r="S289" s="19">
        <f>IF($F289="","",ROUND(Rates!$B$10*IF(Rates!$B$11="Full",P289-$D289,MAX(0,MIN(P289,Rates!$B$13)-Rates!$B$12)-MAX(0,MIN($D289,Rates!$B$13)-Rates!$B$12)),2))</f>
        <v/>
      </c>
      <c r="T289" s="19">
        <f>IF($F289="","",ROUND(Q289+R289+S289,2))</f>
        <v/>
      </c>
    </row>
    <row r="290">
      <c r="A290" s="13" t="n"/>
      <c r="B290" s="13" t="n"/>
      <c r="C290" s="14" t="n"/>
      <c r="D290" s="14" t="n"/>
      <c r="E290" s="15" t="n"/>
      <c r="F290" s="16" t="n"/>
      <c r="G290" s="13" t="n"/>
      <c r="H290" s="13" t="n"/>
      <c r="I290" s="13" t="n"/>
      <c r="J290" s="17">
        <f>IF($F290="","",DATEDIF($F290,Rates!$B$2,"Y"))</f>
        <v/>
      </c>
      <c r="K290" s="18">
        <f>IF($F290="","",IF(UPPER($I290)="Y",Rates!$B$7,IF(J290&gt;=21,Rates!$B$4,IF(J290&gt;=18,Rates!$B$5,Rates!$B$6))))</f>
        <v/>
      </c>
      <c r="L290" s="17">
        <f>IF($F290="","",IF($E290&lt;K290,"Uplift needed","OK"))</f>
        <v/>
      </c>
      <c r="M290" s="17">
        <f>IF($F290="","",IF(AND(J290&lt;21,DATEDIF($F290,Rates!$B$3,"Y")&gt;=21),"Turns 21",IF(AND(J290&lt;18,DATEDIF($F290,Rates!$B$3,"Y")&gt;=18),"Turns 18","")))</f>
        <v/>
      </c>
      <c r="N290" s="18">
        <f>IF($F290="","",MAX($E290,K290))</f>
        <v/>
      </c>
      <c r="O290" s="19">
        <f>IF($F290="","",ROUND($C290*N290/$E290,2))</f>
        <v/>
      </c>
      <c r="P290" s="19">
        <f>IF($F290="","",ROUND($D290*N290/$E290,2))</f>
        <v/>
      </c>
      <c r="Q290" s="19">
        <f>IF($F290="","",ROUND(P290-$D290,2))</f>
        <v/>
      </c>
      <c r="R290" s="19">
        <f>IF($F290="","",ROUND(Rates!$B$8*(MAX(0,P290-Rates!$B$9)-MAX(0,$D290-Rates!$B$9)),2))</f>
        <v/>
      </c>
      <c r="S290" s="19">
        <f>IF($F290="","",ROUND(Rates!$B$10*IF(Rates!$B$11="Full",P290-$D290,MAX(0,MIN(P290,Rates!$B$13)-Rates!$B$12)-MAX(0,MIN($D290,Rates!$B$13)-Rates!$B$12)),2))</f>
        <v/>
      </c>
      <c r="T290" s="19">
        <f>IF($F290="","",ROUND(Q290+R290+S290,2))</f>
        <v/>
      </c>
    </row>
    <row r="291">
      <c r="A291" s="13" t="n"/>
      <c r="B291" s="13" t="n"/>
      <c r="C291" s="14" t="n"/>
      <c r="D291" s="14" t="n"/>
      <c r="E291" s="15" t="n"/>
      <c r="F291" s="16" t="n"/>
      <c r="G291" s="13" t="n"/>
      <c r="H291" s="13" t="n"/>
      <c r="I291" s="13" t="n"/>
      <c r="J291" s="17">
        <f>IF($F291="","",DATEDIF($F291,Rates!$B$2,"Y"))</f>
        <v/>
      </c>
      <c r="K291" s="18">
        <f>IF($F291="","",IF(UPPER($I291)="Y",Rates!$B$7,IF(J291&gt;=21,Rates!$B$4,IF(J291&gt;=18,Rates!$B$5,Rates!$B$6))))</f>
        <v/>
      </c>
      <c r="L291" s="17">
        <f>IF($F291="","",IF($E291&lt;K291,"Uplift needed","OK"))</f>
        <v/>
      </c>
      <c r="M291" s="17">
        <f>IF($F291="","",IF(AND(J291&lt;21,DATEDIF($F291,Rates!$B$3,"Y")&gt;=21),"Turns 21",IF(AND(J291&lt;18,DATEDIF($F291,Rates!$B$3,"Y")&gt;=18),"Turns 18","")))</f>
        <v/>
      </c>
      <c r="N291" s="18">
        <f>IF($F291="","",MAX($E291,K291))</f>
        <v/>
      </c>
      <c r="O291" s="19">
        <f>IF($F291="","",ROUND($C291*N291/$E291,2))</f>
        <v/>
      </c>
      <c r="P291" s="19">
        <f>IF($F291="","",ROUND($D291*N291/$E291,2))</f>
        <v/>
      </c>
      <c r="Q291" s="19">
        <f>IF($F291="","",ROUND(P291-$D291,2))</f>
        <v/>
      </c>
      <c r="R291" s="19">
        <f>IF($F291="","",ROUND(Rates!$B$8*(MAX(0,P291-Rates!$B$9)-MAX(0,$D291-Rates!$B$9)),2))</f>
        <v/>
      </c>
      <c r="S291" s="19">
        <f>IF($F291="","",ROUND(Rates!$B$10*IF(Rates!$B$11="Full",P291-$D291,MAX(0,MIN(P291,Rates!$B$13)-Rates!$B$12)-MAX(0,MIN($D291,Rates!$B$13)-Rates!$B$12)),2))</f>
        <v/>
      </c>
      <c r="T291" s="19">
        <f>IF($F291="","",ROUND(Q291+R291+S291,2))</f>
        <v/>
      </c>
    </row>
    <row r="292">
      <c r="A292" s="13" t="n"/>
      <c r="B292" s="13" t="n"/>
      <c r="C292" s="14" t="n"/>
      <c r="D292" s="14" t="n"/>
      <c r="E292" s="15" t="n"/>
      <c r="F292" s="16" t="n"/>
      <c r="G292" s="13" t="n"/>
      <c r="H292" s="13" t="n"/>
      <c r="I292" s="13" t="n"/>
      <c r="J292" s="17">
        <f>IF($F292="","",DATEDIF($F292,Rates!$B$2,"Y"))</f>
        <v/>
      </c>
      <c r="K292" s="18">
        <f>IF($F292="","",IF(UPPER($I292)="Y",Rates!$B$7,IF(J292&gt;=21,Rates!$B$4,IF(J292&gt;=18,Rates!$B$5,Rates!$B$6))))</f>
        <v/>
      </c>
      <c r="L292" s="17">
        <f>IF($F292="","",IF($E292&lt;K292,"Uplift needed","OK"))</f>
        <v/>
      </c>
      <c r="M292" s="17">
        <f>IF($F292="","",IF(AND(J292&lt;21,DATEDIF($F292,Rates!$B$3,"Y")&gt;=21),"Turns 21",IF(AND(J292&lt;18,DATEDIF($F292,Rates!$B$3,"Y")&gt;=18),"Turns 18","")))</f>
        <v/>
      </c>
      <c r="N292" s="18">
        <f>IF($F292="","",MAX($E292,K292))</f>
        <v/>
      </c>
      <c r="O292" s="19">
        <f>IF($F292="","",ROUND($C292*N292/$E292,2))</f>
        <v/>
      </c>
      <c r="P292" s="19">
        <f>IF($F292="","",ROUND($D292*N292/$E292,2))</f>
        <v/>
      </c>
      <c r="Q292" s="19">
        <f>IF($F292="","",ROUND(P292-$D292,2))</f>
        <v/>
      </c>
      <c r="R292" s="19">
        <f>IF($F292="","",ROUND(Rates!$B$8*(MAX(0,P292-Rates!$B$9)-MAX(0,$D292-Rates!$B$9)),2))</f>
        <v/>
      </c>
      <c r="S292" s="19">
        <f>IF($F292="","",ROUND(Rates!$B$10*IF(Rates!$B$11="Full",P292-$D292,MAX(0,MIN(P292,Rates!$B$13)-Rates!$B$12)-MAX(0,MIN($D292,Rates!$B$13)-Rates!$B$12)),2))</f>
        <v/>
      </c>
      <c r="T292" s="19">
        <f>IF($F292="","",ROUND(Q292+R292+S292,2))</f>
        <v/>
      </c>
    </row>
    <row r="293">
      <c r="A293" s="13" t="n"/>
      <c r="B293" s="13" t="n"/>
      <c r="C293" s="14" t="n"/>
      <c r="D293" s="14" t="n"/>
      <c r="E293" s="15" t="n"/>
      <c r="F293" s="16" t="n"/>
      <c r="G293" s="13" t="n"/>
      <c r="H293" s="13" t="n"/>
      <c r="I293" s="13" t="n"/>
      <c r="J293" s="17">
        <f>IF($F293="","",DATEDIF($F293,Rates!$B$2,"Y"))</f>
        <v/>
      </c>
      <c r="K293" s="18">
        <f>IF($F293="","",IF(UPPER($I293)="Y",Rates!$B$7,IF(J293&gt;=21,Rates!$B$4,IF(J293&gt;=18,Rates!$B$5,Rates!$B$6))))</f>
        <v/>
      </c>
      <c r="L293" s="17">
        <f>IF($F293="","",IF($E293&lt;K293,"Uplift needed","OK"))</f>
        <v/>
      </c>
      <c r="M293" s="17">
        <f>IF($F293="","",IF(AND(J293&lt;21,DATEDIF($F293,Rates!$B$3,"Y")&gt;=21),"Turns 21",IF(AND(J293&lt;18,DATEDIF($F293,Rates!$B$3,"Y")&gt;=18),"Turns 18","")))</f>
        <v/>
      </c>
      <c r="N293" s="18">
        <f>IF($F293="","",MAX($E293,K293))</f>
        <v/>
      </c>
      <c r="O293" s="19">
        <f>IF($F293="","",ROUND($C293*N293/$E293,2))</f>
        <v/>
      </c>
      <c r="P293" s="19">
        <f>IF($F293="","",ROUND($D293*N293/$E293,2))</f>
        <v/>
      </c>
      <c r="Q293" s="19">
        <f>IF($F293="","",ROUND(P293-$D293,2))</f>
        <v/>
      </c>
      <c r="R293" s="19">
        <f>IF($F293="","",ROUND(Rates!$B$8*(MAX(0,P293-Rates!$B$9)-MAX(0,$D293-Rates!$B$9)),2))</f>
        <v/>
      </c>
      <c r="S293" s="19">
        <f>IF($F293="","",ROUND(Rates!$B$10*IF(Rates!$B$11="Full",P293-$D293,MAX(0,MIN(P293,Rates!$B$13)-Rates!$B$12)-MAX(0,MIN($D293,Rates!$B$13)-Rates!$B$12)),2))</f>
        <v/>
      </c>
      <c r="T293" s="19">
        <f>IF($F293="","",ROUND(Q293+R293+S293,2))</f>
        <v/>
      </c>
    </row>
    <row r="294">
      <c r="A294" s="13" t="n"/>
      <c r="B294" s="13" t="n"/>
      <c r="C294" s="14" t="n"/>
      <c r="D294" s="14" t="n"/>
      <c r="E294" s="15" t="n"/>
      <c r="F294" s="16" t="n"/>
      <c r="G294" s="13" t="n"/>
      <c r="H294" s="13" t="n"/>
      <c r="I294" s="13" t="n"/>
      <c r="J294" s="17">
        <f>IF($F294="","",DATEDIF($F294,Rates!$B$2,"Y"))</f>
        <v/>
      </c>
      <c r="K294" s="18">
        <f>IF($F294="","",IF(UPPER($I294)="Y",Rates!$B$7,IF(J294&gt;=21,Rates!$B$4,IF(J294&gt;=18,Rates!$B$5,Rates!$B$6))))</f>
        <v/>
      </c>
      <c r="L294" s="17">
        <f>IF($F294="","",IF($E294&lt;K294,"Uplift needed","OK"))</f>
        <v/>
      </c>
      <c r="M294" s="17">
        <f>IF($F294="","",IF(AND(J294&lt;21,DATEDIF($F294,Rates!$B$3,"Y")&gt;=21),"Turns 21",IF(AND(J294&lt;18,DATEDIF($F294,Rates!$B$3,"Y")&gt;=18),"Turns 18","")))</f>
        <v/>
      </c>
      <c r="N294" s="18">
        <f>IF($F294="","",MAX($E294,K294))</f>
        <v/>
      </c>
      <c r="O294" s="19">
        <f>IF($F294="","",ROUND($C294*N294/$E294,2))</f>
        <v/>
      </c>
      <c r="P294" s="19">
        <f>IF($F294="","",ROUND($D294*N294/$E294,2))</f>
        <v/>
      </c>
      <c r="Q294" s="19">
        <f>IF($F294="","",ROUND(P294-$D294,2))</f>
        <v/>
      </c>
      <c r="R294" s="19">
        <f>IF($F294="","",ROUND(Rates!$B$8*(MAX(0,P294-Rates!$B$9)-MAX(0,$D294-Rates!$B$9)),2))</f>
        <v/>
      </c>
      <c r="S294" s="19">
        <f>IF($F294="","",ROUND(Rates!$B$10*IF(Rates!$B$11="Full",P294-$D294,MAX(0,MIN(P294,Rates!$B$13)-Rates!$B$12)-MAX(0,MIN($D294,Rates!$B$13)-Rates!$B$12)),2))</f>
        <v/>
      </c>
      <c r="T294" s="19">
        <f>IF($F294="","",ROUND(Q294+R294+S294,2))</f>
        <v/>
      </c>
    </row>
    <row r="295">
      <c r="A295" s="13" t="n"/>
      <c r="B295" s="13" t="n"/>
      <c r="C295" s="14" t="n"/>
      <c r="D295" s="14" t="n"/>
      <c r="E295" s="15" t="n"/>
      <c r="F295" s="16" t="n"/>
      <c r="G295" s="13" t="n"/>
      <c r="H295" s="13" t="n"/>
      <c r="I295" s="13" t="n"/>
      <c r="J295" s="17">
        <f>IF($F295="","",DATEDIF($F295,Rates!$B$2,"Y"))</f>
        <v/>
      </c>
      <c r="K295" s="18">
        <f>IF($F295="","",IF(UPPER($I295)="Y",Rates!$B$7,IF(J295&gt;=21,Rates!$B$4,IF(J295&gt;=18,Rates!$B$5,Rates!$B$6))))</f>
        <v/>
      </c>
      <c r="L295" s="17">
        <f>IF($F295="","",IF($E295&lt;K295,"Uplift needed","OK"))</f>
        <v/>
      </c>
      <c r="M295" s="17">
        <f>IF($F295="","",IF(AND(J295&lt;21,DATEDIF($F295,Rates!$B$3,"Y")&gt;=21),"Turns 21",IF(AND(J295&lt;18,DATEDIF($F295,Rates!$B$3,"Y")&gt;=18),"Turns 18","")))</f>
        <v/>
      </c>
      <c r="N295" s="18">
        <f>IF($F295="","",MAX($E295,K295))</f>
        <v/>
      </c>
      <c r="O295" s="19">
        <f>IF($F295="","",ROUND($C295*N295/$E295,2))</f>
        <v/>
      </c>
      <c r="P295" s="19">
        <f>IF($F295="","",ROUND($D295*N295/$E295,2))</f>
        <v/>
      </c>
      <c r="Q295" s="19">
        <f>IF($F295="","",ROUND(P295-$D295,2))</f>
        <v/>
      </c>
      <c r="R295" s="19">
        <f>IF($F295="","",ROUND(Rates!$B$8*(MAX(0,P295-Rates!$B$9)-MAX(0,$D295-Rates!$B$9)),2))</f>
        <v/>
      </c>
      <c r="S295" s="19">
        <f>IF($F295="","",ROUND(Rates!$B$10*IF(Rates!$B$11="Full",P295-$D295,MAX(0,MIN(P295,Rates!$B$13)-Rates!$B$12)-MAX(0,MIN($D295,Rates!$B$13)-Rates!$B$12)),2))</f>
        <v/>
      </c>
      <c r="T295" s="19">
        <f>IF($F295="","",ROUND(Q295+R295+S295,2))</f>
        <v/>
      </c>
    </row>
    <row r="296">
      <c r="A296" s="13" t="n"/>
      <c r="B296" s="13" t="n"/>
      <c r="C296" s="14" t="n"/>
      <c r="D296" s="14" t="n"/>
      <c r="E296" s="15" t="n"/>
      <c r="F296" s="16" t="n"/>
      <c r="G296" s="13" t="n"/>
      <c r="H296" s="13" t="n"/>
      <c r="I296" s="13" t="n"/>
      <c r="J296" s="17">
        <f>IF($F296="","",DATEDIF($F296,Rates!$B$2,"Y"))</f>
        <v/>
      </c>
      <c r="K296" s="18">
        <f>IF($F296="","",IF(UPPER($I296)="Y",Rates!$B$7,IF(J296&gt;=21,Rates!$B$4,IF(J296&gt;=18,Rates!$B$5,Rates!$B$6))))</f>
        <v/>
      </c>
      <c r="L296" s="17">
        <f>IF($F296="","",IF($E296&lt;K296,"Uplift needed","OK"))</f>
        <v/>
      </c>
      <c r="M296" s="17">
        <f>IF($F296="","",IF(AND(J296&lt;21,DATEDIF($F296,Rates!$B$3,"Y")&gt;=21),"Turns 21",IF(AND(J296&lt;18,DATEDIF($F296,Rates!$B$3,"Y")&gt;=18),"Turns 18","")))</f>
        <v/>
      </c>
      <c r="N296" s="18">
        <f>IF($F296="","",MAX($E296,K296))</f>
        <v/>
      </c>
      <c r="O296" s="19">
        <f>IF($F296="","",ROUND($C296*N296/$E296,2))</f>
        <v/>
      </c>
      <c r="P296" s="19">
        <f>IF($F296="","",ROUND($D296*N296/$E296,2))</f>
        <v/>
      </c>
      <c r="Q296" s="19">
        <f>IF($F296="","",ROUND(P296-$D296,2))</f>
        <v/>
      </c>
      <c r="R296" s="19">
        <f>IF($F296="","",ROUND(Rates!$B$8*(MAX(0,P296-Rates!$B$9)-MAX(0,$D296-Rates!$B$9)),2))</f>
        <v/>
      </c>
      <c r="S296" s="19">
        <f>IF($F296="","",ROUND(Rates!$B$10*IF(Rates!$B$11="Full",P296-$D296,MAX(0,MIN(P296,Rates!$B$13)-Rates!$B$12)-MAX(0,MIN($D296,Rates!$B$13)-Rates!$B$12)),2))</f>
        <v/>
      </c>
      <c r="T296" s="19">
        <f>IF($F296="","",ROUND(Q296+R296+S296,2))</f>
        <v/>
      </c>
    </row>
    <row r="297">
      <c r="A297" s="13" t="n"/>
      <c r="B297" s="13" t="n"/>
      <c r="C297" s="14" t="n"/>
      <c r="D297" s="14" t="n"/>
      <c r="E297" s="15" t="n"/>
      <c r="F297" s="16" t="n"/>
      <c r="G297" s="13" t="n"/>
      <c r="H297" s="13" t="n"/>
      <c r="I297" s="13" t="n"/>
      <c r="J297" s="17">
        <f>IF($F297="","",DATEDIF($F297,Rates!$B$2,"Y"))</f>
        <v/>
      </c>
      <c r="K297" s="18">
        <f>IF($F297="","",IF(UPPER($I297)="Y",Rates!$B$7,IF(J297&gt;=21,Rates!$B$4,IF(J297&gt;=18,Rates!$B$5,Rates!$B$6))))</f>
        <v/>
      </c>
      <c r="L297" s="17">
        <f>IF($F297="","",IF($E297&lt;K297,"Uplift needed","OK"))</f>
        <v/>
      </c>
      <c r="M297" s="17">
        <f>IF($F297="","",IF(AND(J297&lt;21,DATEDIF($F297,Rates!$B$3,"Y")&gt;=21),"Turns 21",IF(AND(J297&lt;18,DATEDIF($F297,Rates!$B$3,"Y")&gt;=18),"Turns 18","")))</f>
        <v/>
      </c>
      <c r="N297" s="18">
        <f>IF($F297="","",MAX($E297,K297))</f>
        <v/>
      </c>
      <c r="O297" s="19">
        <f>IF($F297="","",ROUND($C297*N297/$E297,2))</f>
        <v/>
      </c>
      <c r="P297" s="19">
        <f>IF($F297="","",ROUND($D297*N297/$E297,2))</f>
        <v/>
      </c>
      <c r="Q297" s="19">
        <f>IF($F297="","",ROUND(P297-$D297,2))</f>
        <v/>
      </c>
      <c r="R297" s="19">
        <f>IF($F297="","",ROUND(Rates!$B$8*(MAX(0,P297-Rates!$B$9)-MAX(0,$D297-Rates!$B$9)),2))</f>
        <v/>
      </c>
      <c r="S297" s="19">
        <f>IF($F297="","",ROUND(Rates!$B$10*IF(Rates!$B$11="Full",P297-$D297,MAX(0,MIN(P297,Rates!$B$13)-Rates!$B$12)-MAX(0,MIN($D297,Rates!$B$13)-Rates!$B$12)),2))</f>
        <v/>
      </c>
      <c r="T297" s="19">
        <f>IF($F297="","",ROUND(Q297+R297+S297,2))</f>
        <v/>
      </c>
    </row>
    <row r="298">
      <c r="A298" s="13" t="n"/>
      <c r="B298" s="13" t="n"/>
      <c r="C298" s="14" t="n"/>
      <c r="D298" s="14" t="n"/>
      <c r="E298" s="15" t="n"/>
      <c r="F298" s="16" t="n"/>
      <c r="G298" s="13" t="n"/>
      <c r="H298" s="13" t="n"/>
      <c r="I298" s="13" t="n"/>
      <c r="J298" s="17">
        <f>IF($F298="","",DATEDIF($F298,Rates!$B$2,"Y"))</f>
        <v/>
      </c>
      <c r="K298" s="18">
        <f>IF($F298="","",IF(UPPER($I298)="Y",Rates!$B$7,IF(J298&gt;=21,Rates!$B$4,IF(J298&gt;=18,Rates!$B$5,Rates!$B$6))))</f>
        <v/>
      </c>
      <c r="L298" s="17">
        <f>IF($F298="","",IF($E298&lt;K298,"Uplift needed","OK"))</f>
        <v/>
      </c>
      <c r="M298" s="17">
        <f>IF($F298="","",IF(AND(J298&lt;21,DATEDIF($F298,Rates!$B$3,"Y")&gt;=21),"Turns 21",IF(AND(J298&lt;18,DATEDIF($F298,Rates!$B$3,"Y")&gt;=18),"Turns 18","")))</f>
        <v/>
      </c>
      <c r="N298" s="18">
        <f>IF($F298="","",MAX($E298,K298))</f>
        <v/>
      </c>
      <c r="O298" s="19">
        <f>IF($F298="","",ROUND($C298*N298/$E298,2))</f>
        <v/>
      </c>
      <c r="P298" s="19">
        <f>IF($F298="","",ROUND($D298*N298/$E298,2))</f>
        <v/>
      </c>
      <c r="Q298" s="19">
        <f>IF($F298="","",ROUND(P298-$D298,2))</f>
        <v/>
      </c>
      <c r="R298" s="19">
        <f>IF($F298="","",ROUND(Rates!$B$8*(MAX(0,P298-Rates!$B$9)-MAX(0,$D298-Rates!$B$9)),2))</f>
        <v/>
      </c>
      <c r="S298" s="19">
        <f>IF($F298="","",ROUND(Rates!$B$10*IF(Rates!$B$11="Full",P298-$D298,MAX(0,MIN(P298,Rates!$B$13)-Rates!$B$12)-MAX(0,MIN($D298,Rates!$B$13)-Rates!$B$12)),2))</f>
        <v/>
      </c>
      <c r="T298" s="19">
        <f>IF($F298="","",ROUND(Q298+R298+S298,2))</f>
        <v/>
      </c>
    </row>
    <row r="299">
      <c r="A299" s="13" t="n"/>
      <c r="B299" s="13" t="n"/>
      <c r="C299" s="14" t="n"/>
      <c r="D299" s="14" t="n"/>
      <c r="E299" s="15" t="n"/>
      <c r="F299" s="16" t="n"/>
      <c r="G299" s="13" t="n"/>
      <c r="H299" s="13" t="n"/>
      <c r="I299" s="13" t="n"/>
      <c r="J299" s="17">
        <f>IF($F299="","",DATEDIF($F299,Rates!$B$2,"Y"))</f>
        <v/>
      </c>
      <c r="K299" s="18">
        <f>IF($F299="","",IF(UPPER($I299)="Y",Rates!$B$7,IF(J299&gt;=21,Rates!$B$4,IF(J299&gt;=18,Rates!$B$5,Rates!$B$6))))</f>
        <v/>
      </c>
      <c r="L299" s="17">
        <f>IF($F299="","",IF($E299&lt;K299,"Uplift needed","OK"))</f>
        <v/>
      </c>
      <c r="M299" s="17">
        <f>IF($F299="","",IF(AND(J299&lt;21,DATEDIF($F299,Rates!$B$3,"Y")&gt;=21),"Turns 21",IF(AND(J299&lt;18,DATEDIF($F299,Rates!$B$3,"Y")&gt;=18),"Turns 18","")))</f>
        <v/>
      </c>
      <c r="N299" s="18">
        <f>IF($F299="","",MAX($E299,K299))</f>
        <v/>
      </c>
      <c r="O299" s="19">
        <f>IF($F299="","",ROUND($C299*N299/$E299,2))</f>
        <v/>
      </c>
      <c r="P299" s="19">
        <f>IF($F299="","",ROUND($D299*N299/$E299,2))</f>
        <v/>
      </c>
      <c r="Q299" s="19">
        <f>IF($F299="","",ROUND(P299-$D299,2))</f>
        <v/>
      </c>
      <c r="R299" s="19">
        <f>IF($F299="","",ROUND(Rates!$B$8*(MAX(0,P299-Rates!$B$9)-MAX(0,$D299-Rates!$B$9)),2))</f>
        <v/>
      </c>
      <c r="S299" s="19">
        <f>IF($F299="","",ROUND(Rates!$B$10*IF(Rates!$B$11="Full",P299-$D299,MAX(0,MIN(P299,Rates!$B$13)-Rates!$B$12)-MAX(0,MIN($D299,Rates!$B$13)-Rates!$B$12)),2))</f>
        <v/>
      </c>
      <c r="T299" s="19">
        <f>IF($F299="","",ROUND(Q299+R299+S299,2))</f>
        <v/>
      </c>
    </row>
    <row r="300">
      <c r="A300" s="13" t="n"/>
      <c r="B300" s="13" t="n"/>
      <c r="C300" s="14" t="n"/>
      <c r="D300" s="14" t="n"/>
      <c r="E300" s="15" t="n"/>
      <c r="F300" s="16" t="n"/>
      <c r="G300" s="13" t="n"/>
      <c r="H300" s="13" t="n"/>
      <c r="I300" s="13" t="n"/>
      <c r="J300" s="17">
        <f>IF($F300="","",DATEDIF($F300,Rates!$B$2,"Y"))</f>
        <v/>
      </c>
      <c r="K300" s="18">
        <f>IF($F300="","",IF(UPPER($I300)="Y",Rates!$B$7,IF(J300&gt;=21,Rates!$B$4,IF(J300&gt;=18,Rates!$B$5,Rates!$B$6))))</f>
        <v/>
      </c>
      <c r="L300" s="17">
        <f>IF($F300="","",IF($E300&lt;K300,"Uplift needed","OK"))</f>
        <v/>
      </c>
      <c r="M300" s="17">
        <f>IF($F300="","",IF(AND(J300&lt;21,DATEDIF($F300,Rates!$B$3,"Y")&gt;=21),"Turns 21",IF(AND(J300&lt;18,DATEDIF($F300,Rates!$B$3,"Y")&gt;=18),"Turns 18","")))</f>
        <v/>
      </c>
      <c r="N300" s="18">
        <f>IF($F300="","",MAX($E300,K300))</f>
        <v/>
      </c>
      <c r="O300" s="19">
        <f>IF($F300="","",ROUND($C300*N300/$E300,2))</f>
        <v/>
      </c>
      <c r="P300" s="19">
        <f>IF($F300="","",ROUND($D300*N300/$E300,2))</f>
        <v/>
      </c>
      <c r="Q300" s="19">
        <f>IF($F300="","",ROUND(P300-$D300,2))</f>
        <v/>
      </c>
      <c r="R300" s="19">
        <f>IF($F300="","",ROUND(Rates!$B$8*(MAX(0,P300-Rates!$B$9)-MAX(0,$D300-Rates!$B$9)),2))</f>
        <v/>
      </c>
      <c r="S300" s="19">
        <f>IF($F300="","",ROUND(Rates!$B$10*IF(Rates!$B$11="Full",P300-$D300,MAX(0,MIN(P300,Rates!$B$13)-Rates!$B$12)-MAX(0,MIN($D300,Rates!$B$13)-Rates!$B$12)),2))</f>
        <v/>
      </c>
      <c r="T300" s="19">
        <f>IF($F300="","",ROUND(Q300+R300+S300,2))</f>
        <v/>
      </c>
    </row>
    <row r="301">
      <c r="A301" s="13" t="n"/>
      <c r="B301" s="13" t="n"/>
      <c r="C301" s="14" t="n"/>
      <c r="D301" s="14" t="n"/>
      <c r="E301" s="15" t="n"/>
      <c r="F301" s="16" t="n"/>
      <c r="G301" s="13" t="n"/>
      <c r="H301" s="13" t="n"/>
      <c r="I301" s="13" t="n"/>
      <c r="J301" s="17">
        <f>IF($F301="","",DATEDIF($F301,Rates!$B$2,"Y"))</f>
        <v/>
      </c>
      <c r="K301" s="18">
        <f>IF($F301="","",IF(UPPER($I301)="Y",Rates!$B$7,IF(J301&gt;=21,Rates!$B$4,IF(J301&gt;=18,Rates!$B$5,Rates!$B$6))))</f>
        <v/>
      </c>
      <c r="L301" s="17">
        <f>IF($F301="","",IF($E301&lt;K301,"Uplift needed","OK"))</f>
        <v/>
      </c>
      <c r="M301" s="17">
        <f>IF($F301="","",IF(AND(J301&lt;21,DATEDIF($F301,Rates!$B$3,"Y")&gt;=21),"Turns 21",IF(AND(J301&lt;18,DATEDIF($F301,Rates!$B$3,"Y")&gt;=18),"Turns 18","")))</f>
        <v/>
      </c>
      <c r="N301" s="18">
        <f>IF($F301="","",MAX($E301,K301))</f>
        <v/>
      </c>
      <c r="O301" s="19">
        <f>IF($F301="","",ROUND($C301*N301/$E301,2))</f>
        <v/>
      </c>
      <c r="P301" s="19">
        <f>IF($F301="","",ROUND($D301*N301/$E301,2))</f>
        <v/>
      </c>
      <c r="Q301" s="19">
        <f>IF($F301="","",ROUND(P301-$D301,2))</f>
        <v/>
      </c>
      <c r="R301" s="19">
        <f>IF($F301="","",ROUND(Rates!$B$8*(MAX(0,P301-Rates!$B$9)-MAX(0,$D301-Rates!$B$9)),2))</f>
        <v/>
      </c>
      <c r="S301" s="19">
        <f>IF($F301="","",ROUND(Rates!$B$10*IF(Rates!$B$11="Full",P301-$D301,MAX(0,MIN(P301,Rates!$B$13)-Rates!$B$12)-MAX(0,MIN($D301,Rates!$B$13)-Rates!$B$12)),2))</f>
        <v/>
      </c>
      <c r="T301" s="19">
        <f>IF($F301="","",ROUND(Q301+R301+S301,2))</f>
        <v/>
      </c>
    </row>
    <row r="302">
      <c r="A302" s="13" t="n"/>
      <c r="B302" s="13" t="n"/>
      <c r="C302" s="14" t="n"/>
      <c r="D302" s="14" t="n"/>
      <c r="E302" s="15" t="n"/>
      <c r="F302" s="16" t="n"/>
      <c r="G302" s="13" t="n"/>
      <c r="H302" s="13" t="n"/>
      <c r="I302" s="13" t="n"/>
      <c r="J302" s="17">
        <f>IF($F302="","",DATEDIF($F302,Rates!$B$2,"Y"))</f>
        <v/>
      </c>
      <c r="K302" s="18">
        <f>IF($F302="","",IF(UPPER($I302)="Y",Rates!$B$7,IF(J302&gt;=21,Rates!$B$4,IF(J302&gt;=18,Rates!$B$5,Rates!$B$6))))</f>
        <v/>
      </c>
      <c r="L302" s="17">
        <f>IF($F302="","",IF($E302&lt;K302,"Uplift needed","OK"))</f>
        <v/>
      </c>
      <c r="M302" s="17">
        <f>IF($F302="","",IF(AND(J302&lt;21,DATEDIF($F302,Rates!$B$3,"Y")&gt;=21),"Turns 21",IF(AND(J302&lt;18,DATEDIF($F302,Rates!$B$3,"Y")&gt;=18),"Turns 18","")))</f>
        <v/>
      </c>
      <c r="N302" s="18">
        <f>IF($F302="","",MAX($E302,K302))</f>
        <v/>
      </c>
      <c r="O302" s="19">
        <f>IF($F302="","",ROUND($C302*N302/$E302,2))</f>
        <v/>
      </c>
      <c r="P302" s="19">
        <f>IF($F302="","",ROUND($D302*N302/$E302,2))</f>
        <v/>
      </c>
      <c r="Q302" s="19">
        <f>IF($F302="","",ROUND(P302-$D302,2))</f>
        <v/>
      </c>
      <c r="R302" s="19">
        <f>IF($F302="","",ROUND(Rates!$B$8*(MAX(0,P302-Rates!$B$9)-MAX(0,$D302-Rates!$B$9)),2))</f>
        <v/>
      </c>
      <c r="S302" s="19">
        <f>IF($F302="","",ROUND(Rates!$B$10*IF(Rates!$B$11="Full",P302-$D302,MAX(0,MIN(P302,Rates!$B$13)-Rates!$B$12)-MAX(0,MIN($D302,Rates!$B$13)-Rates!$B$12)),2))</f>
        <v/>
      </c>
      <c r="T302" s="19">
        <f>IF($F302="","",ROUND(Q302+R302+S302,2))</f>
        <v/>
      </c>
    </row>
    <row r="303">
      <c r="A303" s="13" t="n"/>
      <c r="B303" s="13" t="n"/>
      <c r="C303" s="14" t="n"/>
      <c r="D303" s="14" t="n"/>
      <c r="E303" s="15" t="n"/>
      <c r="F303" s="16" t="n"/>
      <c r="G303" s="13" t="n"/>
      <c r="H303" s="13" t="n"/>
      <c r="I303" s="13" t="n"/>
      <c r="J303" s="17">
        <f>IF($F303="","",DATEDIF($F303,Rates!$B$2,"Y"))</f>
        <v/>
      </c>
      <c r="K303" s="18">
        <f>IF($F303="","",IF(UPPER($I303)="Y",Rates!$B$7,IF(J303&gt;=21,Rates!$B$4,IF(J303&gt;=18,Rates!$B$5,Rates!$B$6))))</f>
        <v/>
      </c>
      <c r="L303" s="17">
        <f>IF($F303="","",IF($E303&lt;K303,"Uplift needed","OK"))</f>
        <v/>
      </c>
      <c r="M303" s="17">
        <f>IF($F303="","",IF(AND(J303&lt;21,DATEDIF($F303,Rates!$B$3,"Y")&gt;=21),"Turns 21",IF(AND(J303&lt;18,DATEDIF($F303,Rates!$B$3,"Y")&gt;=18),"Turns 18","")))</f>
        <v/>
      </c>
      <c r="N303" s="18">
        <f>IF($F303="","",MAX($E303,K303))</f>
        <v/>
      </c>
      <c r="O303" s="19">
        <f>IF($F303="","",ROUND($C303*N303/$E303,2))</f>
        <v/>
      </c>
      <c r="P303" s="19">
        <f>IF($F303="","",ROUND($D303*N303/$E303,2))</f>
        <v/>
      </c>
      <c r="Q303" s="19">
        <f>IF($F303="","",ROUND(P303-$D303,2))</f>
        <v/>
      </c>
      <c r="R303" s="19">
        <f>IF($F303="","",ROUND(Rates!$B$8*(MAX(0,P303-Rates!$B$9)-MAX(0,$D303-Rates!$B$9)),2))</f>
        <v/>
      </c>
      <c r="S303" s="19">
        <f>IF($F303="","",ROUND(Rates!$B$10*IF(Rates!$B$11="Full",P303-$D303,MAX(0,MIN(P303,Rates!$B$13)-Rates!$B$12)-MAX(0,MIN($D303,Rates!$B$13)-Rates!$B$12)),2))</f>
        <v/>
      </c>
      <c r="T303" s="19">
        <f>IF($F303="","",ROUND(Q303+R303+S303,2))</f>
        <v/>
      </c>
    </row>
    <row r="304">
      <c r="A304" s="13" t="n"/>
      <c r="B304" s="13" t="n"/>
      <c r="C304" s="14" t="n"/>
      <c r="D304" s="14" t="n"/>
      <c r="E304" s="15" t="n"/>
      <c r="F304" s="16" t="n"/>
      <c r="G304" s="13" t="n"/>
      <c r="H304" s="13" t="n"/>
      <c r="I304" s="13" t="n"/>
      <c r="J304" s="17">
        <f>IF($F304="","",DATEDIF($F304,Rates!$B$2,"Y"))</f>
        <v/>
      </c>
      <c r="K304" s="18">
        <f>IF($F304="","",IF(UPPER($I304)="Y",Rates!$B$7,IF(J304&gt;=21,Rates!$B$4,IF(J304&gt;=18,Rates!$B$5,Rates!$B$6))))</f>
        <v/>
      </c>
      <c r="L304" s="17">
        <f>IF($F304="","",IF($E304&lt;K304,"Uplift needed","OK"))</f>
        <v/>
      </c>
      <c r="M304" s="17">
        <f>IF($F304="","",IF(AND(J304&lt;21,DATEDIF($F304,Rates!$B$3,"Y")&gt;=21),"Turns 21",IF(AND(J304&lt;18,DATEDIF($F304,Rates!$B$3,"Y")&gt;=18),"Turns 18","")))</f>
        <v/>
      </c>
      <c r="N304" s="18">
        <f>IF($F304="","",MAX($E304,K304))</f>
        <v/>
      </c>
      <c r="O304" s="19">
        <f>IF($F304="","",ROUND($C304*N304/$E304,2))</f>
        <v/>
      </c>
      <c r="P304" s="19">
        <f>IF($F304="","",ROUND($D304*N304/$E304,2))</f>
        <v/>
      </c>
      <c r="Q304" s="19">
        <f>IF($F304="","",ROUND(P304-$D304,2))</f>
        <v/>
      </c>
      <c r="R304" s="19">
        <f>IF($F304="","",ROUND(Rates!$B$8*(MAX(0,P304-Rates!$B$9)-MAX(0,$D304-Rates!$B$9)),2))</f>
        <v/>
      </c>
      <c r="S304" s="19">
        <f>IF($F304="","",ROUND(Rates!$B$10*IF(Rates!$B$11="Full",P304-$D304,MAX(0,MIN(P304,Rates!$B$13)-Rates!$B$12)-MAX(0,MIN($D304,Rates!$B$13)-Rates!$B$12)),2))</f>
        <v/>
      </c>
      <c r="T304" s="19">
        <f>IF($F304="","",ROUND(Q304+R304+S304,2))</f>
        <v/>
      </c>
    </row>
    <row r="305">
      <c r="A305" s="13" t="n"/>
      <c r="B305" s="13" t="n"/>
      <c r="C305" s="14" t="n"/>
      <c r="D305" s="14" t="n"/>
      <c r="E305" s="15" t="n"/>
      <c r="F305" s="16" t="n"/>
      <c r="G305" s="13" t="n"/>
      <c r="H305" s="13" t="n"/>
      <c r="I305" s="13" t="n"/>
      <c r="J305" s="17">
        <f>IF($F305="","",DATEDIF($F305,Rates!$B$2,"Y"))</f>
        <v/>
      </c>
      <c r="K305" s="18">
        <f>IF($F305="","",IF(UPPER($I305)="Y",Rates!$B$7,IF(J305&gt;=21,Rates!$B$4,IF(J305&gt;=18,Rates!$B$5,Rates!$B$6))))</f>
        <v/>
      </c>
      <c r="L305" s="17">
        <f>IF($F305="","",IF($E305&lt;K305,"Uplift needed","OK"))</f>
        <v/>
      </c>
      <c r="M305" s="17">
        <f>IF($F305="","",IF(AND(J305&lt;21,DATEDIF($F305,Rates!$B$3,"Y")&gt;=21),"Turns 21",IF(AND(J305&lt;18,DATEDIF($F305,Rates!$B$3,"Y")&gt;=18),"Turns 18","")))</f>
        <v/>
      </c>
      <c r="N305" s="18">
        <f>IF($F305="","",MAX($E305,K305))</f>
        <v/>
      </c>
      <c r="O305" s="19">
        <f>IF($F305="","",ROUND($C305*N305/$E305,2))</f>
        <v/>
      </c>
      <c r="P305" s="19">
        <f>IF($F305="","",ROUND($D305*N305/$E305,2))</f>
        <v/>
      </c>
      <c r="Q305" s="19">
        <f>IF($F305="","",ROUND(P305-$D305,2))</f>
        <v/>
      </c>
      <c r="R305" s="19">
        <f>IF($F305="","",ROUND(Rates!$B$8*(MAX(0,P305-Rates!$B$9)-MAX(0,$D305-Rates!$B$9)),2))</f>
        <v/>
      </c>
      <c r="S305" s="19">
        <f>IF($F305="","",ROUND(Rates!$B$10*IF(Rates!$B$11="Full",P305-$D305,MAX(0,MIN(P305,Rates!$B$13)-Rates!$B$12)-MAX(0,MIN($D305,Rates!$B$13)-Rates!$B$12)),2))</f>
        <v/>
      </c>
      <c r="T305" s="19">
        <f>IF($F305="","",ROUND(Q305+R305+S305,2))</f>
        <v/>
      </c>
    </row>
    <row r="306">
      <c r="A306" s="13" t="n"/>
      <c r="B306" s="13" t="n"/>
      <c r="C306" s="14" t="n"/>
      <c r="D306" s="14" t="n"/>
      <c r="E306" s="15" t="n"/>
      <c r="F306" s="16" t="n"/>
      <c r="G306" s="13" t="n"/>
      <c r="H306" s="13" t="n"/>
      <c r="I306" s="13" t="n"/>
      <c r="J306" s="17">
        <f>IF($F306="","",DATEDIF($F306,Rates!$B$2,"Y"))</f>
        <v/>
      </c>
      <c r="K306" s="18">
        <f>IF($F306="","",IF(UPPER($I306)="Y",Rates!$B$7,IF(J306&gt;=21,Rates!$B$4,IF(J306&gt;=18,Rates!$B$5,Rates!$B$6))))</f>
        <v/>
      </c>
      <c r="L306" s="17">
        <f>IF($F306="","",IF($E306&lt;K306,"Uplift needed","OK"))</f>
        <v/>
      </c>
      <c r="M306" s="17">
        <f>IF($F306="","",IF(AND(J306&lt;21,DATEDIF($F306,Rates!$B$3,"Y")&gt;=21),"Turns 21",IF(AND(J306&lt;18,DATEDIF($F306,Rates!$B$3,"Y")&gt;=18),"Turns 18","")))</f>
        <v/>
      </c>
      <c r="N306" s="18">
        <f>IF($F306="","",MAX($E306,K306))</f>
        <v/>
      </c>
      <c r="O306" s="19">
        <f>IF($F306="","",ROUND($C306*N306/$E306,2))</f>
        <v/>
      </c>
      <c r="P306" s="19">
        <f>IF($F306="","",ROUND($D306*N306/$E306,2))</f>
        <v/>
      </c>
      <c r="Q306" s="19">
        <f>IF($F306="","",ROUND(P306-$D306,2))</f>
        <v/>
      </c>
      <c r="R306" s="19">
        <f>IF($F306="","",ROUND(Rates!$B$8*(MAX(0,P306-Rates!$B$9)-MAX(0,$D306-Rates!$B$9)),2))</f>
        <v/>
      </c>
      <c r="S306" s="19">
        <f>IF($F306="","",ROUND(Rates!$B$10*IF(Rates!$B$11="Full",P306-$D306,MAX(0,MIN(P306,Rates!$B$13)-Rates!$B$12)-MAX(0,MIN($D306,Rates!$B$13)-Rates!$B$12)),2))</f>
        <v/>
      </c>
      <c r="T306" s="19">
        <f>IF($F306="","",ROUND(Q306+R306+S306,2))</f>
        <v/>
      </c>
    </row>
    <row r="307">
      <c r="A307" s="13" t="n"/>
      <c r="B307" s="13" t="n"/>
      <c r="C307" s="14" t="n"/>
      <c r="D307" s="14" t="n"/>
      <c r="E307" s="15" t="n"/>
      <c r="F307" s="16" t="n"/>
      <c r="G307" s="13" t="n"/>
      <c r="H307" s="13" t="n"/>
      <c r="I307" s="13" t="n"/>
      <c r="J307" s="17">
        <f>IF($F307="","",DATEDIF($F307,Rates!$B$2,"Y"))</f>
        <v/>
      </c>
      <c r="K307" s="18">
        <f>IF($F307="","",IF(UPPER($I307)="Y",Rates!$B$7,IF(J307&gt;=21,Rates!$B$4,IF(J307&gt;=18,Rates!$B$5,Rates!$B$6))))</f>
        <v/>
      </c>
      <c r="L307" s="17">
        <f>IF($F307="","",IF($E307&lt;K307,"Uplift needed","OK"))</f>
        <v/>
      </c>
      <c r="M307" s="17">
        <f>IF($F307="","",IF(AND(J307&lt;21,DATEDIF($F307,Rates!$B$3,"Y")&gt;=21),"Turns 21",IF(AND(J307&lt;18,DATEDIF($F307,Rates!$B$3,"Y")&gt;=18),"Turns 18","")))</f>
        <v/>
      </c>
      <c r="N307" s="18">
        <f>IF($F307="","",MAX($E307,K307))</f>
        <v/>
      </c>
      <c r="O307" s="19">
        <f>IF($F307="","",ROUND($C307*N307/$E307,2))</f>
        <v/>
      </c>
      <c r="P307" s="19">
        <f>IF($F307="","",ROUND($D307*N307/$E307,2))</f>
        <v/>
      </c>
      <c r="Q307" s="19">
        <f>IF($F307="","",ROUND(P307-$D307,2))</f>
        <v/>
      </c>
      <c r="R307" s="19">
        <f>IF($F307="","",ROUND(Rates!$B$8*(MAX(0,P307-Rates!$B$9)-MAX(0,$D307-Rates!$B$9)),2))</f>
        <v/>
      </c>
      <c r="S307" s="19">
        <f>IF($F307="","",ROUND(Rates!$B$10*IF(Rates!$B$11="Full",P307-$D307,MAX(0,MIN(P307,Rates!$B$13)-Rates!$B$12)-MAX(0,MIN($D307,Rates!$B$13)-Rates!$B$12)),2))</f>
        <v/>
      </c>
      <c r="T307" s="19">
        <f>IF($F307="","",ROUND(Q307+R307+S307,2))</f>
        <v/>
      </c>
    </row>
    <row r="308">
      <c r="A308" s="13" t="n"/>
      <c r="B308" s="13" t="n"/>
      <c r="C308" s="14" t="n"/>
      <c r="D308" s="14" t="n"/>
      <c r="E308" s="15" t="n"/>
      <c r="F308" s="16" t="n"/>
      <c r="G308" s="13" t="n"/>
      <c r="H308" s="13" t="n"/>
      <c r="I308" s="13" t="n"/>
      <c r="J308" s="17">
        <f>IF($F308="","",DATEDIF($F308,Rates!$B$2,"Y"))</f>
        <v/>
      </c>
      <c r="K308" s="18">
        <f>IF($F308="","",IF(UPPER($I308)="Y",Rates!$B$7,IF(J308&gt;=21,Rates!$B$4,IF(J308&gt;=18,Rates!$B$5,Rates!$B$6))))</f>
        <v/>
      </c>
      <c r="L308" s="17">
        <f>IF($F308="","",IF($E308&lt;K308,"Uplift needed","OK"))</f>
        <v/>
      </c>
      <c r="M308" s="17">
        <f>IF($F308="","",IF(AND(J308&lt;21,DATEDIF($F308,Rates!$B$3,"Y")&gt;=21),"Turns 21",IF(AND(J308&lt;18,DATEDIF($F308,Rates!$B$3,"Y")&gt;=18),"Turns 18","")))</f>
        <v/>
      </c>
      <c r="N308" s="18">
        <f>IF($F308="","",MAX($E308,K308))</f>
        <v/>
      </c>
      <c r="O308" s="19">
        <f>IF($F308="","",ROUND($C308*N308/$E308,2))</f>
        <v/>
      </c>
      <c r="P308" s="19">
        <f>IF($F308="","",ROUND($D308*N308/$E308,2))</f>
        <v/>
      </c>
      <c r="Q308" s="19">
        <f>IF($F308="","",ROUND(P308-$D308,2))</f>
        <v/>
      </c>
      <c r="R308" s="19">
        <f>IF($F308="","",ROUND(Rates!$B$8*(MAX(0,P308-Rates!$B$9)-MAX(0,$D308-Rates!$B$9)),2))</f>
        <v/>
      </c>
      <c r="S308" s="19">
        <f>IF($F308="","",ROUND(Rates!$B$10*IF(Rates!$B$11="Full",P308-$D308,MAX(0,MIN(P308,Rates!$B$13)-Rates!$B$12)-MAX(0,MIN($D308,Rates!$B$13)-Rates!$B$12)),2))</f>
        <v/>
      </c>
      <c r="T308" s="19">
        <f>IF($F308="","",ROUND(Q308+R308+S308,2))</f>
        <v/>
      </c>
    </row>
    <row r="309">
      <c r="A309" s="13" t="n"/>
      <c r="B309" s="13" t="n"/>
      <c r="C309" s="14" t="n"/>
      <c r="D309" s="14" t="n"/>
      <c r="E309" s="15" t="n"/>
      <c r="F309" s="16" t="n"/>
      <c r="G309" s="13" t="n"/>
      <c r="H309" s="13" t="n"/>
      <c r="I309" s="13" t="n"/>
      <c r="J309" s="17">
        <f>IF($F309="","",DATEDIF($F309,Rates!$B$2,"Y"))</f>
        <v/>
      </c>
      <c r="K309" s="18">
        <f>IF($F309="","",IF(UPPER($I309)="Y",Rates!$B$7,IF(J309&gt;=21,Rates!$B$4,IF(J309&gt;=18,Rates!$B$5,Rates!$B$6))))</f>
        <v/>
      </c>
      <c r="L309" s="17">
        <f>IF($F309="","",IF($E309&lt;K309,"Uplift needed","OK"))</f>
        <v/>
      </c>
      <c r="M309" s="17">
        <f>IF($F309="","",IF(AND(J309&lt;21,DATEDIF($F309,Rates!$B$3,"Y")&gt;=21),"Turns 21",IF(AND(J309&lt;18,DATEDIF($F309,Rates!$B$3,"Y")&gt;=18),"Turns 18","")))</f>
        <v/>
      </c>
      <c r="N309" s="18">
        <f>IF($F309="","",MAX($E309,K309))</f>
        <v/>
      </c>
      <c r="O309" s="19">
        <f>IF($F309="","",ROUND($C309*N309/$E309,2))</f>
        <v/>
      </c>
      <c r="P309" s="19">
        <f>IF($F309="","",ROUND($D309*N309/$E309,2))</f>
        <v/>
      </c>
      <c r="Q309" s="19">
        <f>IF($F309="","",ROUND(P309-$D309,2))</f>
        <v/>
      </c>
      <c r="R309" s="19">
        <f>IF($F309="","",ROUND(Rates!$B$8*(MAX(0,P309-Rates!$B$9)-MAX(0,$D309-Rates!$B$9)),2))</f>
        <v/>
      </c>
      <c r="S309" s="19">
        <f>IF($F309="","",ROUND(Rates!$B$10*IF(Rates!$B$11="Full",P309-$D309,MAX(0,MIN(P309,Rates!$B$13)-Rates!$B$12)-MAX(0,MIN($D309,Rates!$B$13)-Rates!$B$12)),2))</f>
        <v/>
      </c>
      <c r="T309" s="19">
        <f>IF($F309="","",ROUND(Q309+R309+S309,2))</f>
        <v/>
      </c>
    </row>
    <row r="310">
      <c r="A310" s="13" t="n"/>
      <c r="B310" s="13" t="n"/>
      <c r="C310" s="14" t="n"/>
      <c r="D310" s="14" t="n"/>
      <c r="E310" s="15" t="n"/>
      <c r="F310" s="16" t="n"/>
      <c r="G310" s="13" t="n"/>
      <c r="H310" s="13" t="n"/>
      <c r="I310" s="13" t="n"/>
      <c r="J310" s="17">
        <f>IF($F310="","",DATEDIF($F310,Rates!$B$2,"Y"))</f>
        <v/>
      </c>
      <c r="K310" s="18">
        <f>IF($F310="","",IF(UPPER($I310)="Y",Rates!$B$7,IF(J310&gt;=21,Rates!$B$4,IF(J310&gt;=18,Rates!$B$5,Rates!$B$6))))</f>
        <v/>
      </c>
      <c r="L310" s="17">
        <f>IF($F310="","",IF($E310&lt;K310,"Uplift needed","OK"))</f>
        <v/>
      </c>
      <c r="M310" s="17">
        <f>IF($F310="","",IF(AND(J310&lt;21,DATEDIF($F310,Rates!$B$3,"Y")&gt;=21),"Turns 21",IF(AND(J310&lt;18,DATEDIF($F310,Rates!$B$3,"Y")&gt;=18),"Turns 18","")))</f>
        <v/>
      </c>
      <c r="N310" s="18">
        <f>IF($F310="","",MAX($E310,K310))</f>
        <v/>
      </c>
      <c r="O310" s="19">
        <f>IF($F310="","",ROUND($C310*N310/$E310,2))</f>
        <v/>
      </c>
      <c r="P310" s="19">
        <f>IF($F310="","",ROUND($D310*N310/$E310,2))</f>
        <v/>
      </c>
      <c r="Q310" s="19">
        <f>IF($F310="","",ROUND(P310-$D310,2))</f>
        <v/>
      </c>
      <c r="R310" s="19">
        <f>IF($F310="","",ROUND(Rates!$B$8*(MAX(0,P310-Rates!$B$9)-MAX(0,$D310-Rates!$B$9)),2))</f>
        <v/>
      </c>
      <c r="S310" s="19">
        <f>IF($F310="","",ROUND(Rates!$B$10*IF(Rates!$B$11="Full",P310-$D310,MAX(0,MIN(P310,Rates!$B$13)-Rates!$B$12)-MAX(0,MIN($D310,Rates!$B$13)-Rates!$B$12)),2))</f>
        <v/>
      </c>
      <c r="T310" s="19">
        <f>IF($F310="","",ROUND(Q310+R310+S310,2))</f>
        <v/>
      </c>
    </row>
    <row r="311">
      <c r="A311" s="13" t="n"/>
      <c r="B311" s="13" t="n"/>
      <c r="C311" s="14" t="n"/>
      <c r="D311" s="14" t="n"/>
      <c r="E311" s="15" t="n"/>
      <c r="F311" s="16" t="n"/>
      <c r="G311" s="13" t="n"/>
      <c r="H311" s="13" t="n"/>
      <c r="I311" s="13" t="n"/>
      <c r="J311" s="17">
        <f>IF($F311="","",DATEDIF($F311,Rates!$B$2,"Y"))</f>
        <v/>
      </c>
      <c r="K311" s="18">
        <f>IF($F311="","",IF(UPPER($I311)="Y",Rates!$B$7,IF(J311&gt;=21,Rates!$B$4,IF(J311&gt;=18,Rates!$B$5,Rates!$B$6))))</f>
        <v/>
      </c>
      <c r="L311" s="17">
        <f>IF($F311="","",IF($E311&lt;K311,"Uplift needed","OK"))</f>
        <v/>
      </c>
      <c r="M311" s="17">
        <f>IF($F311="","",IF(AND(J311&lt;21,DATEDIF($F311,Rates!$B$3,"Y")&gt;=21),"Turns 21",IF(AND(J311&lt;18,DATEDIF($F311,Rates!$B$3,"Y")&gt;=18),"Turns 18","")))</f>
        <v/>
      </c>
      <c r="N311" s="18">
        <f>IF($F311="","",MAX($E311,K311))</f>
        <v/>
      </c>
      <c r="O311" s="19">
        <f>IF($F311="","",ROUND($C311*N311/$E311,2))</f>
        <v/>
      </c>
      <c r="P311" s="19">
        <f>IF($F311="","",ROUND($D311*N311/$E311,2))</f>
        <v/>
      </c>
      <c r="Q311" s="19">
        <f>IF($F311="","",ROUND(P311-$D311,2))</f>
        <v/>
      </c>
      <c r="R311" s="19">
        <f>IF($F311="","",ROUND(Rates!$B$8*(MAX(0,P311-Rates!$B$9)-MAX(0,$D311-Rates!$B$9)),2))</f>
        <v/>
      </c>
      <c r="S311" s="19">
        <f>IF($F311="","",ROUND(Rates!$B$10*IF(Rates!$B$11="Full",P311-$D311,MAX(0,MIN(P311,Rates!$B$13)-Rates!$B$12)-MAX(0,MIN($D311,Rates!$B$13)-Rates!$B$12)),2))</f>
        <v/>
      </c>
      <c r="T311" s="19">
        <f>IF($F311="","",ROUND(Q311+R311+S311,2))</f>
        <v/>
      </c>
    </row>
    <row r="312">
      <c r="A312" s="13" t="n"/>
      <c r="B312" s="13" t="n"/>
      <c r="C312" s="14" t="n"/>
      <c r="D312" s="14" t="n"/>
      <c r="E312" s="15" t="n"/>
      <c r="F312" s="16" t="n"/>
      <c r="G312" s="13" t="n"/>
      <c r="H312" s="13" t="n"/>
      <c r="I312" s="13" t="n"/>
      <c r="J312" s="17">
        <f>IF($F312="","",DATEDIF($F312,Rates!$B$2,"Y"))</f>
        <v/>
      </c>
      <c r="K312" s="18">
        <f>IF($F312="","",IF(UPPER($I312)="Y",Rates!$B$7,IF(J312&gt;=21,Rates!$B$4,IF(J312&gt;=18,Rates!$B$5,Rates!$B$6))))</f>
        <v/>
      </c>
      <c r="L312" s="17">
        <f>IF($F312="","",IF($E312&lt;K312,"Uplift needed","OK"))</f>
        <v/>
      </c>
      <c r="M312" s="17">
        <f>IF($F312="","",IF(AND(J312&lt;21,DATEDIF($F312,Rates!$B$3,"Y")&gt;=21),"Turns 21",IF(AND(J312&lt;18,DATEDIF($F312,Rates!$B$3,"Y")&gt;=18),"Turns 18","")))</f>
        <v/>
      </c>
      <c r="N312" s="18">
        <f>IF($F312="","",MAX($E312,K312))</f>
        <v/>
      </c>
      <c r="O312" s="19">
        <f>IF($F312="","",ROUND($C312*N312/$E312,2))</f>
        <v/>
      </c>
      <c r="P312" s="19">
        <f>IF($F312="","",ROUND($D312*N312/$E312,2))</f>
        <v/>
      </c>
      <c r="Q312" s="19">
        <f>IF($F312="","",ROUND(P312-$D312,2))</f>
        <v/>
      </c>
      <c r="R312" s="19">
        <f>IF($F312="","",ROUND(Rates!$B$8*(MAX(0,P312-Rates!$B$9)-MAX(0,$D312-Rates!$B$9)),2))</f>
        <v/>
      </c>
      <c r="S312" s="19">
        <f>IF($F312="","",ROUND(Rates!$B$10*IF(Rates!$B$11="Full",P312-$D312,MAX(0,MIN(P312,Rates!$B$13)-Rates!$B$12)-MAX(0,MIN($D312,Rates!$B$13)-Rates!$B$12)),2))</f>
        <v/>
      </c>
      <c r="T312" s="19">
        <f>IF($F312="","",ROUND(Q312+R312+S312,2))</f>
        <v/>
      </c>
    </row>
    <row r="313">
      <c r="A313" s="13" t="n"/>
      <c r="B313" s="13" t="n"/>
      <c r="C313" s="14" t="n"/>
      <c r="D313" s="14" t="n"/>
      <c r="E313" s="15" t="n"/>
      <c r="F313" s="16" t="n"/>
      <c r="G313" s="13" t="n"/>
      <c r="H313" s="13" t="n"/>
      <c r="I313" s="13" t="n"/>
      <c r="J313" s="17">
        <f>IF($F313="","",DATEDIF($F313,Rates!$B$2,"Y"))</f>
        <v/>
      </c>
      <c r="K313" s="18">
        <f>IF($F313="","",IF(UPPER($I313)="Y",Rates!$B$7,IF(J313&gt;=21,Rates!$B$4,IF(J313&gt;=18,Rates!$B$5,Rates!$B$6))))</f>
        <v/>
      </c>
      <c r="L313" s="17">
        <f>IF($F313="","",IF($E313&lt;K313,"Uplift needed","OK"))</f>
        <v/>
      </c>
      <c r="M313" s="17">
        <f>IF($F313="","",IF(AND(J313&lt;21,DATEDIF($F313,Rates!$B$3,"Y")&gt;=21),"Turns 21",IF(AND(J313&lt;18,DATEDIF($F313,Rates!$B$3,"Y")&gt;=18),"Turns 18","")))</f>
        <v/>
      </c>
      <c r="N313" s="18">
        <f>IF($F313="","",MAX($E313,K313))</f>
        <v/>
      </c>
      <c r="O313" s="19">
        <f>IF($F313="","",ROUND($C313*N313/$E313,2))</f>
        <v/>
      </c>
      <c r="P313" s="19">
        <f>IF($F313="","",ROUND($D313*N313/$E313,2))</f>
        <v/>
      </c>
      <c r="Q313" s="19">
        <f>IF($F313="","",ROUND(P313-$D313,2))</f>
        <v/>
      </c>
      <c r="R313" s="19">
        <f>IF($F313="","",ROUND(Rates!$B$8*(MAX(0,P313-Rates!$B$9)-MAX(0,$D313-Rates!$B$9)),2))</f>
        <v/>
      </c>
      <c r="S313" s="19">
        <f>IF($F313="","",ROUND(Rates!$B$10*IF(Rates!$B$11="Full",P313-$D313,MAX(0,MIN(P313,Rates!$B$13)-Rates!$B$12)-MAX(0,MIN($D313,Rates!$B$13)-Rates!$B$12)),2))</f>
        <v/>
      </c>
      <c r="T313" s="19">
        <f>IF($F313="","",ROUND(Q313+R313+S313,2))</f>
        <v/>
      </c>
    </row>
    <row r="314">
      <c r="A314" s="13" t="n"/>
      <c r="B314" s="13" t="n"/>
      <c r="C314" s="14" t="n"/>
      <c r="D314" s="14" t="n"/>
      <c r="E314" s="15" t="n"/>
      <c r="F314" s="16" t="n"/>
      <c r="G314" s="13" t="n"/>
      <c r="H314" s="13" t="n"/>
      <c r="I314" s="13" t="n"/>
      <c r="J314" s="17">
        <f>IF($F314="","",DATEDIF($F314,Rates!$B$2,"Y"))</f>
        <v/>
      </c>
      <c r="K314" s="18">
        <f>IF($F314="","",IF(UPPER($I314)="Y",Rates!$B$7,IF(J314&gt;=21,Rates!$B$4,IF(J314&gt;=18,Rates!$B$5,Rates!$B$6))))</f>
        <v/>
      </c>
      <c r="L314" s="17">
        <f>IF($F314="","",IF($E314&lt;K314,"Uplift needed","OK"))</f>
        <v/>
      </c>
      <c r="M314" s="17">
        <f>IF($F314="","",IF(AND(J314&lt;21,DATEDIF($F314,Rates!$B$3,"Y")&gt;=21),"Turns 21",IF(AND(J314&lt;18,DATEDIF($F314,Rates!$B$3,"Y")&gt;=18),"Turns 18","")))</f>
        <v/>
      </c>
      <c r="N314" s="18">
        <f>IF($F314="","",MAX($E314,K314))</f>
        <v/>
      </c>
      <c r="O314" s="19">
        <f>IF($F314="","",ROUND($C314*N314/$E314,2))</f>
        <v/>
      </c>
      <c r="P314" s="19">
        <f>IF($F314="","",ROUND($D314*N314/$E314,2))</f>
        <v/>
      </c>
      <c r="Q314" s="19">
        <f>IF($F314="","",ROUND(P314-$D314,2))</f>
        <v/>
      </c>
      <c r="R314" s="19">
        <f>IF($F314="","",ROUND(Rates!$B$8*(MAX(0,P314-Rates!$B$9)-MAX(0,$D314-Rates!$B$9)),2))</f>
        <v/>
      </c>
      <c r="S314" s="19">
        <f>IF($F314="","",ROUND(Rates!$B$10*IF(Rates!$B$11="Full",P314-$D314,MAX(0,MIN(P314,Rates!$B$13)-Rates!$B$12)-MAX(0,MIN($D314,Rates!$B$13)-Rates!$B$12)),2))</f>
        <v/>
      </c>
      <c r="T314" s="19">
        <f>IF($F314="","",ROUND(Q314+R314+S314,2))</f>
        <v/>
      </c>
    </row>
    <row r="315">
      <c r="A315" s="13" t="n"/>
      <c r="B315" s="13" t="n"/>
      <c r="C315" s="14" t="n"/>
      <c r="D315" s="14" t="n"/>
      <c r="E315" s="15" t="n"/>
      <c r="F315" s="16" t="n"/>
      <c r="G315" s="13" t="n"/>
      <c r="H315" s="13" t="n"/>
      <c r="I315" s="13" t="n"/>
      <c r="J315" s="17">
        <f>IF($F315="","",DATEDIF($F315,Rates!$B$2,"Y"))</f>
        <v/>
      </c>
      <c r="K315" s="18">
        <f>IF($F315="","",IF(UPPER($I315)="Y",Rates!$B$7,IF(J315&gt;=21,Rates!$B$4,IF(J315&gt;=18,Rates!$B$5,Rates!$B$6))))</f>
        <v/>
      </c>
      <c r="L315" s="17">
        <f>IF($F315="","",IF($E315&lt;K315,"Uplift needed","OK"))</f>
        <v/>
      </c>
      <c r="M315" s="17">
        <f>IF($F315="","",IF(AND(J315&lt;21,DATEDIF($F315,Rates!$B$3,"Y")&gt;=21),"Turns 21",IF(AND(J315&lt;18,DATEDIF($F315,Rates!$B$3,"Y")&gt;=18),"Turns 18","")))</f>
        <v/>
      </c>
      <c r="N315" s="18">
        <f>IF($F315="","",MAX($E315,K315))</f>
        <v/>
      </c>
      <c r="O315" s="19">
        <f>IF($F315="","",ROUND($C315*N315/$E315,2))</f>
        <v/>
      </c>
      <c r="P315" s="19">
        <f>IF($F315="","",ROUND($D315*N315/$E315,2))</f>
        <v/>
      </c>
      <c r="Q315" s="19">
        <f>IF($F315="","",ROUND(P315-$D315,2))</f>
        <v/>
      </c>
      <c r="R315" s="19">
        <f>IF($F315="","",ROUND(Rates!$B$8*(MAX(0,P315-Rates!$B$9)-MAX(0,$D315-Rates!$B$9)),2))</f>
        <v/>
      </c>
      <c r="S315" s="19">
        <f>IF($F315="","",ROUND(Rates!$B$10*IF(Rates!$B$11="Full",P315-$D315,MAX(0,MIN(P315,Rates!$B$13)-Rates!$B$12)-MAX(0,MIN($D315,Rates!$B$13)-Rates!$B$12)),2))</f>
        <v/>
      </c>
      <c r="T315" s="19">
        <f>IF($F315="","",ROUND(Q315+R315+S315,2))</f>
        <v/>
      </c>
    </row>
    <row r="316">
      <c r="A316" s="13" t="n"/>
      <c r="B316" s="13" t="n"/>
      <c r="C316" s="14" t="n"/>
      <c r="D316" s="14" t="n"/>
      <c r="E316" s="15" t="n"/>
      <c r="F316" s="16" t="n"/>
      <c r="G316" s="13" t="n"/>
      <c r="H316" s="13" t="n"/>
      <c r="I316" s="13" t="n"/>
      <c r="J316" s="17">
        <f>IF($F316="","",DATEDIF($F316,Rates!$B$2,"Y"))</f>
        <v/>
      </c>
      <c r="K316" s="18">
        <f>IF($F316="","",IF(UPPER($I316)="Y",Rates!$B$7,IF(J316&gt;=21,Rates!$B$4,IF(J316&gt;=18,Rates!$B$5,Rates!$B$6))))</f>
        <v/>
      </c>
      <c r="L316" s="17">
        <f>IF($F316="","",IF($E316&lt;K316,"Uplift needed","OK"))</f>
        <v/>
      </c>
      <c r="M316" s="17">
        <f>IF($F316="","",IF(AND(J316&lt;21,DATEDIF($F316,Rates!$B$3,"Y")&gt;=21),"Turns 21",IF(AND(J316&lt;18,DATEDIF($F316,Rates!$B$3,"Y")&gt;=18),"Turns 18","")))</f>
        <v/>
      </c>
      <c r="N316" s="18">
        <f>IF($F316="","",MAX($E316,K316))</f>
        <v/>
      </c>
      <c r="O316" s="19">
        <f>IF($F316="","",ROUND($C316*N316/$E316,2))</f>
        <v/>
      </c>
      <c r="P316" s="19">
        <f>IF($F316="","",ROUND($D316*N316/$E316,2))</f>
        <v/>
      </c>
      <c r="Q316" s="19">
        <f>IF($F316="","",ROUND(P316-$D316,2))</f>
        <v/>
      </c>
      <c r="R316" s="19">
        <f>IF($F316="","",ROUND(Rates!$B$8*(MAX(0,P316-Rates!$B$9)-MAX(0,$D316-Rates!$B$9)),2))</f>
        <v/>
      </c>
      <c r="S316" s="19">
        <f>IF($F316="","",ROUND(Rates!$B$10*IF(Rates!$B$11="Full",P316-$D316,MAX(0,MIN(P316,Rates!$B$13)-Rates!$B$12)-MAX(0,MIN($D316,Rates!$B$13)-Rates!$B$12)),2))</f>
        <v/>
      </c>
      <c r="T316" s="19">
        <f>IF($F316="","",ROUND(Q316+R316+S316,2))</f>
        <v/>
      </c>
    </row>
    <row r="317">
      <c r="A317" s="13" t="n"/>
      <c r="B317" s="13" t="n"/>
      <c r="C317" s="14" t="n"/>
      <c r="D317" s="14" t="n"/>
      <c r="E317" s="15" t="n"/>
      <c r="F317" s="16" t="n"/>
      <c r="G317" s="13" t="n"/>
      <c r="H317" s="13" t="n"/>
      <c r="I317" s="13" t="n"/>
      <c r="J317" s="17">
        <f>IF($F317="","",DATEDIF($F317,Rates!$B$2,"Y"))</f>
        <v/>
      </c>
      <c r="K317" s="18">
        <f>IF($F317="","",IF(UPPER($I317)="Y",Rates!$B$7,IF(J317&gt;=21,Rates!$B$4,IF(J317&gt;=18,Rates!$B$5,Rates!$B$6))))</f>
        <v/>
      </c>
      <c r="L317" s="17">
        <f>IF($F317="","",IF($E317&lt;K317,"Uplift needed","OK"))</f>
        <v/>
      </c>
      <c r="M317" s="17">
        <f>IF($F317="","",IF(AND(J317&lt;21,DATEDIF($F317,Rates!$B$3,"Y")&gt;=21),"Turns 21",IF(AND(J317&lt;18,DATEDIF($F317,Rates!$B$3,"Y")&gt;=18),"Turns 18","")))</f>
        <v/>
      </c>
      <c r="N317" s="18">
        <f>IF($F317="","",MAX($E317,K317))</f>
        <v/>
      </c>
      <c r="O317" s="19">
        <f>IF($F317="","",ROUND($C317*N317/$E317,2))</f>
        <v/>
      </c>
      <c r="P317" s="19">
        <f>IF($F317="","",ROUND($D317*N317/$E317,2))</f>
        <v/>
      </c>
      <c r="Q317" s="19">
        <f>IF($F317="","",ROUND(P317-$D317,2))</f>
        <v/>
      </c>
      <c r="R317" s="19">
        <f>IF($F317="","",ROUND(Rates!$B$8*(MAX(0,P317-Rates!$B$9)-MAX(0,$D317-Rates!$B$9)),2))</f>
        <v/>
      </c>
      <c r="S317" s="19">
        <f>IF($F317="","",ROUND(Rates!$B$10*IF(Rates!$B$11="Full",P317-$D317,MAX(0,MIN(P317,Rates!$B$13)-Rates!$B$12)-MAX(0,MIN($D317,Rates!$B$13)-Rates!$B$12)),2))</f>
        <v/>
      </c>
      <c r="T317" s="19">
        <f>IF($F317="","",ROUND(Q317+R317+S317,2))</f>
        <v/>
      </c>
    </row>
    <row r="318">
      <c r="A318" s="13" t="n"/>
      <c r="B318" s="13" t="n"/>
      <c r="C318" s="14" t="n"/>
      <c r="D318" s="14" t="n"/>
      <c r="E318" s="15" t="n"/>
      <c r="F318" s="16" t="n"/>
      <c r="G318" s="13" t="n"/>
      <c r="H318" s="13" t="n"/>
      <c r="I318" s="13" t="n"/>
      <c r="J318" s="17">
        <f>IF($F318="","",DATEDIF($F318,Rates!$B$2,"Y"))</f>
        <v/>
      </c>
      <c r="K318" s="18">
        <f>IF($F318="","",IF(UPPER($I318)="Y",Rates!$B$7,IF(J318&gt;=21,Rates!$B$4,IF(J318&gt;=18,Rates!$B$5,Rates!$B$6))))</f>
        <v/>
      </c>
      <c r="L318" s="17">
        <f>IF($F318="","",IF($E318&lt;K318,"Uplift needed","OK"))</f>
        <v/>
      </c>
      <c r="M318" s="17">
        <f>IF($F318="","",IF(AND(J318&lt;21,DATEDIF($F318,Rates!$B$3,"Y")&gt;=21),"Turns 21",IF(AND(J318&lt;18,DATEDIF($F318,Rates!$B$3,"Y")&gt;=18),"Turns 18","")))</f>
        <v/>
      </c>
      <c r="N318" s="18">
        <f>IF($F318="","",MAX($E318,K318))</f>
        <v/>
      </c>
      <c r="O318" s="19">
        <f>IF($F318="","",ROUND($C318*N318/$E318,2))</f>
        <v/>
      </c>
      <c r="P318" s="19">
        <f>IF($F318="","",ROUND($D318*N318/$E318,2))</f>
        <v/>
      </c>
      <c r="Q318" s="19">
        <f>IF($F318="","",ROUND(P318-$D318,2))</f>
        <v/>
      </c>
      <c r="R318" s="19">
        <f>IF($F318="","",ROUND(Rates!$B$8*(MAX(0,P318-Rates!$B$9)-MAX(0,$D318-Rates!$B$9)),2))</f>
        <v/>
      </c>
      <c r="S318" s="19">
        <f>IF($F318="","",ROUND(Rates!$B$10*IF(Rates!$B$11="Full",P318-$D318,MAX(0,MIN(P318,Rates!$B$13)-Rates!$B$12)-MAX(0,MIN($D318,Rates!$B$13)-Rates!$B$12)),2))</f>
        <v/>
      </c>
      <c r="T318" s="19">
        <f>IF($F318="","",ROUND(Q318+R318+S318,2))</f>
        <v/>
      </c>
    </row>
    <row r="319">
      <c r="A319" s="13" t="n"/>
      <c r="B319" s="13" t="n"/>
      <c r="C319" s="14" t="n"/>
      <c r="D319" s="14" t="n"/>
      <c r="E319" s="15" t="n"/>
      <c r="F319" s="16" t="n"/>
      <c r="G319" s="13" t="n"/>
      <c r="H319" s="13" t="n"/>
      <c r="I319" s="13" t="n"/>
      <c r="J319" s="17">
        <f>IF($F319="","",DATEDIF($F319,Rates!$B$2,"Y"))</f>
        <v/>
      </c>
      <c r="K319" s="18">
        <f>IF($F319="","",IF(UPPER($I319)="Y",Rates!$B$7,IF(J319&gt;=21,Rates!$B$4,IF(J319&gt;=18,Rates!$B$5,Rates!$B$6))))</f>
        <v/>
      </c>
      <c r="L319" s="17">
        <f>IF($F319="","",IF($E319&lt;K319,"Uplift needed","OK"))</f>
        <v/>
      </c>
      <c r="M319" s="17">
        <f>IF($F319="","",IF(AND(J319&lt;21,DATEDIF($F319,Rates!$B$3,"Y")&gt;=21),"Turns 21",IF(AND(J319&lt;18,DATEDIF($F319,Rates!$B$3,"Y")&gt;=18),"Turns 18","")))</f>
        <v/>
      </c>
      <c r="N319" s="18">
        <f>IF($F319="","",MAX($E319,K319))</f>
        <v/>
      </c>
      <c r="O319" s="19">
        <f>IF($F319="","",ROUND($C319*N319/$E319,2))</f>
        <v/>
      </c>
      <c r="P319" s="19">
        <f>IF($F319="","",ROUND($D319*N319/$E319,2))</f>
        <v/>
      </c>
      <c r="Q319" s="19">
        <f>IF($F319="","",ROUND(P319-$D319,2))</f>
        <v/>
      </c>
      <c r="R319" s="19">
        <f>IF($F319="","",ROUND(Rates!$B$8*(MAX(0,P319-Rates!$B$9)-MAX(0,$D319-Rates!$B$9)),2))</f>
        <v/>
      </c>
      <c r="S319" s="19">
        <f>IF($F319="","",ROUND(Rates!$B$10*IF(Rates!$B$11="Full",P319-$D319,MAX(0,MIN(P319,Rates!$B$13)-Rates!$B$12)-MAX(0,MIN($D319,Rates!$B$13)-Rates!$B$12)),2))</f>
        <v/>
      </c>
      <c r="T319" s="19">
        <f>IF($F319="","",ROUND(Q319+R319+S319,2))</f>
        <v/>
      </c>
    </row>
    <row r="320">
      <c r="A320" s="13" t="n"/>
      <c r="B320" s="13" t="n"/>
      <c r="C320" s="14" t="n"/>
      <c r="D320" s="14" t="n"/>
      <c r="E320" s="15" t="n"/>
      <c r="F320" s="16" t="n"/>
      <c r="G320" s="13" t="n"/>
      <c r="H320" s="13" t="n"/>
      <c r="I320" s="13" t="n"/>
      <c r="J320" s="17">
        <f>IF($F320="","",DATEDIF($F320,Rates!$B$2,"Y"))</f>
        <v/>
      </c>
      <c r="K320" s="18">
        <f>IF($F320="","",IF(UPPER($I320)="Y",Rates!$B$7,IF(J320&gt;=21,Rates!$B$4,IF(J320&gt;=18,Rates!$B$5,Rates!$B$6))))</f>
        <v/>
      </c>
      <c r="L320" s="17">
        <f>IF($F320="","",IF($E320&lt;K320,"Uplift needed","OK"))</f>
        <v/>
      </c>
      <c r="M320" s="17">
        <f>IF($F320="","",IF(AND(J320&lt;21,DATEDIF($F320,Rates!$B$3,"Y")&gt;=21),"Turns 21",IF(AND(J320&lt;18,DATEDIF($F320,Rates!$B$3,"Y")&gt;=18),"Turns 18","")))</f>
        <v/>
      </c>
      <c r="N320" s="18">
        <f>IF($F320="","",MAX($E320,K320))</f>
        <v/>
      </c>
      <c r="O320" s="19">
        <f>IF($F320="","",ROUND($C320*N320/$E320,2))</f>
        <v/>
      </c>
      <c r="P320" s="19">
        <f>IF($F320="","",ROUND($D320*N320/$E320,2))</f>
        <v/>
      </c>
      <c r="Q320" s="19">
        <f>IF($F320="","",ROUND(P320-$D320,2))</f>
        <v/>
      </c>
      <c r="R320" s="19">
        <f>IF($F320="","",ROUND(Rates!$B$8*(MAX(0,P320-Rates!$B$9)-MAX(0,$D320-Rates!$B$9)),2))</f>
        <v/>
      </c>
      <c r="S320" s="19">
        <f>IF($F320="","",ROUND(Rates!$B$10*IF(Rates!$B$11="Full",P320-$D320,MAX(0,MIN(P320,Rates!$B$13)-Rates!$B$12)-MAX(0,MIN($D320,Rates!$B$13)-Rates!$B$12)),2))</f>
        <v/>
      </c>
      <c r="T320" s="19">
        <f>IF($F320="","",ROUND(Q320+R320+S320,2))</f>
        <v/>
      </c>
    </row>
    <row r="321">
      <c r="A321" s="13" t="n"/>
      <c r="B321" s="13" t="n"/>
      <c r="C321" s="14" t="n"/>
      <c r="D321" s="14" t="n"/>
      <c r="E321" s="15" t="n"/>
      <c r="F321" s="16" t="n"/>
      <c r="G321" s="13" t="n"/>
      <c r="H321" s="13" t="n"/>
      <c r="I321" s="13" t="n"/>
      <c r="J321" s="17">
        <f>IF($F321="","",DATEDIF($F321,Rates!$B$2,"Y"))</f>
        <v/>
      </c>
      <c r="K321" s="18">
        <f>IF($F321="","",IF(UPPER($I321)="Y",Rates!$B$7,IF(J321&gt;=21,Rates!$B$4,IF(J321&gt;=18,Rates!$B$5,Rates!$B$6))))</f>
        <v/>
      </c>
      <c r="L321" s="17">
        <f>IF($F321="","",IF($E321&lt;K321,"Uplift needed","OK"))</f>
        <v/>
      </c>
      <c r="M321" s="17">
        <f>IF($F321="","",IF(AND(J321&lt;21,DATEDIF($F321,Rates!$B$3,"Y")&gt;=21),"Turns 21",IF(AND(J321&lt;18,DATEDIF($F321,Rates!$B$3,"Y")&gt;=18),"Turns 18","")))</f>
        <v/>
      </c>
      <c r="N321" s="18">
        <f>IF($F321="","",MAX($E321,K321))</f>
        <v/>
      </c>
      <c r="O321" s="19">
        <f>IF($F321="","",ROUND($C321*N321/$E321,2))</f>
        <v/>
      </c>
      <c r="P321" s="19">
        <f>IF($F321="","",ROUND($D321*N321/$E321,2))</f>
        <v/>
      </c>
      <c r="Q321" s="19">
        <f>IF($F321="","",ROUND(P321-$D321,2))</f>
        <v/>
      </c>
      <c r="R321" s="19">
        <f>IF($F321="","",ROUND(Rates!$B$8*(MAX(0,P321-Rates!$B$9)-MAX(0,$D321-Rates!$B$9)),2))</f>
        <v/>
      </c>
      <c r="S321" s="19">
        <f>IF($F321="","",ROUND(Rates!$B$10*IF(Rates!$B$11="Full",P321-$D321,MAX(0,MIN(P321,Rates!$B$13)-Rates!$B$12)-MAX(0,MIN($D321,Rates!$B$13)-Rates!$B$12)),2))</f>
        <v/>
      </c>
      <c r="T321" s="19">
        <f>IF($F321="","",ROUND(Q321+R321+S321,2))</f>
        <v/>
      </c>
    </row>
    <row r="322">
      <c r="A322" s="13" t="n"/>
      <c r="B322" s="13" t="n"/>
      <c r="C322" s="14" t="n"/>
      <c r="D322" s="14" t="n"/>
      <c r="E322" s="15" t="n"/>
      <c r="F322" s="16" t="n"/>
      <c r="G322" s="13" t="n"/>
      <c r="H322" s="13" t="n"/>
      <c r="I322" s="13" t="n"/>
      <c r="J322" s="17">
        <f>IF($F322="","",DATEDIF($F322,Rates!$B$2,"Y"))</f>
        <v/>
      </c>
      <c r="K322" s="18">
        <f>IF($F322="","",IF(UPPER($I322)="Y",Rates!$B$7,IF(J322&gt;=21,Rates!$B$4,IF(J322&gt;=18,Rates!$B$5,Rates!$B$6))))</f>
        <v/>
      </c>
      <c r="L322" s="17">
        <f>IF($F322="","",IF($E322&lt;K322,"Uplift needed","OK"))</f>
        <v/>
      </c>
      <c r="M322" s="17">
        <f>IF($F322="","",IF(AND(J322&lt;21,DATEDIF($F322,Rates!$B$3,"Y")&gt;=21),"Turns 21",IF(AND(J322&lt;18,DATEDIF($F322,Rates!$B$3,"Y")&gt;=18),"Turns 18","")))</f>
        <v/>
      </c>
      <c r="N322" s="18">
        <f>IF($F322="","",MAX($E322,K322))</f>
        <v/>
      </c>
      <c r="O322" s="19">
        <f>IF($F322="","",ROUND($C322*N322/$E322,2))</f>
        <v/>
      </c>
      <c r="P322" s="19">
        <f>IF($F322="","",ROUND($D322*N322/$E322,2))</f>
        <v/>
      </c>
      <c r="Q322" s="19">
        <f>IF($F322="","",ROUND(P322-$D322,2))</f>
        <v/>
      </c>
      <c r="R322" s="19">
        <f>IF($F322="","",ROUND(Rates!$B$8*(MAX(0,P322-Rates!$B$9)-MAX(0,$D322-Rates!$B$9)),2))</f>
        <v/>
      </c>
      <c r="S322" s="19">
        <f>IF($F322="","",ROUND(Rates!$B$10*IF(Rates!$B$11="Full",P322-$D322,MAX(0,MIN(P322,Rates!$B$13)-Rates!$B$12)-MAX(0,MIN($D322,Rates!$B$13)-Rates!$B$12)),2))</f>
        <v/>
      </c>
      <c r="T322" s="19">
        <f>IF($F322="","",ROUND(Q322+R322+S322,2))</f>
        <v/>
      </c>
    </row>
    <row r="323">
      <c r="A323" s="13" t="n"/>
      <c r="B323" s="13" t="n"/>
      <c r="C323" s="14" t="n"/>
      <c r="D323" s="14" t="n"/>
      <c r="E323" s="15" t="n"/>
      <c r="F323" s="16" t="n"/>
      <c r="G323" s="13" t="n"/>
      <c r="H323" s="13" t="n"/>
      <c r="I323" s="13" t="n"/>
      <c r="J323" s="17">
        <f>IF($F323="","",DATEDIF($F323,Rates!$B$2,"Y"))</f>
        <v/>
      </c>
      <c r="K323" s="18">
        <f>IF($F323="","",IF(UPPER($I323)="Y",Rates!$B$7,IF(J323&gt;=21,Rates!$B$4,IF(J323&gt;=18,Rates!$B$5,Rates!$B$6))))</f>
        <v/>
      </c>
      <c r="L323" s="17">
        <f>IF($F323="","",IF($E323&lt;K323,"Uplift needed","OK"))</f>
        <v/>
      </c>
      <c r="M323" s="17">
        <f>IF($F323="","",IF(AND(J323&lt;21,DATEDIF($F323,Rates!$B$3,"Y")&gt;=21),"Turns 21",IF(AND(J323&lt;18,DATEDIF($F323,Rates!$B$3,"Y")&gt;=18),"Turns 18","")))</f>
        <v/>
      </c>
      <c r="N323" s="18">
        <f>IF($F323="","",MAX($E323,K323))</f>
        <v/>
      </c>
      <c r="O323" s="19">
        <f>IF($F323="","",ROUND($C323*N323/$E323,2))</f>
        <v/>
      </c>
      <c r="P323" s="19">
        <f>IF($F323="","",ROUND($D323*N323/$E323,2))</f>
        <v/>
      </c>
      <c r="Q323" s="19">
        <f>IF($F323="","",ROUND(P323-$D323,2))</f>
        <v/>
      </c>
      <c r="R323" s="19">
        <f>IF($F323="","",ROUND(Rates!$B$8*(MAX(0,P323-Rates!$B$9)-MAX(0,$D323-Rates!$B$9)),2))</f>
        <v/>
      </c>
      <c r="S323" s="19">
        <f>IF($F323="","",ROUND(Rates!$B$10*IF(Rates!$B$11="Full",P323-$D323,MAX(0,MIN(P323,Rates!$B$13)-Rates!$B$12)-MAX(0,MIN($D323,Rates!$B$13)-Rates!$B$12)),2))</f>
        <v/>
      </c>
      <c r="T323" s="19">
        <f>IF($F323="","",ROUND(Q323+R323+S323,2))</f>
        <v/>
      </c>
    </row>
    <row r="324">
      <c r="A324" s="13" t="n"/>
      <c r="B324" s="13" t="n"/>
      <c r="C324" s="14" t="n"/>
      <c r="D324" s="14" t="n"/>
      <c r="E324" s="15" t="n"/>
      <c r="F324" s="16" t="n"/>
      <c r="G324" s="13" t="n"/>
      <c r="H324" s="13" t="n"/>
      <c r="I324" s="13" t="n"/>
      <c r="J324" s="17">
        <f>IF($F324="","",DATEDIF($F324,Rates!$B$2,"Y"))</f>
        <v/>
      </c>
      <c r="K324" s="18">
        <f>IF($F324="","",IF(UPPER($I324)="Y",Rates!$B$7,IF(J324&gt;=21,Rates!$B$4,IF(J324&gt;=18,Rates!$B$5,Rates!$B$6))))</f>
        <v/>
      </c>
      <c r="L324" s="17">
        <f>IF($F324="","",IF($E324&lt;K324,"Uplift needed","OK"))</f>
        <v/>
      </c>
      <c r="M324" s="17">
        <f>IF($F324="","",IF(AND(J324&lt;21,DATEDIF($F324,Rates!$B$3,"Y")&gt;=21),"Turns 21",IF(AND(J324&lt;18,DATEDIF($F324,Rates!$B$3,"Y")&gt;=18),"Turns 18","")))</f>
        <v/>
      </c>
      <c r="N324" s="18">
        <f>IF($F324="","",MAX($E324,K324))</f>
        <v/>
      </c>
      <c r="O324" s="19">
        <f>IF($F324="","",ROUND($C324*N324/$E324,2))</f>
        <v/>
      </c>
      <c r="P324" s="19">
        <f>IF($F324="","",ROUND($D324*N324/$E324,2))</f>
        <v/>
      </c>
      <c r="Q324" s="19">
        <f>IF($F324="","",ROUND(P324-$D324,2))</f>
        <v/>
      </c>
      <c r="R324" s="19">
        <f>IF($F324="","",ROUND(Rates!$B$8*(MAX(0,P324-Rates!$B$9)-MAX(0,$D324-Rates!$B$9)),2))</f>
        <v/>
      </c>
      <c r="S324" s="19">
        <f>IF($F324="","",ROUND(Rates!$B$10*IF(Rates!$B$11="Full",P324-$D324,MAX(0,MIN(P324,Rates!$B$13)-Rates!$B$12)-MAX(0,MIN($D324,Rates!$B$13)-Rates!$B$12)),2))</f>
        <v/>
      </c>
      <c r="T324" s="19">
        <f>IF($F324="","",ROUND(Q324+R324+S324,2))</f>
        <v/>
      </c>
    </row>
    <row r="325">
      <c r="A325" s="13" t="n"/>
      <c r="B325" s="13" t="n"/>
      <c r="C325" s="14" t="n"/>
      <c r="D325" s="14" t="n"/>
      <c r="E325" s="15" t="n"/>
      <c r="F325" s="16" t="n"/>
      <c r="G325" s="13" t="n"/>
      <c r="H325" s="13" t="n"/>
      <c r="I325" s="13" t="n"/>
      <c r="J325" s="17">
        <f>IF($F325="","",DATEDIF($F325,Rates!$B$2,"Y"))</f>
        <v/>
      </c>
      <c r="K325" s="18">
        <f>IF($F325="","",IF(UPPER($I325)="Y",Rates!$B$7,IF(J325&gt;=21,Rates!$B$4,IF(J325&gt;=18,Rates!$B$5,Rates!$B$6))))</f>
        <v/>
      </c>
      <c r="L325" s="17">
        <f>IF($F325="","",IF($E325&lt;K325,"Uplift needed","OK"))</f>
        <v/>
      </c>
      <c r="M325" s="17">
        <f>IF($F325="","",IF(AND(J325&lt;21,DATEDIF($F325,Rates!$B$3,"Y")&gt;=21),"Turns 21",IF(AND(J325&lt;18,DATEDIF($F325,Rates!$B$3,"Y")&gt;=18),"Turns 18","")))</f>
        <v/>
      </c>
      <c r="N325" s="18">
        <f>IF($F325="","",MAX($E325,K325))</f>
        <v/>
      </c>
      <c r="O325" s="19">
        <f>IF($F325="","",ROUND($C325*N325/$E325,2))</f>
        <v/>
      </c>
      <c r="P325" s="19">
        <f>IF($F325="","",ROUND($D325*N325/$E325,2))</f>
        <v/>
      </c>
      <c r="Q325" s="19">
        <f>IF($F325="","",ROUND(P325-$D325,2))</f>
        <v/>
      </c>
      <c r="R325" s="19">
        <f>IF($F325="","",ROUND(Rates!$B$8*(MAX(0,P325-Rates!$B$9)-MAX(0,$D325-Rates!$B$9)),2))</f>
        <v/>
      </c>
      <c r="S325" s="19">
        <f>IF($F325="","",ROUND(Rates!$B$10*IF(Rates!$B$11="Full",P325-$D325,MAX(0,MIN(P325,Rates!$B$13)-Rates!$B$12)-MAX(0,MIN($D325,Rates!$B$13)-Rates!$B$12)),2))</f>
        <v/>
      </c>
      <c r="T325" s="19">
        <f>IF($F325="","",ROUND(Q325+R325+S325,2))</f>
        <v/>
      </c>
    </row>
    <row r="326">
      <c r="A326" s="13" t="n"/>
      <c r="B326" s="13" t="n"/>
      <c r="C326" s="14" t="n"/>
      <c r="D326" s="14" t="n"/>
      <c r="E326" s="15" t="n"/>
      <c r="F326" s="16" t="n"/>
      <c r="G326" s="13" t="n"/>
      <c r="H326" s="13" t="n"/>
      <c r="I326" s="13" t="n"/>
      <c r="J326" s="17">
        <f>IF($F326="","",DATEDIF($F326,Rates!$B$2,"Y"))</f>
        <v/>
      </c>
      <c r="K326" s="18">
        <f>IF($F326="","",IF(UPPER($I326)="Y",Rates!$B$7,IF(J326&gt;=21,Rates!$B$4,IF(J326&gt;=18,Rates!$B$5,Rates!$B$6))))</f>
        <v/>
      </c>
      <c r="L326" s="17">
        <f>IF($F326="","",IF($E326&lt;K326,"Uplift needed","OK"))</f>
        <v/>
      </c>
      <c r="M326" s="17">
        <f>IF($F326="","",IF(AND(J326&lt;21,DATEDIF($F326,Rates!$B$3,"Y")&gt;=21),"Turns 21",IF(AND(J326&lt;18,DATEDIF($F326,Rates!$B$3,"Y")&gt;=18),"Turns 18","")))</f>
        <v/>
      </c>
      <c r="N326" s="18">
        <f>IF($F326="","",MAX($E326,K326))</f>
        <v/>
      </c>
      <c r="O326" s="19">
        <f>IF($F326="","",ROUND($C326*N326/$E326,2))</f>
        <v/>
      </c>
      <c r="P326" s="19">
        <f>IF($F326="","",ROUND($D326*N326/$E326,2))</f>
        <v/>
      </c>
      <c r="Q326" s="19">
        <f>IF($F326="","",ROUND(P326-$D326,2))</f>
        <v/>
      </c>
      <c r="R326" s="19">
        <f>IF($F326="","",ROUND(Rates!$B$8*(MAX(0,P326-Rates!$B$9)-MAX(0,$D326-Rates!$B$9)),2))</f>
        <v/>
      </c>
      <c r="S326" s="19">
        <f>IF($F326="","",ROUND(Rates!$B$10*IF(Rates!$B$11="Full",P326-$D326,MAX(0,MIN(P326,Rates!$B$13)-Rates!$B$12)-MAX(0,MIN($D326,Rates!$B$13)-Rates!$B$12)),2))</f>
        <v/>
      </c>
      <c r="T326" s="19">
        <f>IF($F326="","",ROUND(Q326+R326+S326,2))</f>
        <v/>
      </c>
    </row>
    <row r="327">
      <c r="A327" s="13" t="n"/>
      <c r="B327" s="13" t="n"/>
      <c r="C327" s="14" t="n"/>
      <c r="D327" s="14" t="n"/>
      <c r="E327" s="15" t="n"/>
      <c r="F327" s="16" t="n"/>
      <c r="G327" s="13" t="n"/>
      <c r="H327" s="13" t="n"/>
      <c r="I327" s="13" t="n"/>
      <c r="J327" s="17">
        <f>IF($F327="","",DATEDIF($F327,Rates!$B$2,"Y"))</f>
        <v/>
      </c>
      <c r="K327" s="18">
        <f>IF($F327="","",IF(UPPER($I327)="Y",Rates!$B$7,IF(J327&gt;=21,Rates!$B$4,IF(J327&gt;=18,Rates!$B$5,Rates!$B$6))))</f>
        <v/>
      </c>
      <c r="L327" s="17">
        <f>IF($F327="","",IF($E327&lt;K327,"Uplift needed","OK"))</f>
        <v/>
      </c>
      <c r="M327" s="17">
        <f>IF($F327="","",IF(AND(J327&lt;21,DATEDIF($F327,Rates!$B$3,"Y")&gt;=21),"Turns 21",IF(AND(J327&lt;18,DATEDIF($F327,Rates!$B$3,"Y")&gt;=18),"Turns 18","")))</f>
        <v/>
      </c>
      <c r="N327" s="18">
        <f>IF($F327="","",MAX($E327,K327))</f>
        <v/>
      </c>
      <c r="O327" s="19">
        <f>IF($F327="","",ROUND($C327*N327/$E327,2))</f>
        <v/>
      </c>
      <c r="P327" s="19">
        <f>IF($F327="","",ROUND($D327*N327/$E327,2))</f>
        <v/>
      </c>
      <c r="Q327" s="19">
        <f>IF($F327="","",ROUND(P327-$D327,2))</f>
        <v/>
      </c>
      <c r="R327" s="19">
        <f>IF($F327="","",ROUND(Rates!$B$8*(MAX(0,P327-Rates!$B$9)-MAX(0,$D327-Rates!$B$9)),2))</f>
        <v/>
      </c>
      <c r="S327" s="19">
        <f>IF($F327="","",ROUND(Rates!$B$10*IF(Rates!$B$11="Full",P327-$D327,MAX(0,MIN(P327,Rates!$B$13)-Rates!$B$12)-MAX(0,MIN($D327,Rates!$B$13)-Rates!$B$12)),2))</f>
        <v/>
      </c>
      <c r="T327" s="19">
        <f>IF($F327="","",ROUND(Q327+R327+S327,2))</f>
        <v/>
      </c>
    </row>
    <row r="328">
      <c r="A328" s="13" t="n"/>
      <c r="B328" s="13" t="n"/>
      <c r="C328" s="14" t="n"/>
      <c r="D328" s="14" t="n"/>
      <c r="E328" s="15" t="n"/>
      <c r="F328" s="16" t="n"/>
      <c r="G328" s="13" t="n"/>
      <c r="H328" s="13" t="n"/>
      <c r="I328" s="13" t="n"/>
      <c r="J328" s="17">
        <f>IF($F328="","",DATEDIF($F328,Rates!$B$2,"Y"))</f>
        <v/>
      </c>
      <c r="K328" s="18">
        <f>IF($F328="","",IF(UPPER($I328)="Y",Rates!$B$7,IF(J328&gt;=21,Rates!$B$4,IF(J328&gt;=18,Rates!$B$5,Rates!$B$6))))</f>
        <v/>
      </c>
      <c r="L328" s="17">
        <f>IF($F328="","",IF($E328&lt;K328,"Uplift needed","OK"))</f>
        <v/>
      </c>
      <c r="M328" s="17">
        <f>IF($F328="","",IF(AND(J328&lt;21,DATEDIF($F328,Rates!$B$3,"Y")&gt;=21),"Turns 21",IF(AND(J328&lt;18,DATEDIF($F328,Rates!$B$3,"Y")&gt;=18),"Turns 18","")))</f>
        <v/>
      </c>
      <c r="N328" s="18">
        <f>IF($F328="","",MAX($E328,K328))</f>
        <v/>
      </c>
      <c r="O328" s="19">
        <f>IF($F328="","",ROUND($C328*N328/$E328,2))</f>
        <v/>
      </c>
      <c r="P328" s="19">
        <f>IF($F328="","",ROUND($D328*N328/$E328,2))</f>
        <v/>
      </c>
      <c r="Q328" s="19">
        <f>IF($F328="","",ROUND(P328-$D328,2))</f>
        <v/>
      </c>
      <c r="R328" s="19">
        <f>IF($F328="","",ROUND(Rates!$B$8*(MAX(0,P328-Rates!$B$9)-MAX(0,$D328-Rates!$B$9)),2))</f>
        <v/>
      </c>
      <c r="S328" s="19">
        <f>IF($F328="","",ROUND(Rates!$B$10*IF(Rates!$B$11="Full",P328-$D328,MAX(0,MIN(P328,Rates!$B$13)-Rates!$B$12)-MAX(0,MIN($D328,Rates!$B$13)-Rates!$B$12)),2))</f>
        <v/>
      </c>
      <c r="T328" s="19">
        <f>IF($F328="","",ROUND(Q328+R328+S328,2))</f>
        <v/>
      </c>
    </row>
    <row r="329">
      <c r="A329" s="13" t="n"/>
      <c r="B329" s="13" t="n"/>
      <c r="C329" s="14" t="n"/>
      <c r="D329" s="14" t="n"/>
      <c r="E329" s="15" t="n"/>
      <c r="F329" s="16" t="n"/>
      <c r="G329" s="13" t="n"/>
      <c r="H329" s="13" t="n"/>
      <c r="I329" s="13" t="n"/>
      <c r="J329" s="17">
        <f>IF($F329="","",DATEDIF($F329,Rates!$B$2,"Y"))</f>
        <v/>
      </c>
      <c r="K329" s="18">
        <f>IF($F329="","",IF(UPPER($I329)="Y",Rates!$B$7,IF(J329&gt;=21,Rates!$B$4,IF(J329&gt;=18,Rates!$B$5,Rates!$B$6))))</f>
        <v/>
      </c>
      <c r="L329" s="17">
        <f>IF($F329="","",IF($E329&lt;K329,"Uplift needed","OK"))</f>
        <v/>
      </c>
      <c r="M329" s="17">
        <f>IF($F329="","",IF(AND(J329&lt;21,DATEDIF($F329,Rates!$B$3,"Y")&gt;=21),"Turns 21",IF(AND(J329&lt;18,DATEDIF($F329,Rates!$B$3,"Y")&gt;=18),"Turns 18","")))</f>
        <v/>
      </c>
      <c r="N329" s="18">
        <f>IF($F329="","",MAX($E329,K329))</f>
        <v/>
      </c>
      <c r="O329" s="19">
        <f>IF($F329="","",ROUND($C329*N329/$E329,2))</f>
        <v/>
      </c>
      <c r="P329" s="19">
        <f>IF($F329="","",ROUND($D329*N329/$E329,2))</f>
        <v/>
      </c>
      <c r="Q329" s="19">
        <f>IF($F329="","",ROUND(P329-$D329,2))</f>
        <v/>
      </c>
      <c r="R329" s="19">
        <f>IF($F329="","",ROUND(Rates!$B$8*(MAX(0,P329-Rates!$B$9)-MAX(0,$D329-Rates!$B$9)),2))</f>
        <v/>
      </c>
      <c r="S329" s="19">
        <f>IF($F329="","",ROUND(Rates!$B$10*IF(Rates!$B$11="Full",P329-$D329,MAX(0,MIN(P329,Rates!$B$13)-Rates!$B$12)-MAX(0,MIN($D329,Rates!$B$13)-Rates!$B$12)),2))</f>
        <v/>
      </c>
      <c r="T329" s="19">
        <f>IF($F329="","",ROUND(Q329+R329+S329,2))</f>
        <v/>
      </c>
    </row>
    <row r="330">
      <c r="A330" s="13" t="n"/>
      <c r="B330" s="13" t="n"/>
      <c r="C330" s="14" t="n"/>
      <c r="D330" s="14" t="n"/>
      <c r="E330" s="15" t="n"/>
      <c r="F330" s="16" t="n"/>
      <c r="G330" s="13" t="n"/>
      <c r="H330" s="13" t="n"/>
      <c r="I330" s="13" t="n"/>
      <c r="J330" s="17">
        <f>IF($F330="","",DATEDIF($F330,Rates!$B$2,"Y"))</f>
        <v/>
      </c>
      <c r="K330" s="18">
        <f>IF($F330="","",IF(UPPER($I330)="Y",Rates!$B$7,IF(J330&gt;=21,Rates!$B$4,IF(J330&gt;=18,Rates!$B$5,Rates!$B$6))))</f>
        <v/>
      </c>
      <c r="L330" s="17">
        <f>IF($F330="","",IF($E330&lt;K330,"Uplift needed","OK"))</f>
        <v/>
      </c>
      <c r="M330" s="17">
        <f>IF($F330="","",IF(AND(J330&lt;21,DATEDIF($F330,Rates!$B$3,"Y")&gt;=21),"Turns 21",IF(AND(J330&lt;18,DATEDIF($F330,Rates!$B$3,"Y")&gt;=18),"Turns 18","")))</f>
        <v/>
      </c>
      <c r="N330" s="18">
        <f>IF($F330="","",MAX($E330,K330))</f>
        <v/>
      </c>
      <c r="O330" s="19">
        <f>IF($F330="","",ROUND($C330*N330/$E330,2))</f>
        <v/>
      </c>
      <c r="P330" s="19">
        <f>IF($F330="","",ROUND($D330*N330/$E330,2))</f>
        <v/>
      </c>
      <c r="Q330" s="19">
        <f>IF($F330="","",ROUND(P330-$D330,2))</f>
        <v/>
      </c>
      <c r="R330" s="19">
        <f>IF($F330="","",ROUND(Rates!$B$8*(MAX(0,P330-Rates!$B$9)-MAX(0,$D330-Rates!$B$9)),2))</f>
        <v/>
      </c>
      <c r="S330" s="19">
        <f>IF($F330="","",ROUND(Rates!$B$10*IF(Rates!$B$11="Full",P330-$D330,MAX(0,MIN(P330,Rates!$B$13)-Rates!$B$12)-MAX(0,MIN($D330,Rates!$B$13)-Rates!$B$12)),2))</f>
        <v/>
      </c>
      <c r="T330" s="19">
        <f>IF($F330="","",ROUND(Q330+R330+S330,2))</f>
        <v/>
      </c>
    </row>
    <row r="331">
      <c r="A331" s="13" t="n"/>
      <c r="B331" s="13" t="n"/>
      <c r="C331" s="14" t="n"/>
      <c r="D331" s="14" t="n"/>
      <c r="E331" s="15" t="n"/>
      <c r="F331" s="16" t="n"/>
      <c r="G331" s="13" t="n"/>
      <c r="H331" s="13" t="n"/>
      <c r="I331" s="13" t="n"/>
      <c r="J331" s="17">
        <f>IF($F331="","",DATEDIF($F331,Rates!$B$2,"Y"))</f>
        <v/>
      </c>
      <c r="K331" s="18">
        <f>IF($F331="","",IF(UPPER($I331)="Y",Rates!$B$7,IF(J331&gt;=21,Rates!$B$4,IF(J331&gt;=18,Rates!$B$5,Rates!$B$6))))</f>
        <v/>
      </c>
      <c r="L331" s="17">
        <f>IF($F331="","",IF($E331&lt;K331,"Uplift needed","OK"))</f>
        <v/>
      </c>
      <c r="M331" s="17">
        <f>IF($F331="","",IF(AND(J331&lt;21,DATEDIF($F331,Rates!$B$3,"Y")&gt;=21),"Turns 21",IF(AND(J331&lt;18,DATEDIF($F331,Rates!$B$3,"Y")&gt;=18),"Turns 18","")))</f>
        <v/>
      </c>
      <c r="N331" s="18">
        <f>IF($F331="","",MAX($E331,K331))</f>
        <v/>
      </c>
      <c r="O331" s="19">
        <f>IF($F331="","",ROUND($C331*N331/$E331,2))</f>
        <v/>
      </c>
      <c r="P331" s="19">
        <f>IF($F331="","",ROUND($D331*N331/$E331,2))</f>
        <v/>
      </c>
      <c r="Q331" s="19">
        <f>IF($F331="","",ROUND(P331-$D331,2))</f>
        <v/>
      </c>
      <c r="R331" s="19">
        <f>IF($F331="","",ROUND(Rates!$B$8*(MAX(0,P331-Rates!$B$9)-MAX(0,$D331-Rates!$B$9)),2))</f>
        <v/>
      </c>
      <c r="S331" s="19">
        <f>IF($F331="","",ROUND(Rates!$B$10*IF(Rates!$B$11="Full",P331-$D331,MAX(0,MIN(P331,Rates!$B$13)-Rates!$B$12)-MAX(0,MIN($D331,Rates!$B$13)-Rates!$B$12)),2))</f>
        <v/>
      </c>
      <c r="T331" s="19">
        <f>IF($F331="","",ROUND(Q331+R331+S331,2))</f>
        <v/>
      </c>
    </row>
    <row r="332">
      <c r="A332" s="13" t="n"/>
      <c r="B332" s="13" t="n"/>
      <c r="C332" s="14" t="n"/>
      <c r="D332" s="14" t="n"/>
      <c r="E332" s="15" t="n"/>
      <c r="F332" s="16" t="n"/>
      <c r="G332" s="13" t="n"/>
      <c r="H332" s="13" t="n"/>
      <c r="I332" s="13" t="n"/>
      <c r="J332" s="17">
        <f>IF($F332="","",DATEDIF($F332,Rates!$B$2,"Y"))</f>
        <v/>
      </c>
      <c r="K332" s="18">
        <f>IF($F332="","",IF(UPPER($I332)="Y",Rates!$B$7,IF(J332&gt;=21,Rates!$B$4,IF(J332&gt;=18,Rates!$B$5,Rates!$B$6))))</f>
        <v/>
      </c>
      <c r="L332" s="17">
        <f>IF($F332="","",IF($E332&lt;K332,"Uplift needed","OK"))</f>
        <v/>
      </c>
      <c r="M332" s="17">
        <f>IF($F332="","",IF(AND(J332&lt;21,DATEDIF($F332,Rates!$B$3,"Y")&gt;=21),"Turns 21",IF(AND(J332&lt;18,DATEDIF($F332,Rates!$B$3,"Y")&gt;=18),"Turns 18","")))</f>
        <v/>
      </c>
      <c r="N332" s="18">
        <f>IF($F332="","",MAX($E332,K332))</f>
        <v/>
      </c>
      <c r="O332" s="19">
        <f>IF($F332="","",ROUND($C332*N332/$E332,2))</f>
        <v/>
      </c>
      <c r="P332" s="19">
        <f>IF($F332="","",ROUND($D332*N332/$E332,2))</f>
        <v/>
      </c>
      <c r="Q332" s="19">
        <f>IF($F332="","",ROUND(P332-$D332,2))</f>
        <v/>
      </c>
      <c r="R332" s="19">
        <f>IF($F332="","",ROUND(Rates!$B$8*(MAX(0,P332-Rates!$B$9)-MAX(0,$D332-Rates!$B$9)),2))</f>
        <v/>
      </c>
      <c r="S332" s="19">
        <f>IF($F332="","",ROUND(Rates!$B$10*IF(Rates!$B$11="Full",P332-$D332,MAX(0,MIN(P332,Rates!$B$13)-Rates!$B$12)-MAX(0,MIN($D332,Rates!$B$13)-Rates!$B$12)),2))</f>
        <v/>
      </c>
      <c r="T332" s="19">
        <f>IF($F332="","",ROUND(Q332+R332+S332,2))</f>
        <v/>
      </c>
    </row>
    <row r="333">
      <c r="A333" s="13" t="n"/>
      <c r="B333" s="13" t="n"/>
      <c r="C333" s="14" t="n"/>
      <c r="D333" s="14" t="n"/>
      <c r="E333" s="15" t="n"/>
      <c r="F333" s="16" t="n"/>
      <c r="G333" s="13" t="n"/>
      <c r="H333" s="13" t="n"/>
      <c r="I333" s="13" t="n"/>
      <c r="J333" s="17">
        <f>IF($F333="","",DATEDIF($F333,Rates!$B$2,"Y"))</f>
        <v/>
      </c>
      <c r="K333" s="18">
        <f>IF($F333="","",IF(UPPER($I333)="Y",Rates!$B$7,IF(J333&gt;=21,Rates!$B$4,IF(J333&gt;=18,Rates!$B$5,Rates!$B$6))))</f>
        <v/>
      </c>
      <c r="L333" s="17">
        <f>IF($F333="","",IF($E333&lt;K333,"Uplift needed","OK"))</f>
        <v/>
      </c>
      <c r="M333" s="17">
        <f>IF($F333="","",IF(AND(J333&lt;21,DATEDIF($F333,Rates!$B$3,"Y")&gt;=21),"Turns 21",IF(AND(J333&lt;18,DATEDIF($F333,Rates!$B$3,"Y")&gt;=18),"Turns 18","")))</f>
        <v/>
      </c>
      <c r="N333" s="18">
        <f>IF($F333="","",MAX($E333,K333))</f>
        <v/>
      </c>
      <c r="O333" s="19">
        <f>IF($F333="","",ROUND($C333*N333/$E333,2))</f>
        <v/>
      </c>
      <c r="P333" s="19">
        <f>IF($F333="","",ROUND($D333*N333/$E333,2))</f>
        <v/>
      </c>
      <c r="Q333" s="19">
        <f>IF($F333="","",ROUND(P333-$D333,2))</f>
        <v/>
      </c>
      <c r="R333" s="19">
        <f>IF($F333="","",ROUND(Rates!$B$8*(MAX(0,P333-Rates!$B$9)-MAX(0,$D333-Rates!$B$9)),2))</f>
        <v/>
      </c>
      <c r="S333" s="19">
        <f>IF($F333="","",ROUND(Rates!$B$10*IF(Rates!$B$11="Full",P333-$D333,MAX(0,MIN(P333,Rates!$B$13)-Rates!$B$12)-MAX(0,MIN($D333,Rates!$B$13)-Rates!$B$12)),2))</f>
        <v/>
      </c>
      <c r="T333" s="19">
        <f>IF($F333="","",ROUND(Q333+R333+S333,2))</f>
        <v/>
      </c>
    </row>
    <row r="334">
      <c r="A334" s="13" t="n"/>
      <c r="B334" s="13" t="n"/>
      <c r="C334" s="14" t="n"/>
      <c r="D334" s="14" t="n"/>
      <c r="E334" s="15" t="n"/>
      <c r="F334" s="16" t="n"/>
      <c r="G334" s="13" t="n"/>
      <c r="H334" s="13" t="n"/>
      <c r="I334" s="13" t="n"/>
      <c r="J334" s="17">
        <f>IF($F334="","",DATEDIF($F334,Rates!$B$2,"Y"))</f>
        <v/>
      </c>
      <c r="K334" s="18">
        <f>IF($F334="","",IF(UPPER($I334)="Y",Rates!$B$7,IF(J334&gt;=21,Rates!$B$4,IF(J334&gt;=18,Rates!$B$5,Rates!$B$6))))</f>
        <v/>
      </c>
      <c r="L334" s="17">
        <f>IF($F334="","",IF($E334&lt;K334,"Uplift needed","OK"))</f>
        <v/>
      </c>
      <c r="M334" s="17">
        <f>IF($F334="","",IF(AND(J334&lt;21,DATEDIF($F334,Rates!$B$3,"Y")&gt;=21),"Turns 21",IF(AND(J334&lt;18,DATEDIF($F334,Rates!$B$3,"Y")&gt;=18),"Turns 18","")))</f>
        <v/>
      </c>
      <c r="N334" s="18">
        <f>IF($F334="","",MAX($E334,K334))</f>
        <v/>
      </c>
      <c r="O334" s="19">
        <f>IF($F334="","",ROUND($C334*N334/$E334,2))</f>
        <v/>
      </c>
      <c r="P334" s="19">
        <f>IF($F334="","",ROUND($D334*N334/$E334,2))</f>
        <v/>
      </c>
      <c r="Q334" s="19">
        <f>IF($F334="","",ROUND(P334-$D334,2))</f>
        <v/>
      </c>
      <c r="R334" s="19">
        <f>IF($F334="","",ROUND(Rates!$B$8*(MAX(0,P334-Rates!$B$9)-MAX(0,$D334-Rates!$B$9)),2))</f>
        <v/>
      </c>
      <c r="S334" s="19">
        <f>IF($F334="","",ROUND(Rates!$B$10*IF(Rates!$B$11="Full",P334-$D334,MAX(0,MIN(P334,Rates!$B$13)-Rates!$B$12)-MAX(0,MIN($D334,Rates!$B$13)-Rates!$B$12)),2))</f>
        <v/>
      </c>
      <c r="T334" s="19">
        <f>IF($F334="","",ROUND(Q334+R334+S334,2))</f>
        <v/>
      </c>
    </row>
    <row r="335">
      <c r="A335" s="13" t="n"/>
      <c r="B335" s="13" t="n"/>
      <c r="C335" s="14" t="n"/>
      <c r="D335" s="14" t="n"/>
      <c r="E335" s="15" t="n"/>
      <c r="F335" s="16" t="n"/>
      <c r="G335" s="13" t="n"/>
      <c r="H335" s="13" t="n"/>
      <c r="I335" s="13" t="n"/>
      <c r="J335" s="17">
        <f>IF($F335="","",DATEDIF($F335,Rates!$B$2,"Y"))</f>
        <v/>
      </c>
      <c r="K335" s="18">
        <f>IF($F335="","",IF(UPPER($I335)="Y",Rates!$B$7,IF(J335&gt;=21,Rates!$B$4,IF(J335&gt;=18,Rates!$B$5,Rates!$B$6))))</f>
        <v/>
      </c>
      <c r="L335" s="17">
        <f>IF($F335="","",IF($E335&lt;K335,"Uplift needed","OK"))</f>
        <v/>
      </c>
      <c r="M335" s="17">
        <f>IF($F335="","",IF(AND(J335&lt;21,DATEDIF($F335,Rates!$B$3,"Y")&gt;=21),"Turns 21",IF(AND(J335&lt;18,DATEDIF($F335,Rates!$B$3,"Y")&gt;=18),"Turns 18","")))</f>
        <v/>
      </c>
      <c r="N335" s="18">
        <f>IF($F335="","",MAX($E335,K335))</f>
        <v/>
      </c>
      <c r="O335" s="19">
        <f>IF($F335="","",ROUND($C335*N335/$E335,2))</f>
        <v/>
      </c>
      <c r="P335" s="19">
        <f>IF($F335="","",ROUND($D335*N335/$E335,2))</f>
        <v/>
      </c>
      <c r="Q335" s="19">
        <f>IF($F335="","",ROUND(P335-$D335,2))</f>
        <v/>
      </c>
      <c r="R335" s="19">
        <f>IF($F335="","",ROUND(Rates!$B$8*(MAX(0,P335-Rates!$B$9)-MAX(0,$D335-Rates!$B$9)),2))</f>
        <v/>
      </c>
      <c r="S335" s="19">
        <f>IF($F335="","",ROUND(Rates!$B$10*IF(Rates!$B$11="Full",P335-$D335,MAX(0,MIN(P335,Rates!$B$13)-Rates!$B$12)-MAX(0,MIN($D335,Rates!$B$13)-Rates!$B$12)),2))</f>
        <v/>
      </c>
      <c r="T335" s="19">
        <f>IF($F335="","",ROUND(Q335+R335+S335,2))</f>
        <v/>
      </c>
    </row>
    <row r="336">
      <c r="A336" s="13" t="n"/>
      <c r="B336" s="13" t="n"/>
      <c r="C336" s="14" t="n"/>
      <c r="D336" s="14" t="n"/>
      <c r="E336" s="15" t="n"/>
      <c r="F336" s="16" t="n"/>
      <c r="G336" s="13" t="n"/>
      <c r="H336" s="13" t="n"/>
      <c r="I336" s="13" t="n"/>
      <c r="J336" s="17">
        <f>IF($F336="","",DATEDIF($F336,Rates!$B$2,"Y"))</f>
        <v/>
      </c>
      <c r="K336" s="18">
        <f>IF($F336="","",IF(UPPER($I336)="Y",Rates!$B$7,IF(J336&gt;=21,Rates!$B$4,IF(J336&gt;=18,Rates!$B$5,Rates!$B$6))))</f>
        <v/>
      </c>
      <c r="L336" s="17">
        <f>IF($F336="","",IF($E336&lt;K336,"Uplift needed","OK"))</f>
        <v/>
      </c>
      <c r="M336" s="17">
        <f>IF($F336="","",IF(AND(J336&lt;21,DATEDIF($F336,Rates!$B$3,"Y")&gt;=21),"Turns 21",IF(AND(J336&lt;18,DATEDIF($F336,Rates!$B$3,"Y")&gt;=18),"Turns 18","")))</f>
        <v/>
      </c>
      <c r="N336" s="18">
        <f>IF($F336="","",MAX($E336,K336))</f>
        <v/>
      </c>
      <c r="O336" s="19">
        <f>IF($F336="","",ROUND($C336*N336/$E336,2))</f>
        <v/>
      </c>
      <c r="P336" s="19">
        <f>IF($F336="","",ROUND($D336*N336/$E336,2))</f>
        <v/>
      </c>
      <c r="Q336" s="19">
        <f>IF($F336="","",ROUND(P336-$D336,2))</f>
        <v/>
      </c>
      <c r="R336" s="19">
        <f>IF($F336="","",ROUND(Rates!$B$8*(MAX(0,P336-Rates!$B$9)-MAX(0,$D336-Rates!$B$9)),2))</f>
        <v/>
      </c>
      <c r="S336" s="19">
        <f>IF($F336="","",ROUND(Rates!$B$10*IF(Rates!$B$11="Full",P336-$D336,MAX(0,MIN(P336,Rates!$B$13)-Rates!$B$12)-MAX(0,MIN($D336,Rates!$B$13)-Rates!$B$12)),2))</f>
        <v/>
      </c>
      <c r="T336" s="19">
        <f>IF($F336="","",ROUND(Q336+R336+S336,2))</f>
        <v/>
      </c>
    </row>
    <row r="337">
      <c r="A337" s="13" t="n"/>
      <c r="B337" s="13" t="n"/>
      <c r="C337" s="14" t="n"/>
      <c r="D337" s="14" t="n"/>
      <c r="E337" s="15" t="n"/>
      <c r="F337" s="16" t="n"/>
      <c r="G337" s="13" t="n"/>
      <c r="H337" s="13" t="n"/>
      <c r="I337" s="13" t="n"/>
      <c r="J337" s="17">
        <f>IF($F337="","",DATEDIF($F337,Rates!$B$2,"Y"))</f>
        <v/>
      </c>
      <c r="K337" s="18">
        <f>IF($F337="","",IF(UPPER($I337)="Y",Rates!$B$7,IF(J337&gt;=21,Rates!$B$4,IF(J337&gt;=18,Rates!$B$5,Rates!$B$6))))</f>
        <v/>
      </c>
      <c r="L337" s="17">
        <f>IF($F337="","",IF($E337&lt;K337,"Uplift needed","OK"))</f>
        <v/>
      </c>
      <c r="M337" s="17">
        <f>IF($F337="","",IF(AND(J337&lt;21,DATEDIF($F337,Rates!$B$3,"Y")&gt;=21),"Turns 21",IF(AND(J337&lt;18,DATEDIF($F337,Rates!$B$3,"Y")&gt;=18),"Turns 18","")))</f>
        <v/>
      </c>
      <c r="N337" s="18">
        <f>IF($F337="","",MAX($E337,K337))</f>
        <v/>
      </c>
      <c r="O337" s="19">
        <f>IF($F337="","",ROUND($C337*N337/$E337,2))</f>
        <v/>
      </c>
      <c r="P337" s="19">
        <f>IF($F337="","",ROUND($D337*N337/$E337,2))</f>
        <v/>
      </c>
      <c r="Q337" s="19">
        <f>IF($F337="","",ROUND(P337-$D337,2))</f>
        <v/>
      </c>
      <c r="R337" s="19">
        <f>IF($F337="","",ROUND(Rates!$B$8*(MAX(0,P337-Rates!$B$9)-MAX(0,$D337-Rates!$B$9)),2))</f>
        <v/>
      </c>
      <c r="S337" s="19">
        <f>IF($F337="","",ROUND(Rates!$B$10*IF(Rates!$B$11="Full",P337-$D337,MAX(0,MIN(P337,Rates!$B$13)-Rates!$B$12)-MAX(0,MIN($D337,Rates!$B$13)-Rates!$B$12)),2))</f>
        <v/>
      </c>
      <c r="T337" s="19">
        <f>IF($F337="","",ROUND(Q337+R337+S337,2))</f>
        <v/>
      </c>
    </row>
    <row r="338">
      <c r="A338" s="13" t="n"/>
      <c r="B338" s="13" t="n"/>
      <c r="C338" s="14" t="n"/>
      <c r="D338" s="14" t="n"/>
      <c r="E338" s="15" t="n"/>
      <c r="F338" s="16" t="n"/>
      <c r="G338" s="13" t="n"/>
      <c r="H338" s="13" t="n"/>
      <c r="I338" s="13" t="n"/>
      <c r="J338" s="17">
        <f>IF($F338="","",DATEDIF($F338,Rates!$B$2,"Y"))</f>
        <v/>
      </c>
      <c r="K338" s="18">
        <f>IF($F338="","",IF(UPPER($I338)="Y",Rates!$B$7,IF(J338&gt;=21,Rates!$B$4,IF(J338&gt;=18,Rates!$B$5,Rates!$B$6))))</f>
        <v/>
      </c>
      <c r="L338" s="17">
        <f>IF($F338="","",IF($E338&lt;K338,"Uplift needed","OK"))</f>
        <v/>
      </c>
      <c r="M338" s="17">
        <f>IF($F338="","",IF(AND(J338&lt;21,DATEDIF($F338,Rates!$B$3,"Y")&gt;=21),"Turns 21",IF(AND(J338&lt;18,DATEDIF($F338,Rates!$B$3,"Y")&gt;=18),"Turns 18","")))</f>
        <v/>
      </c>
      <c r="N338" s="18">
        <f>IF($F338="","",MAX($E338,K338))</f>
        <v/>
      </c>
      <c r="O338" s="19">
        <f>IF($F338="","",ROUND($C338*N338/$E338,2))</f>
        <v/>
      </c>
      <c r="P338" s="19">
        <f>IF($F338="","",ROUND($D338*N338/$E338,2))</f>
        <v/>
      </c>
      <c r="Q338" s="19">
        <f>IF($F338="","",ROUND(P338-$D338,2))</f>
        <v/>
      </c>
      <c r="R338" s="19">
        <f>IF($F338="","",ROUND(Rates!$B$8*(MAX(0,P338-Rates!$B$9)-MAX(0,$D338-Rates!$B$9)),2))</f>
        <v/>
      </c>
      <c r="S338" s="19">
        <f>IF($F338="","",ROUND(Rates!$B$10*IF(Rates!$B$11="Full",P338-$D338,MAX(0,MIN(P338,Rates!$B$13)-Rates!$B$12)-MAX(0,MIN($D338,Rates!$B$13)-Rates!$B$12)),2))</f>
        <v/>
      </c>
      <c r="T338" s="19">
        <f>IF($F338="","",ROUND(Q338+R338+S338,2))</f>
        <v/>
      </c>
    </row>
    <row r="339">
      <c r="A339" s="13" t="n"/>
      <c r="B339" s="13" t="n"/>
      <c r="C339" s="14" t="n"/>
      <c r="D339" s="14" t="n"/>
      <c r="E339" s="15" t="n"/>
      <c r="F339" s="16" t="n"/>
      <c r="G339" s="13" t="n"/>
      <c r="H339" s="13" t="n"/>
      <c r="I339" s="13" t="n"/>
      <c r="J339" s="17">
        <f>IF($F339="","",DATEDIF($F339,Rates!$B$2,"Y"))</f>
        <v/>
      </c>
      <c r="K339" s="18">
        <f>IF($F339="","",IF(UPPER($I339)="Y",Rates!$B$7,IF(J339&gt;=21,Rates!$B$4,IF(J339&gt;=18,Rates!$B$5,Rates!$B$6))))</f>
        <v/>
      </c>
      <c r="L339" s="17">
        <f>IF($F339="","",IF($E339&lt;K339,"Uplift needed","OK"))</f>
        <v/>
      </c>
      <c r="M339" s="17">
        <f>IF($F339="","",IF(AND(J339&lt;21,DATEDIF($F339,Rates!$B$3,"Y")&gt;=21),"Turns 21",IF(AND(J339&lt;18,DATEDIF($F339,Rates!$B$3,"Y")&gt;=18),"Turns 18","")))</f>
        <v/>
      </c>
      <c r="N339" s="18">
        <f>IF($F339="","",MAX($E339,K339))</f>
        <v/>
      </c>
      <c r="O339" s="19">
        <f>IF($F339="","",ROUND($C339*N339/$E339,2))</f>
        <v/>
      </c>
      <c r="P339" s="19">
        <f>IF($F339="","",ROUND($D339*N339/$E339,2))</f>
        <v/>
      </c>
      <c r="Q339" s="19">
        <f>IF($F339="","",ROUND(P339-$D339,2))</f>
        <v/>
      </c>
      <c r="R339" s="19">
        <f>IF($F339="","",ROUND(Rates!$B$8*(MAX(0,P339-Rates!$B$9)-MAX(0,$D339-Rates!$B$9)),2))</f>
        <v/>
      </c>
      <c r="S339" s="19">
        <f>IF($F339="","",ROUND(Rates!$B$10*IF(Rates!$B$11="Full",P339-$D339,MAX(0,MIN(P339,Rates!$B$13)-Rates!$B$12)-MAX(0,MIN($D339,Rates!$B$13)-Rates!$B$12)),2))</f>
        <v/>
      </c>
      <c r="T339" s="19">
        <f>IF($F339="","",ROUND(Q339+R339+S339,2))</f>
        <v/>
      </c>
    </row>
    <row r="340">
      <c r="A340" s="13" t="n"/>
      <c r="B340" s="13" t="n"/>
      <c r="C340" s="14" t="n"/>
      <c r="D340" s="14" t="n"/>
      <c r="E340" s="15" t="n"/>
      <c r="F340" s="16" t="n"/>
      <c r="G340" s="13" t="n"/>
      <c r="H340" s="13" t="n"/>
      <c r="I340" s="13" t="n"/>
      <c r="J340" s="17">
        <f>IF($F340="","",DATEDIF($F340,Rates!$B$2,"Y"))</f>
        <v/>
      </c>
      <c r="K340" s="18">
        <f>IF($F340="","",IF(UPPER($I340)="Y",Rates!$B$7,IF(J340&gt;=21,Rates!$B$4,IF(J340&gt;=18,Rates!$B$5,Rates!$B$6))))</f>
        <v/>
      </c>
      <c r="L340" s="17">
        <f>IF($F340="","",IF($E340&lt;K340,"Uplift needed","OK"))</f>
        <v/>
      </c>
      <c r="M340" s="17">
        <f>IF($F340="","",IF(AND(J340&lt;21,DATEDIF($F340,Rates!$B$3,"Y")&gt;=21),"Turns 21",IF(AND(J340&lt;18,DATEDIF($F340,Rates!$B$3,"Y")&gt;=18),"Turns 18","")))</f>
        <v/>
      </c>
      <c r="N340" s="18">
        <f>IF($F340="","",MAX($E340,K340))</f>
        <v/>
      </c>
      <c r="O340" s="19">
        <f>IF($F340="","",ROUND($C340*N340/$E340,2))</f>
        <v/>
      </c>
      <c r="P340" s="19">
        <f>IF($F340="","",ROUND($D340*N340/$E340,2))</f>
        <v/>
      </c>
      <c r="Q340" s="19">
        <f>IF($F340="","",ROUND(P340-$D340,2))</f>
        <v/>
      </c>
      <c r="R340" s="19">
        <f>IF($F340="","",ROUND(Rates!$B$8*(MAX(0,P340-Rates!$B$9)-MAX(0,$D340-Rates!$B$9)),2))</f>
        <v/>
      </c>
      <c r="S340" s="19">
        <f>IF($F340="","",ROUND(Rates!$B$10*IF(Rates!$B$11="Full",P340-$D340,MAX(0,MIN(P340,Rates!$B$13)-Rates!$B$12)-MAX(0,MIN($D340,Rates!$B$13)-Rates!$B$12)),2))</f>
        <v/>
      </c>
      <c r="T340" s="19">
        <f>IF($F340="","",ROUND(Q340+R340+S340,2))</f>
        <v/>
      </c>
    </row>
    <row r="341">
      <c r="A341" s="13" t="n"/>
      <c r="B341" s="13" t="n"/>
      <c r="C341" s="14" t="n"/>
      <c r="D341" s="14" t="n"/>
      <c r="E341" s="15" t="n"/>
      <c r="F341" s="16" t="n"/>
      <c r="G341" s="13" t="n"/>
      <c r="H341" s="13" t="n"/>
      <c r="I341" s="13" t="n"/>
      <c r="J341" s="17">
        <f>IF($F341="","",DATEDIF($F341,Rates!$B$2,"Y"))</f>
        <v/>
      </c>
      <c r="K341" s="18">
        <f>IF($F341="","",IF(UPPER($I341)="Y",Rates!$B$7,IF(J341&gt;=21,Rates!$B$4,IF(J341&gt;=18,Rates!$B$5,Rates!$B$6))))</f>
        <v/>
      </c>
      <c r="L341" s="17">
        <f>IF($F341="","",IF($E341&lt;K341,"Uplift needed","OK"))</f>
        <v/>
      </c>
      <c r="M341" s="17">
        <f>IF($F341="","",IF(AND(J341&lt;21,DATEDIF($F341,Rates!$B$3,"Y")&gt;=21),"Turns 21",IF(AND(J341&lt;18,DATEDIF($F341,Rates!$B$3,"Y")&gt;=18),"Turns 18","")))</f>
        <v/>
      </c>
      <c r="N341" s="18">
        <f>IF($F341="","",MAX($E341,K341))</f>
        <v/>
      </c>
      <c r="O341" s="19">
        <f>IF($F341="","",ROUND($C341*N341/$E341,2))</f>
        <v/>
      </c>
      <c r="P341" s="19">
        <f>IF($F341="","",ROUND($D341*N341/$E341,2))</f>
        <v/>
      </c>
      <c r="Q341" s="19">
        <f>IF($F341="","",ROUND(P341-$D341,2))</f>
        <v/>
      </c>
      <c r="R341" s="19">
        <f>IF($F341="","",ROUND(Rates!$B$8*(MAX(0,P341-Rates!$B$9)-MAX(0,$D341-Rates!$B$9)),2))</f>
        <v/>
      </c>
      <c r="S341" s="19">
        <f>IF($F341="","",ROUND(Rates!$B$10*IF(Rates!$B$11="Full",P341-$D341,MAX(0,MIN(P341,Rates!$B$13)-Rates!$B$12)-MAX(0,MIN($D341,Rates!$B$13)-Rates!$B$12)),2))</f>
        <v/>
      </c>
      <c r="T341" s="19">
        <f>IF($F341="","",ROUND(Q341+R341+S341,2))</f>
        <v/>
      </c>
    </row>
    <row r="342">
      <c r="A342" s="13" t="n"/>
      <c r="B342" s="13" t="n"/>
      <c r="C342" s="14" t="n"/>
      <c r="D342" s="14" t="n"/>
      <c r="E342" s="15" t="n"/>
      <c r="F342" s="16" t="n"/>
      <c r="G342" s="13" t="n"/>
      <c r="H342" s="13" t="n"/>
      <c r="I342" s="13" t="n"/>
      <c r="J342" s="17">
        <f>IF($F342="","",DATEDIF($F342,Rates!$B$2,"Y"))</f>
        <v/>
      </c>
      <c r="K342" s="18">
        <f>IF($F342="","",IF(UPPER($I342)="Y",Rates!$B$7,IF(J342&gt;=21,Rates!$B$4,IF(J342&gt;=18,Rates!$B$5,Rates!$B$6))))</f>
        <v/>
      </c>
      <c r="L342" s="17">
        <f>IF($F342="","",IF($E342&lt;K342,"Uplift needed","OK"))</f>
        <v/>
      </c>
      <c r="M342" s="17">
        <f>IF($F342="","",IF(AND(J342&lt;21,DATEDIF($F342,Rates!$B$3,"Y")&gt;=21),"Turns 21",IF(AND(J342&lt;18,DATEDIF($F342,Rates!$B$3,"Y")&gt;=18),"Turns 18","")))</f>
        <v/>
      </c>
      <c r="N342" s="18">
        <f>IF($F342="","",MAX($E342,K342))</f>
        <v/>
      </c>
      <c r="O342" s="19">
        <f>IF($F342="","",ROUND($C342*N342/$E342,2))</f>
        <v/>
      </c>
      <c r="P342" s="19">
        <f>IF($F342="","",ROUND($D342*N342/$E342,2))</f>
        <v/>
      </c>
      <c r="Q342" s="19">
        <f>IF($F342="","",ROUND(P342-$D342,2))</f>
        <v/>
      </c>
      <c r="R342" s="19">
        <f>IF($F342="","",ROUND(Rates!$B$8*(MAX(0,P342-Rates!$B$9)-MAX(0,$D342-Rates!$B$9)),2))</f>
        <v/>
      </c>
      <c r="S342" s="19">
        <f>IF($F342="","",ROUND(Rates!$B$10*IF(Rates!$B$11="Full",P342-$D342,MAX(0,MIN(P342,Rates!$B$13)-Rates!$B$12)-MAX(0,MIN($D342,Rates!$B$13)-Rates!$B$12)),2))</f>
        <v/>
      </c>
      <c r="T342" s="19">
        <f>IF($F342="","",ROUND(Q342+R342+S342,2))</f>
        <v/>
      </c>
    </row>
    <row r="343">
      <c r="A343" s="13" t="n"/>
      <c r="B343" s="13" t="n"/>
      <c r="C343" s="14" t="n"/>
      <c r="D343" s="14" t="n"/>
      <c r="E343" s="15" t="n"/>
      <c r="F343" s="16" t="n"/>
      <c r="G343" s="13" t="n"/>
      <c r="H343" s="13" t="n"/>
      <c r="I343" s="13" t="n"/>
      <c r="J343" s="17">
        <f>IF($F343="","",DATEDIF($F343,Rates!$B$2,"Y"))</f>
        <v/>
      </c>
      <c r="K343" s="18">
        <f>IF($F343="","",IF(UPPER($I343)="Y",Rates!$B$7,IF(J343&gt;=21,Rates!$B$4,IF(J343&gt;=18,Rates!$B$5,Rates!$B$6))))</f>
        <v/>
      </c>
      <c r="L343" s="17">
        <f>IF($F343="","",IF($E343&lt;K343,"Uplift needed","OK"))</f>
        <v/>
      </c>
      <c r="M343" s="17">
        <f>IF($F343="","",IF(AND(J343&lt;21,DATEDIF($F343,Rates!$B$3,"Y")&gt;=21),"Turns 21",IF(AND(J343&lt;18,DATEDIF($F343,Rates!$B$3,"Y")&gt;=18),"Turns 18","")))</f>
        <v/>
      </c>
      <c r="N343" s="18">
        <f>IF($F343="","",MAX($E343,K343))</f>
        <v/>
      </c>
      <c r="O343" s="19">
        <f>IF($F343="","",ROUND($C343*N343/$E343,2))</f>
        <v/>
      </c>
      <c r="P343" s="19">
        <f>IF($F343="","",ROUND($D343*N343/$E343,2))</f>
        <v/>
      </c>
      <c r="Q343" s="19">
        <f>IF($F343="","",ROUND(P343-$D343,2))</f>
        <v/>
      </c>
      <c r="R343" s="19">
        <f>IF($F343="","",ROUND(Rates!$B$8*(MAX(0,P343-Rates!$B$9)-MAX(0,$D343-Rates!$B$9)),2))</f>
        <v/>
      </c>
      <c r="S343" s="19">
        <f>IF($F343="","",ROUND(Rates!$B$10*IF(Rates!$B$11="Full",P343-$D343,MAX(0,MIN(P343,Rates!$B$13)-Rates!$B$12)-MAX(0,MIN($D343,Rates!$B$13)-Rates!$B$12)),2))</f>
        <v/>
      </c>
      <c r="T343" s="19">
        <f>IF($F343="","",ROUND(Q343+R343+S343,2))</f>
        <v/>
      </c>
    </row>
    <row r="344">
      <c r="A344" s="13" t="n"/>
      <c r="B344" s="13" t="n"/>
      <c r="C344" s="14" t="n"/>
      <c r="D344" s="14" t="n"/>
      <c r="E344" s="15" t="n"/>
      <c r="F344" s="16" t="n"/>
      <c r="G344" s="13" t="n"/>
      <c r="H344" s="13" t="n"/>
      <c r="I344" s="13" t="n"/>
      <c r="J344" s="17">
        <f>IF($F344="","",DATEDIF($F344,Rates!$B$2,"Y"))</f>
        <v/>
      </c>
      <c r="K344" s="18">
        <f>IF($F344="","",IF(UPPER($I344)="Y",Rates!$B$7,IF(J344&gt;=21,Rates!$B$4,IF(J344&gt;=18,Rates!$B$5,Rates!$B$6))))</f>
        <v/>
      </c>
      <c r="L344" s="17">
        <f>IF($F344="","",IF($E344&lt;K344,"Uplift needed","OK"))</f>
        <v/>
      </c>
      <c r="M344" s="17">
        <f>IF($F344="","",IF(AND(J344&lt;21,DATEDIF($F344,Rates!$B$3,"Y")&gt;=21),"Turns 21",IF(AND(J344&lt;18,DATEDIF($F344,Rates!$B$3,"Y")&gt;=18),"Turns 18","")))</f>
        <v/>
      </c>
      <c r="N344" s="18">
        <f>IF($F344="","",MAX($E344,K344))</f>
        <v/>
      </c>
      <c r="O344" s="19">
        <f>IF($F344="","",ROUND($C344*N344/$E344,2))</f>
        <v/>
      </c>
      <c r="P344" s="19">
        <f>IF($F344="","",ROUND($D344*N344/$E344,2))</f>
        <v/>
      </c>
      <c r="Q344" s="19">
        <f>IF($F344="","",ROUND(P344-$D344,2))</f>
        <v/>
      </c>
      <c r="R344" s="19">
        <f>IF($F344="","",ROUND(Rates!$B$8*(MAX(0,P344-Rates!$B$9)-MAX(0,$D344-Rates!$B$9)),2))</f>
        <v/>
      </c>
      <c r="S344" s="19">
        <f>IF($F344="","",ROUND(Rates!$B$10*IF(Rates!$B$11="Full",P344-$D344,MAX(0,MIN(P344,Rates!$B$13)-Rates!$B$12)-MAX(0,MIN($D344,Rates!$B$13)-Rates!$B$12)),2))</f>
        <v/>
      </c>
      <c r="T344" s="19">
        <f>IF($F344="","",ROUND(Q344+R344+S344,2))</f>
        <v/>
      </c>
    </row>
    <row r="345">
      <c r="A345" s="13" t="n"/>
      <c r="B345" s="13" t="n"/>
      <c r="C345" s="14" t="n"/>
      <c r="D345" s="14" t="n"/>
      <c r="E345" s="15" t="n"/>
      <c r="F345" s="16" t="n"/>
      <c r="G345" s="13" t="n"/>
      <c r="H345" s="13" t="n"/>
      <c r="I345" s="13" t="n"/>
      <c r="J345" s="17">
        <f>IF($F345="","",DATEDIF($F345,Rates!$B$2,"Y"))</f>
        <v/>
      </c>
      <c r="K345" s="18">
        <f>IF($F345="","",IF(UPPER($I345)="Y",Rates!$B$7,IF(J345&gt;=21,Rates!$B$4,IF(J345&gt;=18,Rates!$B$5,Rates!$B$6))))</f>
        <v/>
      </c>
      <c r="L345" s="17">
        <f>IF($F345="","",IF($E345&lt;K345,"Uplift needed","OK"))</f>
        <v/>
      </c>
      <c r="M345" s="17">
        <f>IF($F345="","",IF(AND(J345&lt;21,DATEDIF($F345,Rates!$B$3,"Y")&gt;=21),"Turns 21",IF(AND(J345&lt;18,DATEDIF($F345,Rates!$B$3,"Y")&gt;=18),"Turns 18","")))</f>
        <v/>
      </c>
      <c r="N345" s="18">
        <f>IF($F345="","",MAX($E345,K345))</f>
        <v/>
      </c>
      <c r="O345" s="19">
        <f>IF($F345="","",ROUND($C345*N345/$E345,2))</f>
        <v/>
      </c>
      <c r="P345" s="19">
        <f>IF($F345="","",ROUND($D345*N345/$E345,2))</f>
        <v/>
      </c>
      <c r="Q345" s="19">
        <f>IF($F345="","",ROUND(P345-$D345,2))</f>
        <v/>
      </c>
      <c r="R345" s="19">
        <f>IF($F345="","",ROUND(Rates!$B$8*(MAX(0,P345-Rates!$B$9)-MAX(0,$D345-Rates!$B$9)),2))</f>
        <v/>
      </c>
      <c r="S345" s="19">
        <f>IF($F345="","",ROUND(Rates!$B$10*IF(Rates!$B$11="Full",P345-$D345,MAX(0,MIN(P345,Rates!$B$13)-Rates!$B$12)-MAX(0,MIN($D345,Rates!$B$13)-Rates!$B$12)),2))</f>
        <v/>
      </c>
      <c r="T345" s="19">
        <f>IF($F345="","",ROUND(Q345+R345+S345,2))</f>
        <v/>
      </c>
    </row>
    <row r="346">
      <c r="A346" s="13" t="n"/>
      <c r="B346" s="13" t="n"/>
      <c r="C346" s="14" t="n"/>
      <c r="D346" s="14" t="n"/>
      <c r="E346" s="15" t="n"/>
      <c r="F346" s="16" t="n"/>
      <c r="G346" s="13" t="n"/>
      <c r="H346" s="13" t="n"/>
      <c r="I346" s="13" t="n"/>
      <c r="J346" s="17">
        <f>IF($F346="","",DATEDIF($F346,Rates!$B$2,"Y"))</f>
        <v/>
      </c>
      <c r="K346" s="18">
        <f>IF($F346="","",IF(UPPER($I346)="Y",Rates!$B$7,IF(J346&gt;=21,Rates!$B$4,IF(J346&gt;=18,Rates!$B$5,Rates!$B$6))))</f>
        <v/>
      </c>
      <c r="L346" s="17">
        <f>IF($F346="","",IF($E346&lt;K346,"Uplift needed","OK"))</f>
        <v/>
      </c>
      <c r="M346" s="17">
        <f>IF($F346="","",IF(AND(J346&lt;21,DATEDIF($F346,Rates!$B$3,"Y")&gt;=21),"Turns 21",IF(AND(J346&lt;18,DATEDIF($F346,Rates!$B$3,"Y")&gt;=18),"Turns 18","")))</f>
        <v/>
      </c>
      <c r="N346" s="18">
        <f>IF($F346="","",MAX($E346,K346))</f>
        <v/>
      </c>
      <c r="O346" s="19">
        <f>IF($F346="","",ROUND($C346*N346/$E346,2))</f>
        <v/>
      </c>
      <c r="P346" s="19">
        <f>IF($F346="","",ROUND($D346*N346/$E346,2))</f>
        <v/>
      </c>
      <c r="Q346" s="19">
        <f>IF($F346="","",ROUND(P346-$D346,2))</f>
        <v/>
      </c>
      <c r="R346" s="19">
        <f>IF($F346="","",ROUND(Rates!$B$8*(MAX(0,P346-Rates!$B$9)-MAX(0,$D346-Rates!$B$9)),2))</f>
        <v/>
      </c>
      <c r="S346" s="19">
        <f>IF($F346="","",ROUND(Rates!$B$10*IF(Rates!$B$11="Full",P346-$D346,MAX(0,MIN(P346,Rates!$B$13)-Rates!$B$12)-MAX(0,MIN($D346,Rates!$B$13)-Rates!$B$12)),2))</f>
        <v/>
      </c>
      <c r="T346" s="19">
        <f>IF($F346="","",ROUND(Q346+R346+S346,2))</f>
        <v/>
      </c>
    </row>
    <row r="347">
      <c r="A347" s="13" t="n"/>
      <c r="B347" s="13" t="n"/>
      <c r="C347" s="14" t="n"/>
      <c r="D347" s="14" t="n"/>
      <c r="E347" s="15" t="n"/>
      <c r="F347" s="16" t="n"/>
      <c r="G347" s="13" t="n"/>
      <c r="H347" s="13" t="n"/>
      <c r="I347" s="13" t="n"/>
      <c r="J347" s="17">
        <f>IF($F347="","",DATEDIF($F347,Rates!$B$2,"Y"))</f>
        <v/>
      </c>
      <c r="K347" s="18">
        <f>IF($F347="","",IF(UPPER($I347)="Y",Rates!$B$7,IF(J347&gt;=21,Rates!$B$4,IF(J347&gt;=18,Rates!$B$5,Rates!$B$6))))</f>
        <v/>
      </c>
      <c r="L347" s="17">
        <f>IF($F347="","",IF($E347&lt;K347,"Uplift needed","OK"))</f>
        <v/>
      </c>
      <c r="M347" s="17">
        <f>IF($F347="","",IF(AND(J347&lt;21,DATEDIF($F347,Rates!$B$3,"Y")&gt;=21),"Turns 21",IF(AND(J347&lt;18,DATEDIF($F347,Rates!$B$3,"Y")&gt;=18),"Turns 18","")))</f>
        <v/>
      </c>
      <c r="N347" s="18">
        <f>IF($F347="","",MAX($E347,K347))</f>
        <v/>
      </c>
      <c r="O347" s="19">
        <f>IF($F347="","",ROUND($C347*N347/$E347,2))</f>
        <v/>
      </c>
      <c r="P347" s="19">
        <f>IF($F347="","",ROUND($D347*N347/$E347,2))</f>
        <v/>
      </c>
      <c r="Q347" s="19">
        <f>IF($F347="","",ROUND(P347-$D347,2))</f>
        <v/>
      </c>
      <c r="R347" s="19">
        <f>IF($F347="","",ROUND(Rates!$B$8*(MAX(0,P347-Rates!$B$9)-MAX(0,$D347-Rates!$B$9)),2))</f>
        <v/>
      </c>
      <c r="S347" s="19">
        <f>IF($F347="","",ROUND(Rates!$B$10*IF(Rates!$B$11="Full",P347-$D347,MAX(0,MIN(P347,Rates!$B$13)-Rates!$B$12)-MAX(0,MIN($D347,Rates!$B$13)-Rates!$B$12)),2))</f>
        <v/>
      </c>
      <c r="T347" s="19">
        <f>IF($F347="","",ROUND(Q347+R347+S347,2))</f>
        <v/>
      </c>
    </row>
    <row r="348">
      <c r="A348" s="13" t="n"/>
      <c r="B348" s="13" t="n"/>
      <c r="C348" s="14" t="n"/>
      <c r="D348" s="14" t="n"/>
      <c r="E348" s="15" t="n"/>
      <c r="F348" s="16" t="n"/>
      <c r="G348" s="13" t="n"/>
      <c r="H348" s="13" t="n"/>
      <c r="I348" s="13" t="n"/>
      <c r="J348" s="17">
        <f>IF($F348="","",DATEDIF($F348,Rates!$B$2,"Y"))</f>
        <v/>
      </c>
      <c r="K348" s="18">
        <f>IF($F348="","",IF(UPPER($I348)="Y",Rates!$B$7,IF(J348&gt;=21,Rates!$B$4,IF(J348&gt;=18,Rates!$B$5,Rates!$B$6))))</f>
        <v/>
      </c>
      <c r="L348" s="17">
        <f>IF($F348="","",IF($E348&lt;K348,"Uplift needed","OK"))</f>
        <v/>
      </c>
      <c r="M348" s="17">
        <f>IF($F348="","",IF(AND(J348&lt;21,DATEDIF($F348,Rates!$B$3,"Y")&gt;=21),"Turns 21",IF(AND(J348&lt;18,DATEDIF($F348,Rates!$B$3,"Y")&gt;=18),"Turns 18","")))</f>
        <v/>
      </c>
      <c r="N348" s="18">
        <f>IF($F348="","",MAX($E348,K348))</f>
        <v/>
      </c>
      <c r="O348" s="19">
        <f>IF($F348="","",ROUND($C348*N348/$E348,2))</f>
        <v/>
      </c>
      <c r="P348" s="19">
        <f>IF($F348="","",ROUND($D348*N348/$E348,2))</f>
        <v/>
      </c>
      <c r="Q348" s="19">
        <f>IF($F348="","",ROUND(P348-$D348,2))</f>
        <v/>
      </c>
      <c r="R348" s="19">
        <f>IF($F348="","",ROUND(Rates!$B$8*(MAX(0,P348-Rates!$B$9)-MAX(0,$D348-Rates!$B$9)),2))</f>
        <v/>
      </c>
      <c r="S348" s="19">
        <f>IF($F348="","",ROUND(Rates!$B$10*IF(Rates!$B$11="Full",P348-$D348,MAX(0,MIN(P348,Rates!$B$13)-Rates!$B$12)-MAX(0,MIN($D348,Rates!$B$13)-Rates!$B$12)),2))</f>
        <v/>
      </c>
      <c r="T348" s="19">
        <f>IF($F348="","",ROUND(Q348+R348+S348,2))</f>
        <v/>
      </c>
    </row>
    <row r="349">
      <c r="A349" s="13" t="n"/>
      <c r="B349" s="13" t="n"/>
      <c r="C349" s="14" t="n"/>
      <c r="D349" s="14" t="n"/>
      <c r="E349" s="15" t="n"/>
      <c r="F349" s="16" t="n"/>
      <c r="G349" s="13" t="n"/>
      <c r="H349" s="13" t="n"/>
      <c r="I349" s="13" t="n"/>
      <c r="J349" s="17">
        <f>IF($F349="","",DATEDIF($F349,Rates!$B$2,"Y"))</f>
        <v/>
      </c>
      <c r="K349" s="18">
        <f>IF($F349="","",IF(UPPER($I349)="Y",Rates!$B$7,IF(J349&gt;=21,Rates!$B$4,IF(J349&gt;=18,Rates!$B$5,Rates!$B$6))))</f>
        <v/>
      </c>
      <c r="L349" s="17">
        <f>IF($F349="","",IF($E349&lt;K349,"Uplift needed","OK"))</f>
        <v/>
      </c>
      <c r="M349" s="17">
        <f>IF($F349="","",IF(AND(J349&lt;21,DATEDIF($F349,Rates!$B$3,"Y")&gt;=21),"Turns 21",IF(AND(J349&lt;18,DATEDIF($F349,Rates!$B$3,"Y")&gt;=18),"Turns 18","")))</f>
        <v/>
      </c>
      <c r="N349" s="18">
        <f>IF($F349="","",MAX($E349,K349))</f>
        <v/>
      </c>
      <c r="O349" s="19">
        <f>IF($F349="","",ROUND($C349*N349/$E349,2))</f>
        <v/>
      </c>
      <c r="P349" s="19">
        <f>IF($F349="","",ROUND($D349*N349/$E349,2))</f>
        <v/>
      </c>
      <c r="Q349" s="19">
        <f>IF($F349="","",ROUND(P349-$D349,2))</f>
        <v/>
      </c>
      <c r="R349" s="19">
        <f>IF($F349="","",ROUND(Rates!$B$8*(MAX(0,P349-Rates!$B$9)-MAX(0,$D349-Rates!$B$9)),2))</f>
        <v/>
      </c>
      <c r="S349" s="19">
        <f>IF($F349="","",ROUND(Rates!$B$10*IF(Rates!$B$11="Full",P349-$D349,MAX(0,MIN(P349,Rates!$B$13)-Rates!$B$12)-MAX(0,MIN($D349,Rates!$B$13)-Rates!$B$12)),2))</f>
        <v/>
      </c>
      <c r="T349" s="19">
        <f>IF($F349="","",ROUND(Q349+R349+S349,2))</f>
        <v/>
      </c>
    </row>
    <row r="350">
      <c r="A350" s="13" t="n"/>
      <c r="B350" s="13" t="n"/>
      <c r="C350" s="14" t="n"/>
      <c r="D350" s="14" t="n"/>
      <c r="E350" s="15" t="n"/>
      <c r="F350" s="16" t="n"/>
      <c r="G350" s="13" t="n"/>
      <c r="H350" s="13" t="n"/>
      <c r="I350" s="13" t="n"/>
      <c r="J350" s="17">
        <f>IF($F350="","",DATEDIF($F350,Rates!$B$2,"Y"))</f>
        <v/>
      </c>
      <c r="K350" s="18">
        <f>IF($F350="","",IF(UPPER($I350)="Y",Rates!$B$7,IF(J350&gt;=21,Rates!$B$4,IF(J350&gt;=18,Rates!$B$5,Rates!$B$6))))</f>
        <v/>
      </c>
      <c r="L350" s="17">
        <f>IF($F350="","",IF($E350&lt;K350,"Uplift needed","OK"))</f>
        <v/>
      </c>
      <c r="M350" s="17">
        <f>IF($F350="","",IF(AND(J350&lt;21,DATEDIF($F350,Rates!$B$3,"Y")&gt;=21),"Turns 21",IF(AND(J350&lt;18,DATEDIF($F350,Rates!$B$3,"Y")&gt;=18),"Turns 18","")))</f>
        <v/>
      </c>
      <c r="N350" s="18">
        <f>IF($F350="","",MAX($E350,K350))</f>
        <v/>
      </c>
      <c r="O350" s="19">
        <f>IF($F350="","",ROUND($C350*N350/$E350,2))</f>
        <v/>
      </c>
      <c r="P350" s="19">
        <f>IF($F350="","",ROUND($D350*N350/$E350,2))</f>
        <v/>
      </c>
      <c r="Q350" s="19">
        <f>IF($F350="","",ROUND(P350-$D350,2))</f>
        <v/>
      </c>
      <c r="R350" s="19">
        <f>IF($F350="","",ROUND(Rates!$B$8*(MAX(0,P350-Rates!$B$9)-MAX(0,$D350-Rates!$B$9)),2))</f>
        <v/>
      </c>
      <c r="S350" s="19">
        <f>IF($F350="","",ROUND(Rates!$B$10*IF(Rates!$B$11="Full",P350-$D350,MAX(0,MIN(P350,Rates!$B$13)-Rates!$B$12)-MAX(0,MIN($D350,Rates!$B$13)-Rates!$B$12)),2))</f>
        <v/>
      </c>
      <c r="T350" s="19">
        <f>IF($F350="","",ROUND(Q350+R350+S350,2))</f>
        <v/>
      </c>
    </row>
    <row r="351">
      <c r="A351" s="13" t="n"/>
      <c r="B351" s="13" t="n"/>
      <c r="C351" s="14" t="n"/>
      <c r="D351" s="14" t="n"/>
      <c r="E351" s="15" t="n"/>
      <c r="F351" s="16" t="n"/>
      <c r="G351" s="13" t="n"/>
      <c r="H351" s="13" t="n"/>
      <c r="I351" s="13" t="n"/>
      <c r="J351" s="17">
        <f>IF($F351="","",DATEDIF($F351,Rates!$B$2,"Y"))</f>
        <v/>
      </c>
      <c r="K351" s="18">
        <f>IF($F351="","",IF(UPPER($I351)="Y",Rates!$B$7,IF(J351&gt;=21,Rates!$B$4,IF(J351&gt;=18,Rates!$B$5,Rates!$B$6))))</f>
        <v/>
      </c>
      <c r="L351" s="17">
        <f>IF($F351="","",IF($E351&lt;K351,"Uplift needed","OK"))</f>
        <v/>
      </c>
      <c r="M351" s="17">
        <f>IF($F351="","",IF(AND(J351&lt;21,DATEDIF($F351,Rates!$B$3,"Y")&gt;=21),"Turns 21",IF(AND(J351&lt;18,DATEDIF($F351,Rates!$B$3,"Y")&gt;=18),"Turns 18","")))</f>
        <v/>
      </c>
      <c r="N351" s="18">
        <f>IF($F351="","",MAX($E351,K351))</f>
        <v/>
      </c>
      <c r="O351" s="19">
        <f>IF($F351="","",ROUND($C351*N351/$E351,2))</f>
        <v/>
      </c>
      <c r="P351" s="19">
        <f>IF($F351="","",ROUND($D351*N351/$E351,2))</f>
        <v/>
      </c>
      <c r="Q351" s="19">
        <f>IF($F351="","",ROUND(P351-$D351,2))</f>
        <v/>
      </c>
      <c r="R351" s="19">
        <f>IF($F351="","",ROUND(Rates!$B$8*(MAX(0,P351-Rates!$B$9)-MAX(0,$D351-Rates!$B$9)),2))</f>
        <v/>
      </c>
      <c r="S351" s="19">
        <f>IF($F351="","",ROUND(Rates!$B$10*IF(Rates!$B$11="Full",P351-$D351,MAX(0,MIN(P351,Rates!$B$13)-Rates!$B$12)-MAX(0,MIN($D351,Rates!$B$13)-Rates!$B$12)),2))</f>
        <v/>
      </c>
      <c r="T351" s="19">
        <f>IF($F351="","",ROUND(Q351+R351+S351,2))</f>
        <v/>
      </c>
    </row>
    <row r="352">
      <c r="A352" s="13" t="n"/>
      <c r="B352" s="13" t="n"/>
      <c r="C352" s="14" t="n"/>
      <c r="D352" s="14" t="n"/>
      <c r="E352" s="15" t="n"/>
      <c r="F352" s="16" t="n"/>
      <c r="G352" s="13" t="n"/>
      <c r="H352" s="13" t="n"/>
      <c r="I352" s="13" t="n"/>
      <c r="J352" s="17">
        <f>IF($F352="","",DATEDIF($F352,Rates!$B$2,"Y"))</f>
        <v/>
      </c>
      <c r="K352" s="18">
        <f>IF($F352="","",IF(UPPER($I352)="Y",Rates!$B$7,IF(J352&gt;=21,Rates!$B$4,IF(J352&gt;=18,Rates!$B$5,Rates!$B$6))))</f>
        <v/>
      </c>
      <c r="L352" s="17">
        <f>IF($F352="","",IF($E352&lt;K352,"Uplift needed","OK"))</f>
        <v/>
      </c>
      <c r="M352" s="17">
        <f>IF($F352="","",IF(AND(J352&lt;21,DATEDIF($F352,Rates!$B$3,"Y")&gt;=21),"Turns 21",IF(AND(J352&lt;18,DATEDIF($F352,Rates!$B$3,"Y")&gt;=18),"Turns 18","")))</f>
        <v/>
      </c>
      <c r="N352" s="18">
        <f>IF($F352="","",MAX($E352,K352))</f>
        <v/>
      </c>
      <c r="O352" s="19">
        <f>IF($F352="","",ROUND($C352*N352/$E352,2))</f>
        <v/>
      </c>
      <c r="P352" s="19">
        <f>IF($F352="","",ROUND($D352*N352/$E352,2))</f>
        <v/>
      </c>
      <c r="Q352" s="19">
        <f>IF($F352="","",ROUND(P352-$D352,2))</f>
        <v/>
      </c>
      <c r="R352" s="19">
        <f>IF($F352="","",ROUND(Rates!$B$8*(MAX(0,P352-Rates!$B$9)-MAX(0,$D352-Rates!$B$9)),2))</f>
        <v/>
      </c>
      <c r="S352" s="19">
        <f>IF($F352="","",ROUND(Rates!$B$10*IF(Rates!$B$11="Full",P352-$D352,MAX(0,MIN(P352,Rates!$B$13)-Rates!$B$12)-MAX(0,MIN($D352,Rates!$B$13)-Rates!$B$12)),2))</f>
        <v/>
      </c>
      <c r="T352" s="19">
        <f>IF($F352="","",ROUND(Q352+R352+S352,2))</f>
        <v/>
      </c>
    </row>
    <row r="353">
      <c r="A353" s="13" t="n"/>
      <c r="B353" s="13" t="n"/>
      <c r="C353" s="14" t="n"/>
      <c r="D353" s="14" t="n"/>
      <c r="E353" s="15" t="n"/>
      <c r="F353" s="16" t="n"/>
      <c r="G353" s="13" t="n"/>
      <c r="H353" s="13" t="n"/>
      <c r="I353" s="13" t="n"/>
      <c r="J353" s="17">
        <f>IF($F353="","",DATEDIF($F353,Rates!$B$2,"Y"))</f>
        <v/>
      </c>
      <c r="K353" s="18">
        <f>IF($F353="","",IF(UPPER($I353)="Y",Rates!$B$7,IF(J353&gt;=21,Rates!$B$4,IF(J353&gt;=18,Rates!$B$5,Rates!$B$6))))</f>
        <v/>
      </c>
      <c r="L353" s="17">
        <f>IF($F353="","",IF($E353&lt;K353,"Uplift needed","OK"))</f>
        <v/>
      </c>
      <c r="M353" s="17">
        <f>IF($F353="","",IF(AND(J353&lt;21,DATEDIF($F353,Rates!$B$3,"Y")&gt;=21),"Turns 21",IF(AND(J353&lt;18,DATEDIF($F353,Rates!$B$3,"Y")&gt;=18),"Turns 18","")))</f>
        <v/>
      </c>
      <c r="N353" s="18">
        <f>IF($F353="","",MAX($E353,K353))</f>
        <v/>
      </c>
      <c r="O353" s="19">
        <f>IF($F353="","",ROUND($C353*N353/$E353,2))</f>
        <v/>
      </c>
      <c r="P353" s="19">
        <f>IF($F353="","",ROUND($D353*N353/$E353,2))</f>
        <v/>
      </c>
      <c r="Q353" s="19">
        <f>IF($F353="","",ROUND(P353-$D353,2))</f>
        <v/>
      </c>
      <c r="R353" s="19">
        <f>IF($F353="","",ROUND(Rates!$B$8*(MAX(0,P353-Rates!$B$9)-MAX(0,$D353-Rates!$B$9)),2))</f>
        <v/>
      </c>
      <c r="S353" s="19">
        <f>IF($F353="","",ROUND(Rates!$B$10*IF(Rates!$B$11="Full",P353-$D353,MAX(0,MIN(P353,Rates!$B$13)-Rates!$B$12)-MAX(0,MIN($D353,Rates!$B$13)-Rates!$B$12)),2))</f>
        <v/>
      </c>
      <c r="T353" s="19">
        <f>IF($F353="","",ROUND(Q353+R353+S353,2))</f>
        <v/>
      </c>
    </row>
    <row r="354">
      <c r="A354" s="13" t="n"/>
      <c r="B354" s="13" t="n"/>
      <c r="C354" s="14" t="n"/>
      <c r="D354" s="14" t="n"/>
      <c r="E354" s="15" t="n"/>
      <c r="F354" s="16" t="n"/>
      <c r="G354" s="13" t="n"/>
      <c r="H354" s="13" t="n"/>
      <c r="I354" s="13" t="n"/>
      <c r="J354" s="17">
        <f>IF($F354="","",DATEDIF($F354,Rates!$B$2,"Y"))</f>
        <v/>
      </c>
      <c r="K354" s="18">
        <f>IF($F354="","",IF(UPPER($I354)="Y",Rates!$B$7,IF(J354&gt;=21,Rates!$B$4,IF(J354&gt;=18,Rates!$B$5,Rates!$B$6))))</f>
        <v/>
      </c>
      <c r="L354" s="17">
        <f>IF($F354="","",IF($E354&lt;K354,"Uplift needed","OK"))</f>
        <v/>
      </c>
      <c r="M354" s="17">
        <f>IF($F354="","",IF(AND(J354&lt;21,DATEDIF($F354,Rates!$B$3,"Y")&gt;=21),"Turns 21",IF(AND(J354&lt;18,DATEDIF($F354,Rates!$B$3,"Y")&gt;=18),"Turns 18","")))</f>
        <v/>
      </c>
      <c r="N354" s="18">
        <f>IF($F354="","",MAX($E354,K354))</f>
        <v/>
      </c>
      <c r="O354" s="19">
        <f>IF($F354="","",ROUND($C354*N354/$E354,2))</f>
        <v/>
      </c>
      <c r="P354" s="19">
        <f>IF($F354="","",ROUND($D354*N354/$E354,2))</f>
        <v/>
      </c>
      <c r="Q354" s="19">
        <f>IF($F354="","",ROUND(P354-$D354,2))</f>
        <v/>
      </c>
      <c r="R354" s="19">
        <f>IF($F354="","",ROUND(Rates!$B$8*(MAX(0,P354-Rates!$B$9)-MAX(0,$D354-Rates!$B$9)),2))</f>
        <v/>
      </c>
      <c r="S354" s="19">
        <f>IF($F354="","",ROUND(Rates!$B$10*IF(Rates!$B$11="Full",P354-$D354,MAX(0,MIN(P354,Rates!$B$13)-Rates!$B$12)-MAX(0,MIN($D354,Rates!$B$13)-Rates!$B$12)),2))</f>
        <v/>
      </c>
      <c r="T354" s="19">
        <f>IF($F354="","",ROUND(Q354+R354+S354,2))</f>
        <v/>
      </c>
    </row>
    <row r="355">
      <c r="A355" s="13" t="n"/>
      <c r="B355" s="13" t="n"/>
      <c r="C355" s="14" t="n"/>
      <c r="D355" s="14" t="n"/>
      <c r="E355" s="15" t="n"/>
      <c r="F355" s="16" t="n"/>
      <c r="G355" s="13" t="n"/>
      <c r="H355" s="13" t="n"/>
      <c r="I355" s="13" t="n"/>
      <c r="J355" s="17">
        <f>IF($F355="","",DATEDIF($F355,Rates!$B$2,"Y"))</f>
        <v/>
      </c>
      <c r="K355" s="18">
        <f>IF($F355="","",IF(UPPER($I355)="Y",Rates!$B$7,IF(J355&gt;=21,Rates!$B$4,IF(J355&gt;=18,Rates!$B$5,Rates!$B$6))))</f>
        <v/>
      </c>
      <c r="L355" s="17">
        <f>IF($F355="","",IF($E355&lt;K355,"Uplift needed","OK"))</f>
        <v/>
      </c>
      <c r="M355" s="17">
        <f>IF($F355="","",IF(AND(J355&lt;21,DATEDIF($F355,Rates!$B$3,"Y")&gt;=21),"Turns 21",IF(AND(J355&lt;18,DATEDIF($F355,Rates!$B$3,"Y")&gt;=18),"Turns 18","")))</f>
        <v/>
      </c>
      <c r="N355" s="18">
        <f>IF($F355="","",MAX($E355,K355))</f>
        <v/>
      </c>
      <c r="O355" s="19">
        <f>IF($F355="","",ROUND($C355*N355/$E355,2))</f>
        <v/>
      </c>
      <c r="P355" s="19">
        <f>IF($F355="","",ROUND($D355*N355/$E355,2))</f>
        <v/>
      </c>
      <c r="Q355" s="19">
        <f>IF($F355="","",ROUND(P355-$D355,2))</f>
        <v/>
      </c>
      <c r="R355" s="19">
        <f>IF($F355="","",ROUND(Rates!$B$8*(MAX(0,P355-Rates!$B$9)-MAX(0,$D355-Rates!$B$9)),2))</f>
        <v/>
      </c>
      <c r="S355" s="19">
        <f>IF($F355="","",ROUND(Rates!$B$10*IF(Rates!$B$11="Full",P355-$D355,MAX(0,MIN(P355,Rates!$B$13)-Rates!$B$12)-MAX(0,MIN($D355,Rates!$B$13)-Rates!$B$12)),2))</f>
        <v/>
      </c>
      <c r="T355" s="19">
        <f>IF($F355="","",ROUND(Q355+R355+S355,2))</f>
        <v/>
      </c>
    </row>
    <row r="356">
      <c r="A356" s="13" t="n"/>
      <c r="B356" s="13" t="n"/>
      <c r="C356" s="14" t="n"/>
      <c r="D356" s="14" t="n"/>
      <c r="E356" s="15" t="n"/>
      <c r="F356" s="16" t="n"/>
      <c r="G356" s="13" t="n"/>
      <c r="H356" s="13" t="n"/>
      <c r="I356" s="13" t="n"/>
      <c r="J356" s="17">
        <f>IF($F356="","",DATEDIF($F356,Rates!$B$2,"Y"))</f>
        <v/>
      </c>
      <c r="K356" s="18">
        <f>IF($F356="","",IF(UPPER($I356)="Y",Rates!$B$7,IF(J356&gt;=21,Rates!$B$4,IF(J356&gt;=18,Rates!$B$5,Rates!$B$6))))</f>
        <v/>
      </c>
      <c r="L356" s="17">
        <f>IF($F356="","",IF($E356&lt;K356,"Uplift needed","OK"))</f>
        <v/>
      </c>
      <c r="M356" s="17">
        <f>IF($F356="","",IF(AND(J356&lt;21,DATEDIF($F356,Rates!$B$3,"Y")&gt;=21),"Turns 21",IF(AND(J356&lt;18,DATEDIF($F356,Rates!$B$3,"Y")&gt;=18),"Turns 18","")))</f>
        <v/>
      </c>
      <c r="N356" s="18">
        <f>IF($F356="","",MAX($E356,K356))</f>
        <v/>
      </c>
      <c r="O356" s="19">
        <f>IF($F356="","",ROUND($C356*N356/$E356,2))</f>
        <v/>
      </c>
      <c r="P356" s="19">
        <f>IF($F356="","",ROUND($D356*N356/$E356,2))</f>
        <v/>
      </c>
      <c r="Q356" s="19">
        <f>IF($F356="","",ROUND(P356-$D356,2))</f>
        <v/>
      </c>
      <c r="R356" s="19">
        <f>IF($F356="","",ROUND(Rates!$B$8*(MAX(0,P356-Rates!$B$9)-MAX(0,$D356-Rates!$B$9)),2))</f>
        <v/>
      </c>
      <c r="S356" s="19">
        <f>IF($F356="","",ROUND(Rates!$B$10*IF(Rates!$B$11="Full",P356-$D356,MAX(0,MIN(P356,Rates!$B$13)-Rates!$B$12)-MAX(0,MIN($D356,Rates!$B$13)-Rates!$B$12)),2))</f>
        <v/>
      </c>
      <c r="T356" s="19">
        <f>IF($F356="","",ROUND(Q356+R356+S356,2))</f>
        <v/>
      </c>
    </row>
    <row r="357">
      <c r="A357" s="13" t="n"/>
      <c r="B357" s="13" t="n"/>
      <c r="C357" s="14" t="n"/>
      <c r="D357" s="14" t="n"/>
      <c r="E357" s="15" t="n"/>
      <c r="F357" s="16" t="n"/>
      <c r="G357" s="13" t="n"/>
      <c r="H357" s="13" t="n"/>
      <c r="I357" s="13" t="n"/>
      <c r="J357" s="17">
        <f>IF($F357="","",DATEDIF($F357,Rates!$B$2,"Y"))</f>
        <v/>
      </c>
      <c r="K357" s="18">
        <f>IF($F357="","",IF(UPPER($I357)="Y",Rates!$B$7,IF(J357&gt;=21,Rates!$B$4,IF(J357&gt;=18,Rates!$B$5,Rates!$B$6))))</f>
        <v/>
      </c>
      <c r="L357" s="17">
        <f>IF($F357="","",IF($E357&lt;K357,"Uplift needed","OK"))</f>
        <v/>
      </c>
      <c r="M357" s="17">
        <f>IF($F357="","",IF(AND(J357&lt;21,DATEDIF($F357,Rates!$B$3,"Y")&gt;=21),"Turns 21",IF(AND(J357&lt;18,DATEDIF($F357,Rates!$B$3,"Y")&gt;=18),"Turns 18","")))</f>
        <v/>
      </c>
      <c r="N357" s="18">
        <f>IF($F357="","",MAX($E357,K357))</f>
        <v/>
      </c>
      <c r="O357" s="19">
        <f>IF($F357="","",ROUND($C357*N357/$E357,2))</f>
        <v/>
      </c>
      <c r="P357" s="19">
        <f>IF($F357="","",ROUND($D357*N357/$E357,2))</f>
        <v/>
      </c>
      <c r="Q357" s="19">
        <f>IF($F357="","",ROUND(P357-$D357,2))</f>
        <v/>
      </c>
      <c r="R357" s="19">
        <f>IF($F357="","",ROUND(Rates!$B$8*(MAX(0,P357-Rates!$B$9)-MAX(0,$D357-Rates!$B$9)),2))</f>
        <v/>
      </c>
      <c r="S357" s="19">
        <f>IF($F357="","",ROUND(Rates!$B$10*IF(Rates!$B$11="Full",P357-$D357,MAX(0,MIN(P357,Rates!$B$13)-Rates!$B$12)-MAX(0,MIN($D357,Rates!$B$13)-Rates!$B$12)),2))</f>
        <v/>
      </c>
      <c r="T357" s="19">
        <f>IF($F357="","",ROUND(Q357+R357+S357,2))</f>
        <v/>
      </c>
    </row>
    <row r="358">
      <c r="A358" s="13" t="n"/>
      <c r="B358" s="13" t="n"/>
      <c r="C358" s="14" t="n"/>
      <c r="D358" s="14" t="n"/>
      <c r="E358" s="15" t="n"/>
      <c r="F358" s="16" t="n"/>
      <c r="G358" s="13" t="n"/>
      <c r="H358" s="13" t="n"/>
      <c r="I358" s="13" t="n"/>
      <c r="J358" s="17">
        <f>IF($F358="","",DATEDIF($F358,Rates!$B$2,"Y"))</f>
        <v/>
      </c>
      <c r="K358" s="18">
        <f>IF($F358="","",IF(UPPER($I358)="Y",Rates!$B$7,IF(J358&gt;=21,Rates!$B$4,IF(J358&gt;=18,Rates!$B$5,Rates!$B$6))))</f>
        <v/>
      </c>
      <c r="L358" s="17">
        <f>IF($F358="","",IF($E358&lt;K358,"Uplift needed","OK"))</f>
        <v/>
      </c>
      <c r="M358" s="17">
        <f>IF($F358="","",IF(AND(J358&lt;21,DATEDIF($F358,Rates!$B$3,"Y")&gt;=21),"Turns 21",IF(AND(J358&lt;18,DATEDIF($F358,Rates!$B$3,"Y")&gt;=18),"Turns 18","")))</f>
        <v/>
      </c>
      <c r="N358" s="18">
        <f>IF($F358="","",MAX($E358,K358))</f>
        <v/>
      </c>
      <c r="O358" s="19">
        <f>IF($F358="","",ROUND($C358*N358/$E358,2))</f>
        <v/>
      </c>
      <c r="P358" s="19">
        <f>IF($F358="","",ROUND($D358*N358/$E358,2))</f>
        <v/>
      </c>
      <c r="Q358" s="19">
        <f>IF($F358="","",ROUND(P358-$D358,2))</f>
        <v/>
      </c>
      <c r="R358" s="19">
        <f>IF($F358="","",ROUND(Rates!$B$8*(MAX(0,P358-Rates!$B$9)-MAX(0,$D358-Rates!$B$9)),2))</f>
        <v/>
      </c>
      <c r="S358" s="19">
        <f>IF($F358="","",ROUND(Rates!$B$10*IF(Rates!$B$11="Full",P358-$D358,MAX(0,MIN(P358,Rates!$B$13)-Rates!$B$12)-MAX(0,MIN($D358,Rates!$B$13)-Rates!$B$12)),2))</f>
        <v/>
      </c>
      <c r="T358" s="19">
        <f>IF($F358="","",ROUND(Q358+R358+S358,2))</f>
        <v/>
      </c>
    </row>
    <row r="359">
      <c r="A359" s="13" t="n"/>
      <c r="B359" s="13" t="n"/>
      <c r="C359" s="14" t="n"/>
      <c r="D359" s="14" t="n"/>
      <c r="E359" s="15" t="n"/>
      <c r="F359" s="16" t="n"/>
      <c r="G359" s="13" t="n"/>
      <c r="H359" s="13" t="n"/>
      <c r="I359" s="13" t="n"/>
      <c r="J359" s="17">
        <f>IF($F359="","",DATEDIF($F359,Rates!$B$2,"Y"))</f>
        <v/>
      </c>
      <c r="K359" s="18">
        <f>IF($F359="","",IF(UPPER($I359)="Y",Rates!$B$7,IF(J359&gt;=21,Rates!$B$4,IF(J359&gt;=18,Rates!$B$5,Rates!$B$6))))</f>
        <v/>
      </c>
      <c r="L359" s="17">
        <f>IF($F359="","",IF($E359&lt;K359,"Uplift needed","OK"))</f>
        <v/>
      </c>
      <c r="M359" s="17">
        <f>IF($F359="","",IF(AND(J359&lt;21,DATEDIF($F359,Rates!$B$3,"Y")&gt;=21),"Turns 21",IF(AND(J359&lt;18,DATEDIF($F359,Rates!$B$3,"Y")&gt;=18),"Turns 18","")))</f>
        <v/>
      </c>
      <c r="N359" s="18">
        <f>IF($F359="","",MAX($E359,K359))</f>
        <v/>
      </c>
      <c r="O359" s="19">
        <f>IF($F359="","",ROUND($C359*N359/$E359,2))</f>
        <v/>
      </c>
      <c r="P359" s="19">
        <f>IF($F359="","",ROUND($D359*N359/$E359,2))</f>
        <v/>
      </c>
      <c r="Q359" s="19">
        <f>IF($F359="","",ROUND(P359-$D359,2))</f>
        <v/>
      </c>
      <c r="R359" s="19">
        <f>IF($F359="","",ROUND(Rates!$B$8*(MAX(0,P359-Rates!$B$9)-MAX(0,$D359-Rates!$B$9)),2))</f>
        <v/>
      </c>
      <c r="S359" s="19">
        <f>IF($F359="","",ROUND(Rates!$B$10*IF(Rates!$B$11="Full",P359-$D359,MAX(0,MIN(P359,Rates!$B$13)-Rates!$B$12)-MAX(0,MIN($D359,Rates!$B$13)-Rates!$B$12)),2))</f>
        <v/>
      </c>
      <c r="T359" s="19">
        <f>IF($F359="","",ROUND(Q359+R359+S359,2))</f>
        <v/>
      </c>
    </row>
    <row r="360">
      <c r="A360" s="13" t="n"/>
      <c r="B360" s="13" t="n"/>
      <c r="C360" s="14" t="n"/>
      <c r="D360" s="14" t="n"/>
      <c r="E360" s="15" t="n"/>
      <c r="F360" s="16" t="n"/>
      <c r="G360" s="13" t="n"/>
      <c r="H360" s="13" t="n"/>
      <c r="I360" s="13" t="n"/>
      <c r="J360" s="17">
        <f>IF($F360="","",DATEDIF($F360,Rates!$B$2,"Y"))</f>
        <v/>
      </c>
      <c r="K360" s="18">
        <f>IF($F360="","",IF(UPPER($I360)="Y",Rates!$B$7,IF(J360&gt;=21,Rates!$B$4,IF(J360&gt;=18,Rates!$B$5,Rates!$B$6))))</f>
        <v/>
      </c>
      <c r="L360" s="17">
        <f>IF($F360="","",IF($E360&lt;K360,"Uplift needed","OK"))</f>
        <v/>
      </c>
      <c r="M360" s="17">
        <f>IF($F360="","",IF(AND(J360&lt;21,DATEDIF($F360,Rates!$B$3,"Y")&gt;=21),"Turns 21",IF(AND(J360&lt;18,DATEDIF($F360,Rates!$B$3,"Y")&gt;=18),"Turns 18","")))</f>
        <v/>
      </c>
      <c r="N360" s="18">
        <f>IF($F360="","",MAX($E360,K360))</f>
        <v/>
      </c>
      <c r="O360" s="19">
        <f>IF($F360="","",ROUND($C360*N360/$E360,2))</f>
        <v/>
      </c>
      <c r="P360" s="19">
        <f>IF($F360="","",ROUND($D360*N360/$E360,2))</f>
        <v/>
      </c>
      <c r="Q360" s="19">
        <f>IF($F360="","",ROUND(P360-$D360,2))</f>
        <v/>
      </c>
      <c r="R360" s="19">
        <f>IF($F360="","",ROUND(Rates!$B$8*(MAX(0,P360-Rates!$B$9)-MAX(0,$D360-Rates!$B$9)),2))</f>
        <v/>
      </c>
      <c r="S360" s="19">
        <f>IF($F360="","",ROUND(Rates!$B$10*IF(Rates!$B$11="Full",P360-$D360,MAX(0,MIN(P360,Rates!$B$13)-Rates!$B$12)-MAX(0,MIN($D360,Rates!$B$13)-Rates!$B$12)),2))</f>
        <v/>
      </c>
      <c r="T360" s="19">
        <f>IF($F360="","",ROUND(Q360+R360+S360,2))</f>
        <v/>
      </c>
    </row>
    <row r="361">
      <c r="A361" s="13" t="n"/>
      <c r="B361" s="13" t="n"/>
      <c r="C361" s="14" t="n"/>
      <c r="D361" s="14" t="n"/>
      <c r="E361" s="15" t="n"/>
      <c r="F361" s="16" t="n"/>
      <c r="G361" s="13" t="n"/>
      <c r="H361" s="13" t="n"/>
      <c r="I361" s="13" t="n"/>
      <c r="J361" s="17">
        <f>IF($F361="","",DATEDIF($F361,Rates!$B$2,"Y"))</f>
        <v/>
      </c>
      <c r="K361" s="18">
        <f>IF($F361="","",IF(UPPER($I361)="Y",Rates!$B$7,IF(J361&gt;=21,Rates!$B$4,IF(J361&gt;=18,Rates!$B$5,Rates!$B$6))))</f>
        <v/>
      </c>
      <c r="L361" s="17">
        <f>IF($F361="","",IF($E361&lt;K361,"Uplift needed","OK"))</f>
        <v/>
      </c>
      <c r="M361" s="17">
        <f>IF($F361="","",IF(AND(J361&lt;21,DATEDIF($F361,Rates!$B$3,"Y")&gt;=21),"Turns 21",IF(AND(J361&lt;18,DATEDIF($F361,Rates!$B$3,"Y")&gt;=18),"Turns 18","")))</f>
        <v/>
      </c>
      <c r="N361" s="18">
        <f>IF($F361="","",MAX($E361,K361))</f>
        <v/>
      </c>
      <c r="O361" s="19">
        <f>IF($F361="","",ROUND($C361*N361/$E361,2))</f>
        <v/>
      </c>
      <c r="P361" s="19">
        <f>IF($F361="","",ROUND($D361*N361/$E361,2))</f>
        <v/>
      </c>
      <c r="Q361" s="19">
        <f>IF($F361="","",ROUND(P361-$D361,2))</f>
        <v/>
      </c>
      <c r="R361" s="19">
        <f>IF($F361="","",ROUND(Rates!$B$8*(MAX(0,P361-Rates!$B$9)-MAX(0,$D361-Rates!$B$9)),2))</f>
        <v/>
      </c>
      <c r="S361" s="19">
        <f>IF($F361="","",ROUND(Rates!$B$10*IF(Rates!$B$11="Full",P361-$D361,MAX(0,MIN(P361,Rates!$B$13)-Rates!$B$12)-MAX(0,MIN($D361,Rates!$B$13)-Rates!$B$12)),2))</f>
        <v/>
      </c>
      <c r="T361" s="19">
        <f>IF($F361="","",ROUND(Q361+R361+S361,2))</f>
        <v/>
      </c>
    </row>
    <row r="362">
      <c r="A362" s="13" t="n"/>
      <c r="B362" s="13" t="n"/>
      <c r="C362" s="14" t="n"/>
      <c r="D362" s="14" t="n"/>
      <c r="E362" s="15" t="n"/>
      <c r="F362" s="16" t="n"/>
      <c r="G362" s="13" t="n"/>
      <c r="H362" s="13" t="n"/>
      <c r="I362" s="13" t="n"/>
      <c r="J362" s="17">
        <f>IF($F362="","",DATEDIF($F362,Rates!$B$2,"Y"))</f>
        <v/>
      </c>
      <c r="K362" s="18">
        <f>IF($F362="","",IF(UPPER($I362)="Y",Rates!$B$7,IF(J362&gt;=21,Rates!$B$4,IF(J362&gt;=18,Rates!$B$5,Rates!$B$6))))</f>
        <v/>
      </c>
      <c r="L362" s="17">
        <f>IF($F362="","",IF($E362&lt;K362,"Uplift needed","OK"))</f>
        <v/>
      </c>
      <c r="M362" s="17">
        <f>IF($F362="","",IF(AND(J362&lt;21,DATEDIF($F362,Rates!$B$3,"Y")&gt;=21),"Turns 21",IF(AND(J362&lt;18,DATEDIF($F362,Rates!$B$3,"Y")&gt;=18),"Turns 18","")))</f>
        <v/>
      </c>
      <c r="N362" s="18">
        <f>IF($F362="","",MAX($E362,K362))</f>
        <v/>
      </c>
      <c r="O362" s="19">
        <f>IF($F362="","",ROUND($C362*N362/$E362,2))</f>
        <v/>
      </c>
      <c r="P362" s="19">
        <f>IF($F362="","",ROUND($D362*N362/$E362,2))</f>
        <v/>
      </c>
      <c r="Q362" s="19">
        <f>IF($F362="","",ROUND(P362-$D362,2))</f>
        <v/>
      </c>
      <c r="R362" s="19">
        <f>IF($F362="","",ROUND(Rates!$B$8*(MAX(0,P362-Rates!$B$9)-MAX(0,$D362-Rates!$B$9)),2))</f>
        <v/>
      </c>
      <c r="S362" s="19">
        <f>IF($F362="","",ROUND(Rates!$B$10*IF(Rates!$B$11="Full",P362-$D362,MAX(0,MIN(P362,Rates!$B$13)-Rates!$B$12)-MAX(0,MIN($D362,Rates!$B$13)-Rates!$B$12)),2))</f>
        <v/>
      </c>
      <c r="T362" s="19">
        <f>IF($F362="","",ROUND(Q362+R362+S362,2))</f>
        <v/>
      </c>
    </row>
    <row r="363">
      <c r="A363" s="13" t="n"/>
      <c r="B363" s="13" t="n"/>
      <c r="C363" s="14" t="n"/>
      <c r="D363" s="14" t="n"/>
      <c r="E363" s="15" t="n"/>
      <c r="F363" s="16" t="n"/>
      <c r="G363" s="13" t="n"/>
      <c r="H363" s="13" t="n"/>
      <c r="I363" s="13" t="n"/>
      <c r="J363" s="17">
        <f>IF($F363="","",DATEDIF($F363,Rates!$B$2,"Y"))</f>
        <v/>
      </c>
      <c r="K363" s="18">
        <f>IF($F363="","",IF(UPPER($I363)="Y",Rates!$B$7,IF(J363&gt;=21,Rates!$B$4,IF(J363&gt;=18,Rates!$B$5,Rates!$B$6))))</f>
        <v/>
      </c>
      <c r="L363" s="17">
        <f>IF($F363="","",IF($E363&lt;K363,"Uplift needed","OK"))</f>
        <v/>
      </c>
      <c r="M363" s="17">
        <f>IF($F363="","",IF(AND(J363&lt;21,DATEDIF($F363,Rates!$B$3,"Y")&gt;=21),"Turns 21",IF(AND(J363&lt;18,DATEDIF($F363,Rates!$B$3,"Y")&gt;=18),"Turns 18","")))</f>
        <v/>
      </c>
      <c r="N363" s="18">
        <f>IF($F363="","",MAX($E363,K363))</f>
        <v/>
      </c>
      <c r="O363" s="19">
        <f>IF($F363="","",ROUND($C363*N363/$E363,2))</f>
        <v/>
      </c>
      <c r="P363" s="19">
        <f>IF($F363="","",ROUND($D363*N363/$E363,2))</f>
        <v/>
      </c>
      <c r="Q363" s="19">
        <f>IF($F363="","",ROUND(P363-$D363,2))</f>
        <v/>
      </c>
      <c r="R363" s="19">
        <f>IF($F363="","",ROUND(Rates!$B$8*(MAX(0,P363-Rates!$B$9)-MAX(0,$D363-Rates!$B$9)),2))</f>
        <v/>
      </c>
      <c r="S363" s="19">
        <f>IF($F363="","",ROUND(Rates!$B$10*IF(Rates!$B$11="Full",P363-$D363,MAX(0,MIN(P363,Rates!$B$13)-Rates!$B$12)-MAX(0,MIN($D363,Rates!$B$13)-Rates!$B$12)),2))</f>
        <v/>
      </c>
      <c r="T363" s="19">
        <f>IF($F363="","",ROUND(Q363+R363+S363,2))</f>
        <v/>
      </c>
    </row>
    <row r="364">
      <c r="A364" s="13" t="n"/>
      <c r="B364" s="13" t="n"/>
      <c r="C364" s="14" t="n"/>
      <c r="D364" s="14" t="n"/>
      <c r="E364" s="15" t="n"/>
      <c r="F364" s="16" t="n"/>
      <c r="G364" s="13" t="n"/>
      <c r="H364" s="13" t="n"/>
      <c r="I364" s="13" t="n"/>
      <c r="J364" s="17">
        <f>IF($F364="","",DATEDIF($F364,Rates!$B$2,"Y"))</f>
        <v/>
      </c>
      <c r="K364" s="18">
        <f>IF($F364="","",IF(UPPER($I364)="Y",Rates!$B$7,IF(J364&gt;=21,Rates!$B$4,IF(J364&gt;=18,Rates!$B$5,Rates!$B$6))))</f>
        <v/>
      </c>
      <c r="L364" s="17">
        <f>IF($F364="","",IF($E364&lt;K364,"Uplift needed","OK"))</f>
        <v/>
      </c>
      <c r="M364" s="17">
        <f>IF($F364="","",IF(AND(J364&lt;21,DATEDIF($F364,Rates!$B$3,"Y")&gt;=21),"Turns 21",IF(AND(J364&lt;18,DATEDIF($F364,Rates!$B$3,"Y")&gt;=18),"Turns 18","")))</f>
        <v/>
      </c>
      <c r="N364" s="18">
        <f>IF($F364="","",MAX($E364,K364))</f>
        <v/>
      </c>
      <c r="O364" s="19">
        <f>IF($F364="","",ROUND($C364*N364/$E364,2))</f>
        <v/>
      </c>
      <c r="P364" s="19">
        <f>IF($F364="","",ROUND($D364*N364/$E364,2))</f>
        <v/>
      </c>
      <c r="Q364" s="19">
        <f>IF($F364="","",ROUND(P364-$D364,2))</f>
        <v/>
      </c>
      <c r="R364" s="19">
        <f>IF($F364="","",ROUND(Rates!$B$8*(MAX(0,P364-Rates!$B$9)-MAX(0,$D364-Rates!$B$9)),2))</f>
        <v/>
      </c>
      <c r="S364" s="19">
        <f>IF($F364="","",ROUND(Rates!$B$10*IF(Rates!$B$11="Full",P364-$D364,MAX(0,MIN(P364,Rates!$B$13)-Rates!$B$12)-MAX(0,MIN($D364,Rates!$B$13)-Rates!$B$12)),2))</f>
        <v/>
      </c>
      <c r="T364" s="19">
        <f>IF($F364="","",ROUND(Q364+R364+S364,2))</f>
        <v/>
      </c>
    </row>
    <row r="365">
      <c r="A365" s="13" t="n"/>
      <c r="B365" s="13" t="n"/>
      <c r="C365" s="14" t="n"/>
      <c r="D365" s="14" t="n"/>
      <c r="E365" s="15" t="n"/>
      <c r="F365" s="16" t="n"/>
      <c r="G365" s="13" t="n"/>
      <c r="H365" s="13" t="n"/>
      <c r="I365" s="13" t="n"/>
      <c r="J365" s="17">
        <f>IF($F365="","",DATEDIF($F365,Rates!$B$2,"Y"))</f>
        <v/>
      </c>
      <c r="K365" s="18">
        <f>IF($F365="","",IF(UPPER($I365)="Y",Rates!$B$7,IF(J365&gt;=21,Rates!$B$4,IF(J365&gt;=18,Rates!$B$5,Rates!$B$6))))</f>
        <v/>
      </c>
      <c r="L365" s="17">
        <f>IF($F365="","",IF($E365&lt;K365,"Uplift needed","OK"))</f>
        <v/>
      </c>
      <c r="M365" s="17">
        <f>IF($F365="","",IF(AND(J365&lt;21,DATEDIF($F365,Rates!$B$3,"Y")&gt;=21),"Turns 21",IF(AND(J365&lt;18,DATEDIF($F365,Rates!$B$3,"Y")&gt;=18),"Turns 18","")))</f>
        <v/>
      </c>
      <c r="N365" s="18">
        <f>IF($F365="","",MAX($E365,K365))</f>
        <v/>
      </c>
      <c r="O365" s="19">
        <f>IF($F365="","",ROUND($C365*N365/$E365,2))</f>
        <v/>
      </c>
      <c r="P365" s="19">
        <f>IF($F365="","",ROUND($D365*N365/$E365,2))</f>
        <v/>
      </c>
      <c r="Q365" s="19">
        <f>IF($F365="","",ROUND(P365-$D365,2))</f>
        <v/>
      </c>
      <c r="R365" s="19">
        <f>IF($F365="","",ROUND(Rates!$B$8*(MAX(0,P365-Rates!$B$9)-MAX(0,$D365-Rates!$B$9)),2))</f>
        <v/>
      </c>
      <c r="S365" s="19">
        <f>IF($F365="","",ROUND(Rates!$B$10*IF(Rates!$B$11="Full",P365-$D365,MAX(0,MIN(P365,Rates!$B$13)-Rates!$B$12)-MAX(0,MIN($D365,Rates!$B$13)-Rates!$B$12)),2))</f>
        <v/>
      </c>
      <c r="T365" s="19">
        <f>IF($F365="","",ROUND(Q365+R365+S365,2))</f>
        <v/>
      </c>
    </row>
    <row r="366">
      <c r="A366" s="13" t="n"/>
      <c r="B366" s="13" t="n"/>
      <c r="C366" s="14" t="n"/>
      <c r="D366" s="14" t="n"/>
      <c r="E366" s="15" t="n"/>
      <c r="F366" s="16" t="n"/>
      <c r="G366" s="13" t="n"/>
      <c r="H366" s="13" t="n"/>
      <c r="I366" s="13" t="n"/>
      <c r="J366" s="17">
        <f>IF($F366="","",DATEDIF($F366,Rates!$B$2,"Y"))</f>
        <v/>
      </c>
      <c r="K366" s="18">
        <f>IF($F366="","",IF(UPPER($I366)="Y",Rates!$B$7,IF(J366&gt;=21,Rates!$B$4,IF(J366&gt;=18,Rates!$B$5,Rates!$B$6))))</f>
        <v/>
      </c>
      <c r="L366" s="17">
        <f>IF($F366="","",IF($E366&lt;K366,"Uplift needed","OK"))</f>
        <v/>
      </c>
      <c r="M366" s="17">
        <f>IF($F366="","",IF(AND(J366&lt;21,DATEDIF($F366,Rates!$B$3,"Y")&gt;=21),"Turns 21",IF(AND(J366&lt;18,DATEDIF($F366,Rates!$B$3,"Y")&gt;=18),"Turns 18","")))</f>
        <v/>
      </c>
      <c r="N366" s="18">
        <f>IF($F366="","",MAX($E366,K366))</f>
        <v/>
      </c>
      <c r="O366" s="19">
        <f>IF($F366="","",ROUND($C366*N366/$E366,2))</f>
        <v/>
      </c>
      <c r="P366" s="19">
        <f>IF($F366="","",ROUND($D366*N366/$E366,2))</f>
        <v/>
      </c>
      <c r="Q366" s="19">
        <f>IF($F366="","",ROUND(P366-$D366,2))</f>
        <v/>
      </c>
      <c r="R366" s="19">
        <f>IF($F366="","",ROUND(Rates!$B$8*(MAX(0,P366-Rates!$B$9)-MAX(0,$D366-Rates!$B$9)),2))</f>
        <v/>
      </c>
      <c r="S366" s="19">
        <f>IF($F366="","",ROUND(Rates!$B$10*IF(Rates!$B$11="Full",P366-$D366,MAX(0,MIN(P366,Rates!$B$13)-Rates!$B$12)-MAX(0,MIN($D366,Rates!$B$13)-Rates!$B$12)),2))</f>
        <v/>
      </c>
      <c r="T366" s="19">
        <f>IF($F366="","",ROUND(Q366+R366+S366,2))</f>
        <v/>
      </c>
    </row>
    <row r="367">
      <c r="A367" s="13" t="n"/>
      <c r="B367" s="13" t="n"/>
      <c r="C367" s="14" t="n"/>
      <c r="D367" s="14" t="n"/>
      <c r="E367" s="15" t="n"/>
      <c r="F367" s="16" t="n"/>
      <c r="G367" s="13" t="n"/>
      <c r="H367" s="13" t="n"/>
      <c r="I367" s="13" t="n"/>
      <c r="J367" s="17">
        <f>IF($F367="","",DATEDIF($F367,Rates!$B$2,"Y"))</f>
        <v/>
      </c>
      <c r="K367" s="18">
        <f>IF($F367="","",IF(UPPER($I367)="Y",Rates!$B$7,IF(J367&gt;=21,Rates!$B$4,IF(J367&gt;=18,Rates!$B$5,Rates!$B$6))))</f>
        <v/>
      </c>
      <c r="L367" s="17">
        <f>IF($F367="","",IF($E367&lt;K367,"Uplift needed","OK"))</f>
        <v/>
      </c>
      <c r="M367" s="17">
        <f>IF($F367="","",IF(AND(J367&lt;21,DATEDIF($F367,Rates!$B$3,"Y")&gt;=21),"Turns 21",IF(AND(J367&lt;18,DATEDIF($F367,Rates!$B$3,"Y")&gt;=18),"Turns 18","")))</f>
        <v/>
      </c>
      <c r="N367" s="18">
        <f>IF($F367="","",MAX($E367,K367))</f>
        <v/>
      </c>
      <c r="O367" s="19">
        <f>IF($F367="","",ROUND($C367*N367/$E367,2))</f>
        <v/>
      </c>
      <c r="P367" s="19">
        <f>IF($F367="","",ROUND($D367*N367/$E367,2))</f>
        <v/>
      </c>
      <c r="Q367" s="19">
        <f>IF($F367="","",ROUND(P367-$D367,2))</f>
        <v/>
      </c>
      <c r="R367" s="19">
        <f>IF($F367="","",ROUND(Rates!$B$8*(MAX(0,P367-Rates!$B$9)-MAX(0,$D367-Rates!$B$9)),2))</f>
        <v/>
      </c>
      <c r="S367" s="19">
        <f>IF($F367="","",ROUND(Rates!$B$10*IF(Rates!$B$11="Full",P367-$D367,MAX(0,MIN(P367,Rates!$B$13)-Rates!$B$12)-MAX(0,MIN($D367,Rates!$B$13)-Rates!$B$12)),2))</f>
        <v/>
      </c>
      <c r="T367" s="19">
        <f>IF($F367="","",ROUND(Q367+R367+S367,2))</f>
        <v/>
      </c>
    </row>
    <row r="368">
      <c r="A368" s="13" t="n"/>
      <c r="B368" s="13" t="n"/>
      <c r="C368" s="14" t="n"/>
      <c r="D368" s="14" t="n"/>
      <c r="E368" s="15" t="n"/>
      <c r="F368" s="16" t="n"/>
      <c r="G368" s="13" t="n"/>
      <c r="H368" s="13" t="n"/>
      <c r="I368" s="13" t="n"/>
      <c r="J368" s="17">
        <f>IF($F368="","",DATEDIF($F368,Rates!$B$2,"Y"))</f>
        <v/>
      </c>
      <c r="K368" s="18">
        <f>IF($F368="","",IF(UPPER($I368)="Y",Rates!$B$7,IF(J368&gt;=21,Rates!$B$4,IF(J368&gt;=18,Rates!$B$5,Rates!$B$6))))</f>
        <v/>
      </c>
      <c r="L368" s="17">
        <f>IF($F368="","",IF($E368&lt;K368,"Uplift needed","OK"))</f>
        <v/>
      </c>
      <c r="M368" s="17">
        <f>IF($F368="","",IF(AND(J368&lt;21,DATEDIF($F368,Rates!$B$3,"Y")&gt;=21),"Turns 21",IF(AND(J368&lt;18,DATEDIF($F368,Rates!$B$3,"Y")&gt;=18),"Turns 18","")))</f>
        <v/>
      </c>
      <c r="N368" s="18">
        <f>IF($F368="","",MAX($E368,K368))</f>
        <v/>
      </c>
      <c r="O368" s="19">
        <f>IF($F368="","",ROUND($C368*N368/$E368,2))</f>
        <v/>
      </c>
      <c r="P368" s="19">
        <f>IF($F368="","",ROUND($D368*N368/$E368,2))</f>
        <v/>
      </c>
      <c r="Q368" s="19">
        <f>IF($F368="","",ROUND(P368-$D368,2))</f>
        <v/>
      </c>
      <c r="R368" s="19">
        <f>IF($F368="","",ROUND(Rates!$B$8*(MAX(0,P368-Rates!$B$9)-MAX(0,$D368-Rates!$B$9)),2))</f>
        <v/>
      </c>
      <c r="S368" s="19">
        <f>IF($F368="","",ROUND(Rates!$B$10*IF(Rates!$B$11="Full",P368-$D368,MAX(0,MIN(P368,Rates!$B$13)-Rates!$B$12)-MAX(0,MIN($D368,Rates!$B$13)-Rates!$B$12)),2))</f>
        <v/>
      </c>
      <c r="T368" s="19">
        <f>IF($F368="","",ROUND(Q368+R368+S368,2))</f>
        <v/>
      </c>
    </row>
    <row r="369">
      <c r="A369" s="13" t="n"/>
      <c r="B369" s="13" t="n"/>
      <c r="C369" s="14" t="n"/>
      <c r="D369" s="14" t="n"/>
      <c r="E369" s="15" t="n"/>
      <c r="F369" s="16" t="n"/>
      <c r="G369" s="13" t="n"/>
      <c r="H369" s="13" t="n"/>
      <c r="I369" s="13" t="n"/>
      <c r="J369" s="17">
        <f>IF($F369="","",DATEDIF($F369,Rates!$B$2,"Y"))</f>
        <v/>
      </c>
      <c r="K369" s="18">
        <f>IF($F369="","",IF(UPPER($I369)="Y",Rates!$B$7,IF(J369&gt;=21,Rates!$B$4,IF(J369&gt;=18,Rates!$B$5,Rates!$B$6))))</f>
        <v/>
      </c>
      <c r="L369" s="17">
        <f>IF($F369="","",IF($E369&lt;K369,"Uplift needed","OK"))</f>
        <v/>
      </c>
      <c r="M369" s="17">
        <f>IF($F369="","",IF(AND(J369&lt;21,DATEDIF($F369,Rates!$B$3,"Y")&gt;=21),"Turns 21",IF(AND(J369&lt;18,DATEDIF($F369,Rates!$B$3,"Y")&gt;=18),"Turns 18","")))</f>
        <v/>
      </c>
      <c r="N369" s="18">
        <f>IF($F369="","",MAX($E369,K369))</f>
        <v/>
      </c>
      <c r="O369" s="19">
        <f>IF($F369="","",ROUND($C369*N369/$E369,2))</f>
        <v/>
      </c>
      <c r="P369" s="19">
        <f>IF($F369="","",ROUND($D369*N369/$E369,2))</f>
        <v/>
      </c>
      <c r="Q369" s="19">
        <f>IF($F369="","",ROUND(P369-$D369,2))</f>
        <v/>
      </c>
      <c r="R369" s="19">
        <f>IF($F369="","",ROUND(Rates!$B$8*(MAX(0,P369-Rates!$B$9)-MAX(0,$D369-Rates!$B$9)),2))</f>
        <v/>
      </c>
      <c r="S369" s="19">
        <f>IF($F369="","",ROUND(Rates!$B$10*IF(Rates!$B$11="Full",P369-$D369,MAX(0,MIN(P369,Rates!$B$13)-Rates!$B$12)-MAX(0,MIN($D369,Rates!$B$13)-Rates!$B$12)),2))</f>
        <v/>
      </c>
      <c r="T369" s="19">
        <f>IF($F369="","",ROUND(Q369+R369+S369,2))</f>
        <v/>
      </c>
    </row>
    <row r="370">
      <c r="A370" s="13" t="n"/>
      <c r="B370" s="13" t="n"/>
      <c r="C370" s="14" t="n"/>
      <c r="D370" s="14" t="n"/>
      <c r="E370" s="15" t="n"/>
      <c r="F370" s="16" t="n"/>
      <c r="G370" s="13" t="n"/>
      <c r="H370" s="13" t="n"/>
      <c r="I370" s="13" t="n"/>
      <c r="J370" s="17">
        <f>IF($F370="","",DATEDIF($F370,Rates!$B$2,"Y"))</f>
        <v/>
      </c>
      <c r="K370" s="18">
        <f>IF($F370="","",IF(UPPER($I370)="Y",Rates!$B$7,IF(J370&gt;=21,Rates!$B$4,IF(J370&gt;=18,Rates!$B$5,Rates!$B$6))))</f>
        <v/>
      </c>
      <c r="L370" s="17">
        <f>IF($F370="","",IF($E370&lt;K370,"Uplift needed","OK"))</f>
        <v/>
      </c>
      <c r="M370" s="17">
        <f>IF($F370="","",IF(AND(J370&lt;21,DATEDIF($F370,Rates!$B$3,"Y")&gt;=21),"Turns 21",IF(AND(J370&lt;18,DATEDIF($F370,Rates!$B$3,"Y")&gt;=18),"Turns 18","")))</f>
        <v/>
      </c>
      <c r="N370" s="18">
        <f>IF($F370="","",MAX($E370,K370))</f>
        <v/>
      </c>
      <c r="O370" s="19">
        <f>IF($F370="","",ROUND($C370*N370/$E370,2))</f>
        <v/>
      </c>
      <c r="P370" s="19">
        <f>IF($F370="","",ROUND($D370*N370/$E370,2))</f>
        <v/>
      </c>
      <c r="Q370" s="19">
        <f>IF($F370="","",ROUND(P370-$D370,2))</f>
        <v/>
      </c>
      <c r="R370" s="19">
        <f>IF($F370="","",ROUND(Rates!$B$8*(MAX(0,P370-Rates!$B$9)-MAX(0,$D370-Rates!$B$9)),2))</f>
        <v/>
      </c>
      <c r="S370" s="19">
        <f>IF($F370="","",ROUND(Rates!$B$10*IF(Rates!$B$11="Full",P370-$D370,MAX(0,MIN(P370,Rates!$B$13)-Rates!$B$12)-MAX(0,MIN($D370,Rates!$B$13)-Rates!$B$12)),2))</f>
        <v/>
      </c>
      <c r="T370" s="19">
        <f>IF($F370="","",ROUND(Q370+R370+S370,2))</f>
        <v/>
      </c>
    </row>
    <row r="371">
      <c r="A371" s="13" t="n"/>
      <c r="B371" s="13" t="n"/>
      <c r="C371" s="14" t="n"/>
      <c r="D371" s="14" t="n"/>
      <c r="E371" s="15" t="n"/>
      <c r="F371" s="16" t="n"/>
      <c r="G371" s="13" t="n"/>
      <c r="H371" s="13" t="n"/>
      <c r="I371" s="13" t="n"/>
      <c r="J371" s="17">
        <f>IF($F371="","",DATEDIF($F371,Rates!$B$2,"Y"))</f>
        <v/>
      </c>
      <c r="K371" s="18">
        <f>IF($F371="","",IF(UPPER($I371)="Y",Rates!$B$7,IF(J371&gt;=21,Rates!$B$4,IF(J371&gt;=18,Rates!$B$5,Rates!$B$6))))</f>
        <v/>
      </c>
      <c r="L371" s="17">
        <f>IF($F371="","",IF($E371&lt;K371,"Uplift needed","OK"))</f>
        <v/>
      </c>
      <c r="M371" s="17">
        <f>IF($F371="","",IF(AND(J371&lt;21,DATEDIF($F371,Rates!$B$3,"Y")&gt;=21),"Turns 21",IF(AND(J371&lt;18,DATEDIF($F371,Rates!$B$3,"Y")&gt;=18),"Turns 18","")))</f>
        <v/>
      </c>
      <c r="N371" s="18">
        <f>IF($F371="","",MAX($E371,K371))</f>
        <v/>
      </c>
      <c r="O371" s="19">
        <f>IF($F371="","",ROUND($C371*N371/$E371,2))</f>
        <v/>
      </c>
      <c r="P371" s="19">
        <f>IF($F371="","",ROUND($D371*N371/$E371,2))</f>
        <v/>
      </c>
      <c r="Q371" s="19">
        <f>IF($F371="","",ROUND(P371-$D371,2))</f>
        <v/>
      </c>
      <c r="R371" s="19">
        <f>IF($F371="","",ROUND(Rates!$B$8*(MAX(0,P371-Rates!$B$9)-MAX(0,$D371-Rates!$B$9)),2))</f>
        <v/>
      </c>
      <c r="S371" s="19">
        <f>IF($F371="","",ROUND(Rates!$B$10*IF(Rates!$B$11="Full",P371-$D371,MAX(0,MIN(P371,Rates!$B$13)-Rates!$B$12)-MAX(0,MIN($D371,Rates!$B$13)-Rates!$B$12)),2))</f>
        <v/>
      </c>
      <c r="T371" s="19">
        <f>IF($F371="","",ROUND(Q371+R371+S371,2))</f>
        <v/>
      </c>
    </row>
    <row r="372">
      <c r="A372" s="13" t="n"/>
      <c r="B372" s="13" t="n"/>
      <c r="C372" s="14" t="n"/>
      <c r="D372" s="14" t="n"/>
      <c r="E372" s="15" t="n"/>
      <c r="F372" s="16" t="n"/>
      <c r="G372" s="13" t="n"/>
      <c r="H372" s="13" t="n"/>
      <c r="I372" s="13" t="n"/>
      <c r="J372" s="17">
        <f>IF($F372="","",DATEDIF($F372,Rates!$B$2,"Y"))</f>
        <v/>
      </c>
      <c r="K372" s="18">
        <f>IF($F372="","",IF(UPPER($I372)="Y",Rates!$B$7,IF(J372&gt;=21,Rates!$B$4,IF(J372&gt;=18,Rates!$B$5,Rates!$B$6))))</f>
        <v/>
      </c>
      <c r="L372" s="17">
        <f>IF($F372="","",IF($E372&lt;K372,"Uplift needed","OK"))</f>
        <v/>
      </c>
      <c r="M372" s="17">
        <f>IF($F372="","",IF(AND(J372&lt;21,DATEDIF($F372,Rates!$B$3,"Y")&gt;=21),"Turns 21",IF(AND(J372&lt;18,DATEDIF($F372,Rates!$B$3,"Y")&gt;=18),"Turns 18","")))</f>
        <v/>
      </c>
      <c r="N372" s="18">
        <f>IF($F372="","",MAX($E372,K372))</f>
        <v/>
      </c>
      <c r="O372" s="19">
        <f>IF($F372="","",ROUND($C372*N372/$E372,2))</f>
        <v/>
      </c>
      <c r="P372" s="19">
        <f>IF($F372="","",ROUND($D372*N372/$E372,2))</f>
        <v/>
      </c>
      <c r="Q372" s="19">
        <f>IF($F372="","",ROUND(P372-$D372,2))</f>
        <v/>
      </c>
      <c r="R372" s="19">
        <f>IF($F372="","",ROUND(Rates!$B$8*(MAX(0,P372-Rates!$B$9)-MAX(0,$D372-Rates!$B$9)),2))</f>
        <v/>
      </c>
      <c r="S372" s="19">
        <f>IF($F372="","",ROUND(Rates!$B$10*IF(Rates!$B$11="Full",P372-$D372,MAX(0,MIN(P372,Rates!$B$13)-Rates!$B$12)-MAX(0,MIN($D372,Rates!$B$13)-Rates!$B$12)),2))</f>
        <v/>
      </c>
      <c r="T372" s="19">
        <f>IF($F372="","",ROUND(Q372+R372+S372,2))</f>
        <v/>
      </c>
    </row>
    <row r="373">
      <c r="A373" s="13" t="n"/>
      <c r="B373" s="13" t="n"/>
      <c r="C373" s="14" t="n"/>
      <c r="D373" s="14" t="n"/>
      <c r="E373" s="15" t="n"/>
      <c r="F373" s="16" t="n"/>
      <c r="G373" s="13" t="n"/>
      <c r="H373" s="13" t="n"/>
      <c r="I373" s="13" t="n"/>
      <c r="J373" s="17">
        <f>IF($F373="","",DATEDIF($F373,Rates!$B$2,"Y"))</f>
        <v/>
      </c>
      <c r="K373" s="18">
        <f>IF($F373="","",IF(UPPER($I373)="Y",Rates!$B$7,IF(J373&gt;=21,Rates!$B$4,IF(J373&gt;=18,Rates!$B$5,Rates!$B$6))))</f>
        <v/>
      </c>
      <c r="L373" s="17">
        <f>IF($F373="","",IF($E373&lt;K373,"Uplift needed","OK"))</f>
        <v/>
      </c>
      <c r="M373" s="17">
        <f>IF($F373="","",IF(AND(J373&lt;21,DATEDIF($F373,Rates!$B$3,"Y")&gt;=21),"Turns 21",IF(AND(J373&lt;18,DATEDIF($F373,Rates!$B$3,"Y")&gt;=18),"Turns 18","")))</f>
        <v/>
      </c>
      <c r="N373" s="18">
        <f>IF($F373="","",MAX($E373,K373))</f>
        <v/>
      </c>
      <c r="O373" s="19">
        <f>IF($F373="","",ROUND($C373*N373/$E373,2))</f>
        <v/>
      </c>
      <c r="P373" s="19">
        <f>IF($F373="","",ROUND($D373*N373/$E373,2))</f>
        <v/>
      </c>
      <c r="Q373" s="19">
        <f>IF($F373="","",ROUND(P373-$D373,2))</f>
        <v/>
      </c>
      <c r="R373" s="19">
        <f>IF($F373="","",ROUND(Rates!$B$8*(MAX(0,P373-Rates!$B$9)-MAX(0,$D373-Rates!$B$9)),2))</f>
        <v/>
      </c>
      <c r="S373" s="19">
        <f>IF($F373="","",ROUND(Rates!$B$10*IF(Rates!$B$11="Full",P373-$D373,MAX(0,MIN(P373,Rates!$B$13)-Rates!$B$12)-MAX(0,MIN($D373,Rates!$B$13)-Rates!$B$12)),2))</f>
        <v/>
      </c>
      <c r="T373" s="19">
        <f>IF($F373="","",ROUND(Q373+R373+S373,2))</f>
        <v/>
      </c>
    </row>
    <row r="374">
      <c r="A374" s="13" t="n"/>
      <c r="B374" s="13" t="n"/>
      <c r="C374" s="14" t="n"/>
      <c r="D374" s="14" t="n"/>
      <c r="E374" s="15" t="n"/>
      <c r="F374" s="16" t="n"/>
      <c r="G374" s="13" t="n"/>
      <c r="H374" s="13" t="n"/>
      <c r="I374" s="13" t="n"/>
      <c r="J374" s="17">
        <f>IF($F374="","",DATEDIF($F374,Rates!$B$2,"Y"))</f>
        <v/>
      </c>
      <c r="K374" s="18">
        <f>IF($F374="","",IF(UPPER($I374)="Y",Rates!$B$7,IF(J374&gt;=21,Rates!$B$4,IF(J374&gt;=18,Rates!$B$5,Rates!$B$6))))</f>
        <v/>
      </c>
      <c r="L374" s="17">
        <f>IF($F374="","",IF($E374&lt;K374,"Uplift needed","OK"))</f>
        <v/>
      </c>
      <c r="M374" s="17">
        <f>IF($F374="","",IF(AND(J374&lt;21,DATEDIF($F374,Rates!$B$3,"Y")&gt;=21),"Turns 21",IF(AND(J374&lt;18,DATEDIF($F374,Rates!$B$3,"Y")&gt;=18),"Turns 18","")))</f>
        <v/>
      </c>
      <c r="N374" s="18">
        <f>IF($F374="","",MAX($E374,K374))</f>
        <v/>
      </c>
      <c r="O374" s="19">
        <f>IF($F374="","",ROUND($C374*N374/$E374,2))</f>
        <v/>
      </c>
      <c r="P374" s="19">
        <f>IF($F374="","",ROUND($D374*N374/$E374,2))</f>
        <v/>
      </c>
      <c r="Q374" s="19">
        <f>IF($F374="","",ROUND(P374-$D374,2))</f>
        <v/>
      </c>
      <c r="R374" s="19">
        <f>IF($F374="","",ROUND(Rates!$B$8*(MAX(0,P374-Rates!$B$9)-MAX(0,$D374-Rates!$B$9)),2))</f>
        <v/>
      </c>
      <c r="S374" s="19">
        <f>IF($F374="","",ROUND(Rates!$B$10*IF(Rates!$B$11="Full",P374-$D374,MAX(0,MIN(P374,Rates!$B$13)-Rates!$B$12)-MAX(0,MIN($D374,Rates!$B$13)-Rates!$B$12)),2))</f>
        <v/>
      </c>
      <c r="T374" s="19">
        <f>IF($F374="","",ROUND(Q374+R374+S374,2))</f>
        <v/>
      </c>
    </row>
    <row r="375">
      <c r="A375" s="13" t="n"/>
      <c r="B375" s="13" t="n"/>
      <c r="C375" s="14" t="n"/>
      <c r="D375" s="14" t="n"/>
      <c r="E375" s="15" t="n"/>
      <c r="F375" s="16" t="n"/>
      <c r="G375" s="13" t="n"/>
      <c r="H375" s="13" t="n"/>
      <c r="I375" s="13" t="n"/>
      <c r="J375" s="17">
        <f>IF($F375="","",DATEDIF($F375,Rates!$B$2,"Y"))</f>
        <v/>
      </c>
      <c r="K375" s="18">
        <f>IF($F375="","",IF(UPPER($I375)="Y",Rates!$B$7,IF(J375&gt;=21,Rates!$B$4,IF(J375&gt;=18,Rates!$B$5,Rates!$B$6))))</f>
        <v/>
      </c>
      <c r="L375" s="17">
        <f>IF($F375="","",IF($E375&lt;K375,"Uplift needed","OK"))</f>
        <v/>
      </c>
      <c r="M375" s="17">
        <f>IF($F375="","",IF(AND(J375&lt;21,DATEDIF($F375,Rates!$B$3,"Y")&gt;=21),"Turns 21",IF(AND(J375&lt;18,DATEDIF($F375,Rates!$B$3,"Y")&gt;=18),"Turns 18","")))</f>
        <v/>
      </c>
      <c r="N375" s="18">
        <f>IF($F375="","",MAX($E375,K375))</f>
        <v/>
      </c>
      <c r="O375" s="19">
        <f>IF($F375="","",ROUND($C375*N375/$E375,2))</f>
        <v/>
      </c>
      <c r="P375" s="19">
        <f>IF($F375="","",ROUND($D375*N375/$E375,2))</f>
        <v/>
      </c>
      <c r="Q375" s="19">
        <f>IF($F375="","",ROUND(P375-$D375,2))</f>
        <v/>
      </c>
      <c r="R375" s="19">
        <f>IF($F375="","",ROUND(Rates!$B$8*(MAX(0,P375-Rates!$B$9)-MAX(0,$D375-Rates!$B$9)),2))</f>
        <v/>
      </c>
      <c r="S375" s="19">
        <f>IF($F375="","",ROUND(Rates!$B$10*IF(Rates!$B$11="Full",P375-$D375,MAX(0,MIN(P375,Rates!$B$13)-Rates!$B$12)-MAX(0,MIN($D375,Rates!$B$13)-Rates!$B$12)),2))</f>
        <v/>
      </c>
      <c r="T375" s="19">
        <f>IF($F375="","",ROUND(Q375+R375+S375,2))</f>
        <v/>
      </c>
    </row>
    <row r="376">
      <c r="A376" s="13" t="n"/>
      <c r="B376" s="13" t="n"/>
      <c r="C376" s="14" t="n"/>
      <c r="D376" s="14" t="n"/>
      <c r="E376" s="15" t="n"/>
      <c r="F376" s="16" t="n"/>
      <c r="G376" s="13" t="n"/>
      <c r="H376" s="13" t="n"/>
      <c r="I376" s="13" t="n"/>
      <c r="J376" s="17">
        <f>IF($F376="","",DATEDIF($F376,Rates!$B$2,"Y"))</f>
        <v/>
      </c>
      <c r="K376" s="18">
        <f>IF($F376="","",IF(UPPER($I376)="Y",Rates!$B$7,IF(J376&gt;=21,Rates!$B$4,IF(J376&gt;=18,Rates!$B$5,Rates!$B$6))))</f>
        <v/>
      </c>
      <c r="L376" s="17">
        <f>IF($F376="","",IF($E376&lt;K376,"Uplift needed","OK"))</f>
        <v/>
      </c>
      <c r="M376" s="17">
        <f>IF($F376="","",IF(AND(J376&lt;21,DATEDIF($F376,Rates!$B$3,"Y")&gt;=21),"Turns 21",IF(AND(J376&lt;18,DATEDIF($F376,Rates!$B$3,"Y")&gt;=18),"Turns 18","")))</f>
        <v/>
      </c>
      <c r="N376" s="18">
        <f>IF($F376="","",MAX($E376,K376))</f>
        <v/>
      </c>
      <c r="O376" s="19">
        <f>IF($F376="","",ROUND($C376*N376/$E376,2))</f>
        <v/>
      </c>
      <c r="P376" s="19">
        <f>IF($F376="","",ROUND($D376*N376/$E376,2))</f>
        <v/>
      </c>
      <c r="Q376" s="19">
        <f>IF($F376="","",ROUND(P376-$D376,2))</f>
        <v/>
      </c>
      <c r="R376" s="19">
        <f>IF($F376="","",ROUND(Rates!$B$8*(MAX(0,P376-Rates!$B$9)-MAX(0,$D376-Rates!$B$9)),2))</f>
        <v/>
      </c>
      <c r="S376" s="19">
        <f>IF($F376="","",ROUND(Rates!$B$10*IF(Rates!$B$11="Full",P376-$D376,MAX(0,MIN(P376,Rates!$B$13)-Rates!$B$12)-MAX(0,MIN($D376,Rates!$B$13)-Rates!$B$12)),2))</f>
        <v/>
      </c>
      <c r="T376" s="19">
        <f>IF($F376="","",ROUND(Q376+R376+S376,2))</f>
        <v/>
      </c>
    </row>
    <row r="377">
      <c r="A377" s="13" t="n"/>
      <c r="B377" s="13" t="n"/>
      <c r="C377" s="14" t="n"/>
      <c r="D377" s="14" t="n"/>
      <c r="E377" s="15" t="n"/>
      <c r="F377" s="16" t="n"/>
      <c r="G377" s="13" t="n"/>
      <c r="H377" s="13" t="n"/>
      <c r="I377" s="13" t="n"/>
      <c r="J377" s="17">
        <f>IF($F377="","",DATEDIF($F377,Rates!$B$2,"Y"))</f>
        <v/>
      </c>
      <c r="K377" s="18">
        <f>IF($F377="","",IF(UPPER($I377)="Y",Rates!$B$7,IF(J377&gt;=21,Rates!$B$4,IF(J377&gt;=18,Rates!$B$5,Rates!$B$6))))</f>
        <v/>
      </c>
      <c r="L377" s="17">
        <f>IF($F377="","",IF($E377&lt;K377,"Uplift needed","OK"))</f>
        <v/>
      </c>
      <c r="M377" s="17">
        <f>IF($F377="","",IF(AND(J377&lt;21,DATEDIF($F377,Rates!$B$3,"Y")&gt;=21),"Turns 21",IF(AND(J377&lt;18,DATEDIF($F377,Rates!$B$3,"Y")&gt;=18),"Turns 18","")))</f>
        <v/>
      </c>
      <c r="N377" s="18">
        <f>IF($F377="","",MAX($E377,K377))</f>
        <v/>
      </c>
      <c r="O377" s="19">
        <f>IF($F377="","",ROUND($C377*N377/$E377,2))</f>
        <v/>
      </c>
      <c r="P377" s="19">
        <f>IF($F377="","",ROUND($D377*N377/$E377,2))</f>
        <v/>
      </c>
      <c r="Q377" s="19">
        <f>IF($F377="","",ROUND(P377-$D377,2))</f>
        <v/>
      </c>
      <c r="R377" s="19">
        <f>IF($F377="","",ROUND(Rates!$B$8*(MAX(0,P377-Rates!$B$9)-MAX(0,$D377-Rates!$B$9)),2))</f>
        <v/>
      </c>
      <c r="S377" s="19">
        <f>IF($F377="","",ROUND(Rates!$B$10*IF(Rates!$B$11="Full",P377-$D377,MAX(0,MIN(P377,Rates!$B$13)-Rates!$B$12)-MAX(0,MIN($D377,Rates!$B$13)-Rates!$B$12)),2))</f>
        <v/>
      </c>
      <c r="T377" s="19">
        <f>IF($F377="","",ROUND(Q377+R377+S377,2))</f>
        <v/>
      </c>
    </row>
    <row r="378">
      <c r="A378" s="13" t="n"/>
      <c r="B378" s="13" t="n"/>
      <c r="C378" s="14" t="n"/>
      <c r="D378" s="14" t="n"/>
      <c r="E378" s="15" t="n"/>
      <c r="F378" s="16" t="n"/>
      <c r="G378" s="13" t="n"/>
      <c r="H378" s="13" t="n"/>
      <c r="I378" s="13" t="n"/>
      <c r="J378" s="17">
        <f>IF($F378="","",DATEDIF($F378,Rates!$B$2,"Y"))</f>
        <v/>
      </c>
      <c r="K378" s="18">
        <f>IF($F378="","",IF(UPPER($I378)="Y",Rates!$B$7,IF(J378&gt;=21,Rates!$B$4,IF(J378&gt;=18,Rates!$B$5,Rates!$B$6))))</f>
        <v/>
      </c>
      <c r="L378" s="17">
        <f>IF($F378="","",IF($E378&lt;K378,"Uplift needed","OK"))</f>
        <v/>
      </c>
      <c r="M378" s="17">
        <f>IF($F378="","",IF(AND(J378&lt;21,DATEDIF($F378,Rates!$B$3,"Y")&gt;=21),"Turns 21",IF(AND(J378&lt;18,DATEDIF($F378,Rates!$B$3,"Y")&gt;=18),"Turns 18","")))</f>
        <v/>
      </c>
      <c r="N378" s="18">
        <f>IF($F378="","",MAX($E378,K378))</f>
        <v/>
      </c>
      <c r="O378" s="19">
        <f>IF($F378="","",ROUND($C378*N378/$E378,2))</f>
        <v/>
      </c>
      <c r="P378" s="19">
        <f>IF($F378="","",ROUND($D378*N378/$E378,2))</f>
        <v/>
      </c>
      <c r="Q378" s="19">
        <f>IF($F378="","",ROUND(P378-$D378,2))</f>
        <v/>
      </c>
      <c r="R378" s="19">
        <f>IF($F378="","",ROUND(Rates!$B$8*(MAX(0,P378-Rates!$B$9)-MAX(0,$D378-Rates!$B$9)),2))</f>
        <v/>
      </c>
      <c r="S378" s="19">
        <f>IF($F378="","",ROUND(Rates!$B$10*IF(Rates!$B$11="Full",P378-$D378,MAX(0,MIN(P378,Rates!$B$13)-Rates!$B$12)-MAX(0,MIN($D378,Rates!$B$13)-Rates!$B$12)),2))</f>
        <v/>
      </c>
      <c r="T378" s="19">
        <f>IF($F378="","",ROUND(Q378+R378+S378,2))</f>
        <v/>
      </c>
    </row>
    <row r="379">
      <c r="A379" s="13" t="n"/>
      <c r="B379" s="13" t="n"/>
      <c r="C379" s="14" t="n"/>
      <c r="D379" s="14" t="n"/>
      <c r="E379" s="15" t="n"/>
      <c r="F379" s="16" t="n"/>
      <c r="G379" s="13" t="n"/>
      <c r="H379" s="13" t="n"/>
      <c r="I379" s="13" t="n"/>
      <c r="J379" s="17">
        <f>IF($F379="","",DATEDIF($F379,Rates!$B$2,"Y"))</f>
        <v/>
      </c>
      <c r="K379" s="18">
        <f>IF($F379="","",IF(UPPER($I379)="Y",Rates!$B$7,IF(J379&gt;=21,Rates!$B$4,IF(J379&gt;=18,Rates!$B$5,Rates!$B$6))))</f>
        <v/>
      </c>
      <c r="L379" s="17">
        <f>IF($F379="","",IF($E379&lt;K379,"Uplift needed","OK"))</f>
        <v/>
      </c>
      <c r="M379" s="17">
        <f>IF($F379="","",IF(AND(J379&lt;21,DATEDIF($F379,Rates!$B$3,"Y")&gt;=21),"Turns 21",IF(AND(J379&lt;18,DATEDIF($F379,Rates!$B$3,"Y")&gt;=18),"Turns 18","")))</f>
        <v/>
      </c>
      <c r="N379" s="18">
        <f>IF($F379="","",MAX($E379,K379))</f>
        <v/>
      </c>
      <c r="O379" s="19">
        <f>IF($F379="","",ROUND($C379*N379/$E379,2))</f>
        <v/>
      </c>
      <c r="P379" s="19">
        <f>IF($F379="","",ROUND($D379*N379/$E379,2))</f>
        <v/>
      </c>
      <c r="Q379" s="19">
        <f>IF($F379="","",ROUND(P379-$D379,2))</f>
        <v/>
      </c>
      <c r="R379" s="19">
        <f>IF($F379="","",ROUND(Rates!$B$8*(MAX(0,P379-Rates!$B$9)-MAX(0,$D379-Rates!$B$9)),2))</f>
        <v/>
      </c>
      <c r="S379" s="19">
        <f>IF($F379="","",ROUND(Rates!$B$10*IF(Rates!$B$11="Full",P379-$D379,MAX(0,MIN(P379,Rates!$B$13)-Rates!$B$12)-MAX(0,MIN($D379,Rates!$B$13)-Rates!$B$12)),2))</f>
        <v/>
      </c>
      <c r="T379" s="19">
        <f>IF($F379="","",ROUND(Q379+R379+S379,2))</f>
        <v/>
      </c>
    </row>
    <row r="380">
      <c r="A380" s="13" t="n"/>
      <c r="B380" s="13" t="n"/>
      <c r="C380" s="14" t="n"/>
      <c r="D380" s="14" t="n"/>
      <c r="E380" s="15" t="n"/>
      <c r="F380" s="16" t="n"/>
      <c r="G380" s="13" t="n"/>
      <c r="H380" s="13" t="n"/>
      <c r="I380" s="13" t="n"/>
      <c r="J380" s="17">
        <f>IF($F380="","",DATEDIF($F380,Rates!$B$2,"Y"))</f>
        <v/>
      </c>
      <c r="K380" s="18">
        <f>IF($F380="","",IF(UPPER($I380)="Y",Rates!$B$7,IF(J380&gt;=21,Rates!$B$4,IF(J380&gt;=18,Rates!$B$5,Rates!$B$6))))</f>
        <v/>
      </c>
      <c r="L380" s="17">
        <f>IF($F380="","",IF($E380&lt;K380,"Uplift needed","OK"))</f>
        <v/>
      </c>
      <c r="M380" s="17">
        <f>IF($F380="","",IF(AND(J380&lt;21,DATEDIF($F380,Rates!$B$3,"Y")&gt;=21),"Turns 21",IF(AND(J380&lt;18,DATEDIF($F380,Rates!$B$3,"Y")&gt;=18),"Turns 18","")))</f>
        <v/>
      </c>
      <c r="N380" s="18">
        <f>IF($F380="","",MAX($E380,K380))</f>
        <v/>
      </c>
      <c r="O380" s="19">
        <f>IF($F380="","",ROUND($C380*N380/$E380,2))</f>
        <v/>
      </c>
      <c r="P380" s="19">
        <f>IF($F380="","",ROUND($D380*N380/$E380,2))</f>
        <v/>
      </c>
      <c r="Q380" s="19">
        <f>IF($F380="","",ROUND(P380-$D380,2))</f>
        <v/>
      </c>
      <c r="R380" s="19">
        <f>IF($F380="","",ROUND(Rates!$B$8*(MAX(0,P380-Rates!$B$9)-MAX(0,$D380-Rates!$B$9)),2))</f>
        <v/>
      </c>
      <c r="S380" s="19">
        <f>IF($F380="","",ROUND(Rates!$B$10*IF(Rates!$B$11="Full",P380-$D380,MAX(0,MIN(P380,Rates!$B$13)-Rates!$B$12)-MAX(0,MIN($D380,Rates!$B$13)-Rates!$B$12)),2))</f>
        <v/>
      </c>
      <c r="T380" s="19">
        <f>IF($F380="","",ROUND(Q380+R380+S380,2))</f>
        <v/>
      </c>
    </row>
    <row r="381">
      <c r="A381" s="13" t="n"/>
      <c r="B381" s="13" t="n"/>
      <c r="C381" s="14" t="n"/>
      <c r="D381" s="14" t="n"/>
      <c r="E381" s="15" t="n"/>
      <c r="F381" s="16" t="n"/>
      <c r="G381" s="13" t="n"/>
      <c r="H381" s="13" t="n"/>
      <c r="I381" s="13" t="n"/>
      <c r="J381" s="17">
        <f>IF($F381="","",DATEDIF($F381,Rates!$B$2,"Y"))</f>
        <v/>
      </c>
      <c r="K381" s="18">
        <f>IF($F381="","",IF(UPPER($I381)="Y",Rates!$B$7,IF(J381&gt;=21,Rates!$B$4,IF(J381&gt;=18,Rates!$B$5,Rates!$B$6))))</f>
        <v/>
      </c>
      <c r="L381" s="17">
        <f>IF($F381="","",IF($E381&lt;K381,"Uplift needed","OK"))</f>
        <v/>
      </c>
      <c r="M381" s="17">
        <f>IF($F381="","",IF(AND(J381&lt;21,DATEDIF($F381,Rates!$B$3,"Y")&gt;=21),"Turns 21",IF(AND(J381&lt;18,DATEDIF($F381,Rates!$B$3,"Y")&gt;=18),"Turns 18","")))</f>
        <v/>
      </c>
      <c r="N381" s="18">
        <f>IF($F381="","",MAX($E381,K381))</f>
        <v/>
      </c>
      <c r="O381" s="19">
        <f>IF($F381="","",ROUND($C381*N381/$E381,2))</f>
        <v/>
      </c>
      <c r="P381" s="19">
        <f>IF($F381="","",ROUND($D381*N381/$E381,2))</f>
        <v/>
      </c>
      <c r="Q381" s="19">
        <f>IF($F381="","",ROUND(P381-$D381,2))</f>
        <v/>
      </c>
      <c r="R381" s="19">
        <f>IF($F381="","",ROUND(Rates!$B$8*(MAX(0,P381-Rates!$B$9)-MAX(0,$D381-Rates!$B$9)),2))</f>
        <v/>
      </c>
      <c r="S381" s="19">
        <f>IF($F381="","",ROUND(Rates!$B$10*IF(Rates!$B$11="Full",P381-$D381,MAX(0,MIN(P381,Rates!$B$13)-Rates!$B$12)-MAX(0,MIN($D381,Rates!$B$13)-Rates!$B$12)),2))</f>
        <v/>
      </c>
      <c r="T381" s="19">
        <f>IF($F381="","",ROUND(Q381+R381+S381,2))</f>
        <v/>
      </c>
    </row>
    <row r="382">
      <c r="A382" s="13" t="n"/>
      <c r="B382" s="13" t="n"/>
      <c r="C382" s="14" t="n"/>
      <c r="D382" s="14" t="n"/>
      <c r="E382" s="15" t="n"/>
      <c r="F382" s="16" t="n"/>
      <c r="G382" s="13" t="n"/>
      <c r="H382" s="13" t="n"/>
      <c r="I382" s="13" t="n"/>
      <c r="J382" s="17">
        <f>IF($F382="","",DATEDIF($F382,Rates!$B$2,"Y"))</f>
        <v/>
      </c>
      <c r="K382" s="18">
        <f>IF($F382="","",IF(UPPER($I382)="Y",Rates!$B$7,IF(J382&gt;=21,Rates!$B$4,IF(J382&gt;=18,Rates!$B$5,Rates!$B$6))))</f>
        <v/>
      </c>
      <c r="L382" s="17">
        <f>IF($F382="","",IF($E382&lt;K382,"Uplift needed","OK"))</f>
        <v/>
      </c>
      <c r="M382" s="17">
        <f>IF($F382="","",IF(AND(J382&lt;21,DATEDIF($F382,Rates!$B$3,"Y")&gt;=21),"Turns 21",IF(AND(J382&lt;18,DATEDIF($F382,Rates!$B$3,"Y")&gt;=18),"Turns 18","")))</f>
        <v/>
      </c>
      <c r="N382" s="18">
        <f>IF($F382="","",MAX($E382,K382))</f>
        <v/>
      </c>
      <c r="O382" s="19">
        <f>IF($F382="","",ROUND($C382*N382/$E382,2))</f>
        <v/>
      </c>
      <c r="P382" s="19">
        <f>IF($F382="","",ROUND($D382*N382/$E382,2))</f>
        <v/>
      </c>
      <c r="Q382" s="19">
        <f>IF($F382="","",ROUND(P382-$D382,2))</f>
        <v/>
      </c>
      <c r="R382" s="19">
        <f>IF($F382="","",ROUND(Rates!$B$8*(MAX(0,P382-Rates!$B$9)-MAX(0,$D382-Rates!$B$9)),2))</f>
        <v/>
      </c>
      <c r="S382" s="19">
        <f>IF($F382="","",ROUND(Rates!$B$10*IF(Rates!$B$11="Full",P382-$D382,MAX(0,MIN(P382,Rates!$B$13)-Rates!$B$12)-MAX(0,MIN($D382,Rates!$B$13)-Rates!$B$12)),2))</f>
        <v/>
      </c>
      <c r="T382" s="19">
        <f>IF($F382="","",ROUND(Q382+R382+S382,2))</f>
        <v/>
      </c>
    </row>
    <row r="383">
      <c r="A383" s="13" t="n"/>
      <c r="B383" s="13" t="n"/>
      <c r="C383" s="14" t="n"/>
      <c r="D383" s="14" t="n"/>
      <c r="E383" s="15" t="n"/>
      <c r="F383" s="16" t="n"/>
      <c r="G383" s="13" t="n"/>
      <c r="H383" s="13" t="n"/>
      <c r="I383" s="13" t="n"/>
      <c r="J383" s="17">
        <f>IF($F383="","",DATEDIF($F383,Rates!$B$2,"Y"))</f>
        <v/>
      </c>
      <c r="K383" s="18">
        <f>IF($F383="","",IF(UPPER($I383)="Y",Rates!$B$7,IF(J383&gt;=21,Rates!$B$4,IF(J383&gt;=18,Rates!$B$5,Rates!$B$6))))</f>
        <v/>
      </c>
      <c r="L383" s="17">
        <f>IF($F383="","",IF($E383&lt;K383,"Uplift needed","OK"))</f>
        <v/>
      </c>
      <c r="M383" s="17">
        <f>IF($F383="","",IF(AND(J383&lt;21,DATEDIF($F383,Rates!$B$3,"Y")&gt;=21),"Turns 21",IF(AND(J383&lt;18,DATEDIF($F383,Rates!$B$3,"Y")&gt;=18),"Turns 18","")))</f>
        <v/>
      </c>
      <c r="N383" s="18">
        <f>IF($F383="","",MAX($E383,K383))</f>
        <v/>
      </c>
      <c r="O383" s="19">
        <f>IF($F383="","",ROUND($C383*N383/$E383,2))</f>
        <v/>
      </c>
      <c r="P383" s="19">
        <f>IF($F383="","",ROUND($D383*N383/$E383,2))</f>
        <v/>
      </c>
      <c r="Q383" s="19">
        <f>IF($F383="","",ROUND(P383-$D383,2))</f>
        <v/>
      </c>
      <c r="R383" s="19">
        <f>IF($F383="","",ROUND(Rates!$B$8*(MAX(0,P383-Rates!$B$9)-MAX(0,$D383-Rates!$B$9)),2))</f>
        <v/>
      </c>
      <c r="S383" s="19">
        <f>IF($F383="","",ROUND(Rates!$B$10*IF(Rates!$B$11="Full",P383-$D383,MAX(0,MIN(P383,Rates!$B$13)-Rates!$B$12)-MAX(0,MIN($D383,Rates!$B$13)-Rates!$B$12)),2))</f>
        <v/>
      </c>
      <c r="T383" s="19">
        <f>IF($F383="","",ROUND(Q383+R383+S383,2))</f>
        <v/>
      </c>
    </row>
    <row r="384">
      <c r="A384" s="13" t="n"/>
      <c r="B384" s="13" t="n"/>
      <c r="C384" s="14" t="n"/>
      <c r="D384" s="14" t="n"/>
      <c r="E384" s="15" t="n"/>
      <c r="F384" s="16" t="n"/>
      <c r="G384" s="13" t="n"/>
      <c r="H384" s="13" t="n"/>
      <c r="I384" s="13" t="n"/>
      <c r="J384" s="17">
        <f>IF($F384="","",DATEDIF($F384,Rates!$B$2,"Y"))</f>
        <v/>
      </c>
      <c r="K384" s="18">
        <f>IF($F384="","",IF(UPPER($I384)="Y",Rates!$B$7,IF(J384&gt;=21,Rates!$B$4,IF(J384&gt;=18,Rates!$B$5,Rates!$B$6))))</f>
        <v/>
      </c>
      <c r="L384" s="17">
        <f>IF($F384="","",IF($E384&lt;K384,"Uplift needed","OK"))</f>
        <v/>
      </c>
      <c r="M384" s="17">
        <f>IF($F384="","",IF(AND(J384&lt;21,DATEDIF($F384,Rates!$B$3,"Y")&gt;=21),"Turns 21",IF(AND(J384&lt;18,DATEDIF($F384,Rates!$B$3,"Y")&gt;=18),"Turns 18","")))</f>
        <v/>
      </c>
      <c r="N384" s="18">
        <f>IF($F384="","",MAX($E384,K384))</f>
        <v/>
      </c>
      <c r="O384" s="19">
        <f>IF($F384="","",ROUND($C384*N384/$E384,2))</f>
        <v/>
      </c>
      <c r="P384" s="19">
        <f>IF($F384="","",ROUND($D384*N384/$E384,2))</f>
        <v/>
      </c>
      <c r="Q384" s="19">
        <f>IF($F384="","",ROUND(P384-$D384,2))</f>
        <v/>
      </c>
      <c r="R384" s="19">
        <f>IF($F384="","",ROUND(Rates!$B$8*(MAX(0,P384-Rates!$B$9)-MAX(0,$D384-Rates!$B$9)),2))</f>
        <v/>
      </c>
      <c r="S384" s="19">
        <f>IF($F384="","",ROUND(Rates!$B$10*IF(Rates!$B$11="Full",P384-$D384,MAX(0,MIN(P384,Rates!$B$13)-Rates!$B$12)-MAX(0,MIN($D384,Rates!$B$13)-Rates!$B$12)),2))</f>
        <v/>
      </c>
      <c r="T384" s="19">
        <f>IF($F384="","",ROUND(Q384+R384+S384,2))</f>
        <v/>
      </c>
    </row>
    <row r="385">
      <c r="A385" s="13" t="n"/>
      <c r="B385" s="13" t="n"/>
      <c r="C385" s="14" t="n"/>
      <c r="D385" s="14" t="n"/>
      <c r="E385" s="15" t="n"/>
      <c r="F385" s="16" t="n"/>
      <c r="G385" s="13" t="n"/>
      <c r="H385" s="13" t="n"/>
      <c r="I385" s="13" t="n"/>
      <c r="J385" s="17">
        <f>IF($F385="","",DATEDIF($F385,Rates!$B$2,"Y"))</f>
        <v/>
      </c>
      <c r="K385" s="18">
        <f>IF($F385="","",IF(UPPER($I385)="Y",Rates!$B$7,IF(J385&gt;=21,Rates!$B$4,IF(J385&gt;=18,Rates!$B$5,Rates!$B$6))))</f>
        <v/>
      </c>
      <c r="L385" s="17">
        <f>IF($F385="","",IF($E385&lt;K385,"Uplift needed","OK"))</f>
        <v/>
      </c>
      <c r="M385" s="17">
        <f>IF($F385="","",IF(AND(J385&lt;21,DATEDIF($F385,Rates!$B$3,"Y")&gt;=21),"Turns 21",IF(AND(J385&lt;18,DATEDIF($F385,Rates!$B$3,"Y")&gt;=18),"Turns 18","")))</f>
        <v/>
      </c>
      <c r="N385" s="18">
        <f>IF($F385="","",MAX($E385,K385))</f>
        <v/>
      </c>
      <c r="O385" s="19">
        <f>IF($F385="","",ROUND($C385*N385/$E385,2))</f>
        <v/>
      </c>
      <c r="P385" s="19">
        <f>IF($F385="","",ROUND($D385*N385/$E385,2))</f>
        <v/>
      </c>
      <c r="Q385" s="19">
        <f>IF($F385="","",ROUND(P385-$D385,2))</f>
        <v/>
      </c>
      <c r="R385" s="19">
        <f>IF($F385="","",ROUND(Rates!$B$8*(MAX(0,P385-Rates!$B$9)-MAX(0,$D385-Rates!$B$9)),2))</f>
        <v/>
      </c>
      <c r="S385" s="19">
        <f>IF($F385="","",ROUND(Rates!$B$10*IF(Rates!$B$11="Full",P385-$D385,MAX(0,MIN(P385,Rates!$B$13)-Rates!$B$12)-MAX(0,MIN($D385,Rates!$B$13)-Rates!$B$12)),2))</f>
        <v/>
      </c>
      <c r="T385" s="19">
        <f>IF($F385="","",ROUND(Q385+R385+S385,2))</f>
        <v/>
      </c>
    </row>
    <row r="386">
      <c r="A386" s="13" t="n"/>
      <c r="B386" s="13" t="n"/>
      <c r="C386" s="14" t="n"/>
      <c r="D386" s="14" t="n"/>
      <c r="E386" s="15" t="n"/>
      <c r="F386" s="16" t="n"/>
      <c r="G386" s="13" t="n"/>
      <c r="H386" s="13" t="n"/>
      <c r="I386" s="13" t="n"/>
      <c r="J386" s="17">
        <f>IF($F386="","",DATEDIF($F386,Rates!$B$2,"Y"))</f>
        <v/>
      </c>
      <c r="K386" s="18">
        <f>IF($F386="","",IF(UPPER($I386)="Y",Rates!$B$7,IF(J386&gt;=21,Rates!$B$4,IF(J386&gt;=18,Rates!$B$5,Rates!$B$6))))</f>
        <v/>
      </c>
      <c r="L386" s="17">
        <f>IF($F386="","",IF($E386&lt;K386,"Uplift needed","OK"))</f>
        <v/>
      </c>
      <c r="M386" s="17">
        <f>IF($F386="","",IF(AND(J386&lt;21,DATEDIF($F386,Rates!$B$3,"Y")&gt;=21),"Turns 21",IF(AND(J386&lt;18,DATEDIF($F386,Rates!$B$3,"Y")&gt;=18),"Turns 18","")))</f>
        <v/>
      </c>
      <c r="N386" s="18">
        <f>IF($F386="","",MAX($E386,K386))</f>
        <v/>
      </c>
      <c r="O386" s="19">
        <f>IF($F386="","",ROUND($C386*N386/$E386,2))</f>
        <v/>
      </c>
      <c r="P386" s="19">
        <f>IF($F386="","",ROUND($D386*N386/$E386,2))</f>
        <v/>
      </c>
      <c r="Q386" s="19">
        <f>IF($F386="","",ROUND(P386-$D386,2))</f>
        <v/>
      </c>
      <c r="R386" s="19">
        <f>IF($F386="","",ROUND(Rates!$B$8*(MAX(0,P386-Rates!$B$9)-MAX(0,$D386-Rates!$B$9)),2))</f>
        <v/>
      </c>
      <c r="S386" s="19">
        <f>IF($F386="","",ROUND(Rates!$B$10*IF(Rates!$B$11="Full",P386-$D386,MAX(0,MIN(P386,Rates!$B$13)-Rates!$B$12)-MAX(0,MIN($D386,Rates!$B$13)-Rates!$B$12)),2))</f>
        <v/>
      </c>
      <c r="T386" s="19">
        <f>IF($F386="","",ROUND(Q386+R386+S386,2))</f>
        <v/>
      </c>
    </row>
    <row r="387">
      <c r="A387" s="13" t="n"/>
      <c r="B387" s="13" t="n"/>
      <c r="C387" s="14" t="n"/>
      <c r="D387" s="14" t="n"/>
      <c r="E387" s="15" t="n"/>
      <c r="F387" s="16" t="n"/>
      <c r="G387" s="13" t="n"/>
      <c r="H387" s="13" t="n"/>
      <c r="I387" s="13" t="n"/>
      <c r="J387" s="17">
        <f>IF($F387="","",DATEDIF($F387,Rates!$B$2,"Y"))</f>
        <v/>
      </c>
      <c r="K387" s="18">
        <f>IF($F387="","",IF(UPPER($I387)="Y",Rates!$B$7,IF(J387&gt;=21,Rates!$B$4,IF(J387&gt;=18,Rates!$B$5,Rates!$B$6))))</f>
        <v/>
      </c>
      <c r="L387" s="17">
        <f>IF($F387="","",IF($E387&lt;K387,"Uplift needed","OK"))</f>
        <v/>
      </c>
      <c r="M387" s="17">
        <f>IF($F387="","",IF(AND(J387&lt;21,DATEDIF($F387,Rates!$B$3,"Y")&gt;=21),"Turns 21",IF(AND(J387&lt;18,DATEDIF($F387,Rates!$B$3,"Y")&gt;=18),"Turns 18","")))</f>
        <v/>
      </c>
      <c r="N387" s="18">
        <f>IF($F387="","",MAX($E387,K387))</f>
        <v/>
      </c>
      <c r="O387" s="19">
        <f>IF($F387="","",ROUND($C387*N387/$E387,2))</f>
        <v/>
      </c>
      <c r="P387" s="19">
        <f>IF($F387="","",ROUND($D387*N387/$E387,2))</f>
        <v/>
      </c>
      <c r="Q387" s="19">
        <f>IF($F387="","",ROUND(P387-$D387,2))</f>
        <v/>
      </c>
      <c r="R387" s="19">
        <f>IF($F387="","",ROUND(Rates!$B$8*(MAX(0,P387-Rates!$B$9)-MAX(0,$D387-Rates!$B$9)),2))</f>
        <v/>
      </c>
      <c r="S387" s="19">
        <f>IF($F387="","",ROUND(Rates!$B$10*IF(Rates!$B$11="Full",P387-$D387,MAX(0,MIN(P387,Rates!$B$13)-Rates!$B$12)-MAX(0,MIN($D387,Rates!$B$13)-Rates!$B$12)),2))</f>
        <v/>
      </c>
      <c r="T387" s="19">
        <f>IF($F387="","",ROUND(Q387+R387+S387,2))</f>
        <v/>
      </c>
    </row>
    <row r="388">
      <c r="A388" s="13" t="n"/>
      <c r="B388" s="13" t="n"/>
      <c r="C388" s="14" t="n"/>
      <c r="D388" s="14" t="n"/>
      <c r="E388" s="15" t="n"/>
      <c r="F388" s="16" t="n"/>
      <c r="G388" s="13" t="n"/>
      <c r="H388" s="13" t="n"/>
      <c r="I388" s="13" t="n"/>
      <c r="J388" s="17">
        <f>IF($F388="","",DATEDIF($F388,Rates!$B$2,"Y"))</f>
        <v/>
      </c>
      <c r="K388" s="18">
        <f>IF($F388="","",IF(UPPER($I388)="Y",Rates!$B$7,IF(J388&gt;=21,Rates!$B$4,IF(J388&gt;=18,Rates!$B$5,Rates!$B$6))))</f>
        <v/>
      </c>
      <c r="L388" s="17">
        <f>IF($F388="","",IF($E388&lt;K388,"Uplift needed","OK"))</f>
        <v/>
      </c>
      <c r="M388" s="17">
        <f>IF($F388="","",IF(AND(J388&lt;21,DATEDIF($F388,Rates!$B$3,"Y")&gt;=21),"Turns 21",IF(AND(J388&lt;18,DATEDIF($F388,Rates!$B$3,"Y")&gt;=18),"Turns 18","")))</f>
        <v/>
      </c>
      <c r="N388" s="18">
        <f>IF($F388="","",MAX($E388,K388))</f>
        <v/>
      </c>
      <c r="O388" s="19">
        <f>IF($F388="","",ROUND($C388*N388/$E388,2))</f>
        <v/>
      </c>
      <c r="P388" s="19">
        <f>IF($F388="","",ROUND($D388*N388/$E388,2))</f>
        <v/>
      </c>
      <c r="Q388" s="19">
        <f>IF($F388="","",ROUND(P388-$D388,2))</f>
        <v/>
      </c>
      <c r="R388" s="19">
        <f>IF($F388="","",ROUND(Rates!$B$8*(MAX(0,P388-Rates!$B$9)-MAX(0,$D388-Rates!$B$9)),2))</f>
        <v/>
      </c>
      <c r="S388" s="19">
        <f>IF($F388="","",ROUND(Rates!$B$10*IF(Rates!$B$11="Full",P388-$D388,MAX(0,MIN(P388,Rates!$B$13)-Rates!$B$12)-MAX(0,MIN($D388,Rates!$B$13)-Rates!$B$12)),2))</f>
        <v/>
      </c>
      <c r="T388" s="19">
        <f>IF($F388="","",ROUND(Q388+R388+S388,2))</f>
        <v/>
      </c>
    </row>
    <row r="389">
      <c r="A389" s="13" t="n"/>
      <c r="B389" s="13" t="n"/>
      <c r="C389" s="14" t="n"/>
      <c r="D389" s="14" t="n"/>
      <c r="E389" s="15" t="n"/>
      <c r="F389" s="16" t="n"/>
      <c r="G389" s="13" t="n"/>
      <c r="H389" s="13" t="n"/>
      <c r="I389" s="13" t="n"/>
      <c r="J389" s="17">
        <f>IF($F389="","",DATEDIF($F389,Rates!$B$2,"Y"))</f>
        <v/>
      </c>
      <c r="K389" s="18">
        <f>IF($F389="","",IF(UPPER($I389)="Y",Rates!$B$7,IF(J389&gt;=21,Rates!$B$4,IF(J389&gt;=18,Rates!$B$5,Rates!$B$6))))</f>
        <v/>
      </c>
      <c r="L389" s="17">
        <f>IF($F389="","",IF($E389&lt;K389,"Uplift needed","OK"))</f>
        <v/>
      </c>
      <c r="M389" s="17">
        <f>IF($F389="","",IF(AND(J389&lt;21,DATEDIF($F389,Rates!$B$3,"Y")&gt;=21),"Turns 21",IF(AND(J389&lt;18,DATEDIF($F389,Rates!$B$3,"Y")&gt;=18),"Turns 18","")))</f>
        <v/>
      </c>
      <c r="N389" s="18">
        <f>IF($F389="","",MAX($E389,K389))</f>
        <v/>
      </c>
      <c r="O389" s="19">
        <f>IF($F389="","",ROUND($C389*N389/$E389,2))</f>
        <v/>
      </c>
      <c r="P389" s="19">
        <f>IF($F389="","",ROUND($D389*N389/$E389,2))</f>
        <v/>
      </c>
      <c r="Q389" s="19">
        <f>IF($F389="","",ROUND(P389-$D389,2))</f>
        <v/>
      </c>
      <c r="R389" s="19">
        <f>IF($F389="","",ROUND(Rates!$B$8*(MAX(0,P389-Rates!$B$9)-MAX(0,$D389-Rates!$B$9)),2))</f>
        <v/>
      </c>
      <c r="S389" s="19">
        <f>IF($F389="","",ROUND(Rates!$B$10*IF(Rates!$B$11="Full",P389-$D389,MAX(0,MIN(P389,Rates!$B$13)-Rates!$B$12)-MAX(0,MIN($D389,Rates!$B$13)-Rates!$B$12)),2))</f>
        <v/>
      </c>
      <c r="T389" s="19">
        <f>IF($F389="","",ROUND(Q389+R389+S389,2))</f>
        <v/>
      </c>
    </row>
    <row r="390">
      <c r="A390" s="13" t="n"/>
      <c r="B390" s="13" t="n"/>
      <c r="C390" s="14" t="n"/>
      <c r="D390" s="14" t="n"/>
      <c r="E390" s="15" t="n"/>
      <c r="F390" s="16" t="n"/>
      <c r="G390" s="13" t="n"/>
      <c r="H390" s="13" t="n"/>
      <c r="I390" s="13" t="n"/>
      <c r="J390" s="17">
        <f>IF($F390="","",DATEDIF($F390,Rates!$B$2,"Y"))</f>
        <v/>
      </c>
      <c r="K390" s="18">
        <f>IF($F390="","",IF(UPPER($I390)="Y",Rates!$B$7,IF(J390&gt;=21,Rates!$B$4,IF(J390&gt;=18,Rates!$B$5,Rates!$B$6))))</f>
        <v/>
      </c>
      <c r="L390" s="17">
        <f>IF($F390="","",IF($E390&lt;K390,"Uplift needed","OK"))</f>
        <v/>
      </c>
      <c r="M390" s="17">
        <f>IF($F390="","",IF(AND(J390&lt;21,DATEDIF($F390,Rates!$B$3,"Y")&gt;=21),"Turns 21",IF(AND(J390&lt;18,DATEDIF($F390,Rates!$B$3,"Y")&gt;=18),"Turns 18","")))</f>
        <v/>
      </c>
      <c r="N390" s="18">
        <f>IF($F390="","",MAX($E390,K390))</f>
        <v/>
      </c>
      <c r="O390" s="19">
        <f>IF($F390="","",ROUND($C390*N390/$E390,2))</f>
        <v/>
      </c>
      <c r="P390" s="19">
        <f>IF($F390="","",ROUND($D390*N390/$E390,2))</f>
        <v/>
      </c>
      <c r="Q390" s="19">
        <f>IF($F390="","",ROUND(P390-$D390,2))</f>
        <v/>
      </c>
      <c r="R390" s="19">
        <f>IF($F390="","",ROUND(Rates!$B$8*(MAX(0,P390-Rates!$B$9)-MAX(0,$D390-Rates!$B$9)),2))</f>
        <v/>
      </c>
      <c r="S390" s="19">
        <f>IF($F390="","",ROUND(Rates!$B$10*IF(Rates!$B$11="Full",P390-$D390,MAX(0,MIN(P390,Rates!$B$13)-Rates!$B$12)-MAX(0,MIN($D390,Rates!$B$13)-Rates!$B$12)),2))</f>
        <v/>
      </c>
      <c r="T390" s="19">
        <f>IF($F390="","",ROUND(Q390+R390+S390,2))</f>
        <v/>
      </c>
    </row>
    <row r="391">
      <c r="A391" s="13" t="n"/>
      <c r="B391" s="13" t="n"/>
      <c r="C391" s="14" t="n"/>
      <c r="D391" s="14" t="n"/>
      <c r="E391" s="15" t="n"/>
      <c r="F391" s="16" t="n"/>
      <c r="G391" s="13" t="n"/>
      <c r="H391" s="13" t="n"/>
      <c r="I391" s="13" t="n"/>
      <c r="J391" s="17">
        <f>IF($F391="","",DATEDIF($F391,Rates!$B$2,"Y"))</f>
        <v/>
      </c>
      <c r="K391" s="18">
        <f>IF($F391="","",IF(UPPER($I391)="Y",Rates!$B$7,IF(J391&gt;=21,Rates!$B$4,IF(J391&gt;=18,Rates!$B$5,Rates!$B$6))))</f>
        <v/>
      </c>
      <c r="L391" s="17">
        <f>IF($F391="","",IF($E391&lt;K391,"Uplift needed","OK"))</f>
        <v/>
      </c>
      <c r="M391" s="17">
        <f>IF($F391="","",IF(AND(J391&lt;21,DATEDIF($F391,Rates!$B$3,"Y")&gt;=21),"Turns 21",IF(AND(J391&lt;18,DATEDIF($F391,Rates!$B$3,"Y")&gt;=18),"Turns 18","")))</f>
        <v/>
      </c>
      <c r="N391" s="18">
        <f>IF($F391="","",MAX($E391,K391))</f>
        <v/>
      </c>
      <c r="O391" s="19">
        <f>IF($F391="","",ROUND($C391*N391/$E391,2))</f>
        <v/>
      </c>
      <c r="P391" s="19">
        <f>IF($F391="","",ROUND($D391*N391/$E391,2))</f>
        <v/>
      </c>
      <c r="Q391" s="19">
        <f>IF($F391="","",ROUND(P391-$D391,2))</f>
        <v/>
      </c>
      <c r="R391" s="19">
        <f>IF($F391="","",ROUND(Rates!$B$8*(MAX(0,P391-Rates!$B$9)-MAX(0,$D391-Rates!$B$9)),2))</f>
        <v/>
      </c>
      <c r="S391" s="19">
        <f>IF($F391="","",ROUND(Rates!$B$10*IF(Rates!$B$11="Full",P391-$D391,MAX(0,MIN(P391,Rates!$B$13)-Rates!$B$12)-MAX(0,MIN($D391,Rates!$B$13)-Rates!$B$12)),2))</f>
        <v/>
      </c>
      <c r="T391" s="19">
        <f>IF($F391="","",ROUND(Q391+R391+S391,2))</f>
        <v/>
      </c>
    </row>
    <row r="392">
      <c r="A392" s="13" t="n"/>
      <c r="B392" s="13" t="n"/>
      <c r="C392" s="14" t="n"/>
      <c r="D392" s="14" t="n"/>
      <c r="E392" s="15" t="n"/>
      <c r="F392" s="16" t="n"/>
      <c r="G392" s="13" t="n"/>
      <c r="H392" s="13" t="n"/>
      <c r="I392" s="13" t="n"/>
      <c r="J392" s="17">
        <f>IF($F392="","",DATEDIF($F392,Rates!$B$2,"Y"))</f>
        <v/>
      </c>
      <c r="K392" s="18">
        <f>IF($F392="","",IF(UPPER($I392)="Y",Rates!$B$7,IF(J392&gt;=21,Rates!$B$4,IF(J392&gt;=18,Rates!$B$5,Rates!$B$6))))</f>
        <v/>
      </c>
      <c r="L392" s="17">
        <f>IF($F392="","",IF($E392&lt;K392,"Uplift needed","OK"))</f>
        <v/>
      </c>
      <c r="M392" s="17">
        <f>IF($F392="","",IF(AND(J392&lt;21,DATEDIF($F392,Rates!$B$3,"Y")&gt;=21),"Turns 21",IF(AND(J392&lt;18,DATEDIF($F392,Rates!$B$3,"Y")&gt;=18),"Turns 18","")))</f>
        <v/>
      </c>
      <c r="N392" s="18">
        <f>IF($F392="","",MAX($E392,K392))</f>
        <v/>
      </c>
      <c r="O392" s="19">
        <f>IF($F392="","",ROUND($C392*N392/$E392,2))</f>
        <v/>
      </c>
      <c r="P392" s="19">
        <f>IF($F392="","",ROUND($D392*N392/$E392,2))</f>
        <v/>
      </c>
      <c r="Q392" s="19">
        <f>IF($F392="","",ROUND(P392-$D392,2))</f>
        <v/>
      </c>
      <c r="R392" s="19">
        <f>IF($F392="","",ROUND(Rates!$B$8*(MAX(0,P392-Rates!$B$9)-MAX(0,$D392-Rates!$B$9)),2))</f>
        <v/>
      </c>
      <c r="S392" s="19">
        <f>IF($F392="","",ROUND(Rates!$B$10*IF(Rates!$B$11="Full",P392-$D392,MAX(0,MIN(P392,Rates!$B$13)-Rates!$B$12)-MAX(0,MIN($D392,Rates!$B$13)-Rates!$B$12)),2))</f>
        <v/>
      </c>
      <c r="T392" s="19">
        <f>IF($F392="","",ROUND(Q392+R392+S392,2))</f>
        <v/>
      </c>
    </row>
    <row r="393">
      <c r="A393" s="13" t="n"/>
      <c r="B393" s="13" t="n"/>
      <c r="C393" s="14" t="n"/>
      <c r="D393" s="14" t="n"/>
      <c r="E393" s="15" t="n"/>
      <c r="F393" s="16" t="n"/>
      <c r="G393" s="13" t="n"/>
      <c r="H393" s="13" t="n"/>
      <c r="I393" s="13" t="n"/>
      <c r="J393" s="17">
        <f>IF($F393="","",DATEDIF($F393,Rates!$B$2,"Y"))</f>
        <v/>
      </c>
      <c r="K393" s="18">
        <f>IF($F393="","",IF(UPPER($I393)="Y",Rates!$B$7,IF(J393&gt;=21,Rates!$B$4,IF(J393&gt;=18,Rates!$B$5,Rates!$B$6))))</f>
        <v/>
      </c>
      <c r="L393" s="17">
        <f>IF($F393="","",IF($E393&lt;K393,"Uplift needed","OK"))</f>
        <v/>
      </c>
      <c r="M393" s="17">
        <f>IF($F393="","",IF(AND(J393&lt;21,DATEDIF($F393,Rates!$B$3,"Y")&gt;=21),"Turns 21",IF(AND(J393&lt;18,DATEDIF($F393,Rates!$B$3,"Y")&gt;=18),"Turns 18","")))</f>
        <v/>
      </c>
      <c r="N393" s="18">
        <f>IF($F393="","",MAX($E393,K393))</f>
        <v/>
      </c>
      <c r="O393" s="19">
        <f>IF($F393="","",ROUND($C393*N393/$E393,2))</f>
        <v/>
      </c>
      <c r="P393" s="19">
        <f>IF($F393="","",ROUND($D393*N393/$E393,2))</f>
        <v/>
      </c>
      <c r="Q393" s="19">
        <f>IF($F393="","",ROUND(P393-$D393,2))</f>
        <v/>
      </c>
      <c r="R393" s="19">
        <f>IF($F393="","",ROUND(Rates!$B$8*(MAX(0,P393-Rates!$B$9)-MAX(0,$D393-Rates!$B$9)),2))</f>
        <v/>
      </c>
      <c r="S393" s="19">
        <f>IF($F393="","",ROUND(Rates!$B$10*IF(Rates!$B$11="Full",P393-$D393,MAX(0,MIN(P393,Rates!$B$13)-Rates!$B$12)-MAX(0,MIN($D393,Rates!$B$13)-Rates!$B$12)),2))</f>
        <v/>
      </c>
      <c r="T393" s="19">
        <f>IF($F393="","",ROUND(Q393+R393+S393,2))</f>
        <v/>
      </c>
    </row>
    <row r="394">
      <c r="A394" s="13" t="n"/>
      <c r="B394" s="13" t="n"/>
      <c r="C394" s="14" t="n"/>
      <c r="D394" s="14" t="n"/>
      <c r="E394" s="15" t="n"/>
      <c r="F394" s="16" t="n"/>
      <c r="G394" s="13" t="n"/>
      <c r="H394" s="13" t="n"/>
      <c r="I394" s="13" t="n"/>
      <c r="J394" s="17">
        <f>IF($F394="","",DATEDIF($F394,Rates!$B$2,"Y"))</f>
        <v/>
      </c>
      <c r="K394" s="18">
        <f>IF($F394="","",IF(UPPER($I394)="Y",Rates!$B$7,IF(J394&gt;=21,Rates!$B$4,IF(J394&gt;=18,Rates!$B$5,Rates!$B$6))))</f>
        <v/>
      </c>
      <c r="L394" s="17">
        <f>IF($F394="","",IF($E394&lt;K394,"Uplift needed","OK"))</f>
        <v/>
      </c>
      <c r="M394" s="17">
        <f>IF($F394="","",IF(AND(J394&lt;21,DATEDIF($F394,Rates!$B$3,"Y")&gt;=21),"Turns 21",IF(AND(J394&lt;18,DATEDIF($F394,Rates!$B$3,"Y")&gt;=18),"Turns 18","")))</f>
        <v/>
      </c>
      <c r="N394" s="18">
        <f>IF($F394="","",MAX($E394,K394))</f>
        <v/>
      </c>
      <c r="O394" s="19">
        <f>IF($F394="","",ROUND($C394*N394/$E394,2))</f>
        <v/>
      </c>
      <c r="P394" s="19">
        <f>IF($F394="","",ROUND($D394*N394/$E394,2))</f>
        <v/>
      </c>
      <c r="Q394" s="19">
        <f>IF($F394="","",ROUND(P394-$D394,2))</f>
        <v/>
      </c>
      <c r="R394" s="19">
        <f>IF($F394="","",ROUND(Rates!$B$8*(MAX(0,P394-Rates!$B$9)-MAX(0,$D394-Rates!$B$9)),2))</f>
        <v/>
      </c>
      <c r="S394" s="19">
        <f>IF($F394="","",ROUND(Rates!$B$10*IF(Rates!$B$11="Full",P394-$D394,MAX(0,MIN(P394,Rates!$B$13)-Rates!$B$12)-MAX(0,MIN($D394,Rates!$B$13)-Rates!$B$12)),2))</f>
        <v/>
      </c>
      <c r="T394" s="19">
        <f>IF($F394="","",ROUND(Q394+R394+S394,2))</f>
        <v/>
      </c>
    </row>
    <row r="395">
      <c r="A395" s="13" t="n"/>
      <c r="B395" s="13" t="n"/>
      <c r="C395" s="14" t="n"/>
      <c r="D395" s="14" t="n"/>
      <c r="E395" s="15" t="n"/>
      <c r="F395" s="16" t="n"/>
      <c r="G395" s="13" t="n"/>
      <c r="H395" s="13" t="n"/>
      <c r="I395" s="13" t="n"/>
      <c r="J395" s="17">
        <f>IF($F395="","",DATEDIF($F395,Rates!$B$2,"Y"))</f>
        <v/>
      </c>
      <c r="K395" s="18">
        <f>IF($F395="","",IF(UPPER($I395)="Y",Rates!$B$7,IF(J395&gt;=21,Rates!$B$4,IF(J395&gt;=18,Rates!$B$5,Rates!$B$6))))</f>
        <v/>
      </c>
      <c r="L395" s="17">
        <f>IF($F395="","",IF($E395&lt;K395,"Uplift needed","OK"))</f>
        <v/>
      </c>
      <c r="M395" s="17">
        <f>IF($F395="","",IF(AND(J395&lt;21,DATEDIF($F395,Rates!$B$3,"Y")&gt;=21),"Turns 21",IF(AND(J395&lt;18,DATEDIF($F395,Rates!$B$3,"Y")&gt;=18),"Turns 18","")))</f>
        <v/>
      </c>
      <c r="N395" s="18">
        <f>IF($F395="","",MAX($E395,K395))</f>
        <v/>
      </c>
      <c r="O395" s="19">
        <f>IF($F395="","",ROUND($C395*N395/$E395,2))</f>
        <v/>
      </c>
      <c r="P395" s="19">
        <f>IF($F395="","",ROUND($D395*N395/$E395,2))</f>
        <v/>
      </c>
      <c r="Q395" s="19">
        <f>IF($F395="","",ROUND(P395-$D395,2))</f>
        <v/>
      </c>
      <c r="R395" s="19">
        <f>IF($F395="","",ROUND(Rates!$B$8*(MAX(0,P395-Rates!$B$9)-MAX(0,$D395-Rates!$B$9)),2))</f>
        <v/>
      </c>
      <c r="S395" s="19">
        <f>IF($F395="","",ROUND(Rates!$B$10*IF(Rates!$B$11="Full",P395-$D395,MAX(0,MIN(P395,Rates!$B$13)-Rates!$B$12)-MAX(0,MIN($D395,Rates!$B$13)-Rates!$B$12)),2))</f>
        <v/>
      </c>
      <c r="T395" s="19">
        <f>IF($F395="","",ROUND(Q395+R395+S395,2))</f>
        <v/>
      </c>
    </row>
    <row r="396">
      <c r="A396" s="13" t="n"/>
      <c r="B396" s="13" t="n"/>
      <c r="C396" s="14" t="n"/>
      <c r="D396" s="14" t="n"/>
      <c r="E396" s="15" t="n"/>
      <c r="F396" s="16" t="n"/>
      <c r="G396" s="13" t="n"/>
      <c r="H396" s="13" t="n"/>
      <c r="I396" s="13" t="n"/>
      <c r="J396" s="17">
        <f>IF($F396="","",DATEDIF($F396,Rates!$B$2,"Y"))</f>
        <v/>
      </c>
      <c r="K396" s="18">
        <f>IF($F396="","",IF(UPPER($I396)="Y",Rates!$B$7,IF(J396&gt;=21,Rates!$B$4,IF(J396&gt;=18,Rates!$B$5,Rates!$B$6))))</f>
        <v/>
      </c>
      <c r="L396" s="17">
        <f>IF($F396="","",IF($E396&lt;K396,"Uplift needed","OK"))</f>
        <v/>
      </c>
      <c r="M396" s="17">
        <f>IF($F396="","",IF(AND(J396&lt;21,DATEDIF($F396,Rates!$B$3,"Y")&gt;=21),"Turns 21",IF(AND(J396&lt;18,DATEDIF($F396,Rates!$B$3,"Y")&gt;=18),"Turns 18","")))</f>
        <v/>
      </c>
      <c r="N396" s="18">
        <f>IF($F396="","",MAX($E396,K396))</f>
        <v/>
      </c>
      <c r="O396" s="19">
        <f>IF($F396="","",ROUND($C396*N396/$E396,2))</f>
        <v/>
      </c>
      <c r="P396" s="19">
        <f>IF($F396="","",ROUND($D396*N396/$E396,2))</f>
        <v/>
      </c>
      <c r="Q396" s="19">
        <f>IF($F396="","",ROUND(P396-$D396,2))</f>
        <v/>
      </c>
      <c r="R396" s="19">
        <f>IF($F396="","",ROUND(Rates!$B$8*(MAX(0,P396-Rates!$B$9)-MAX(0,$D396-Rates!$B$9)),2))</f>
        <v/>
      </c>
      <c r="S396" s="19">
        <f>IF($F396="","",ROUND(Rates!$B$10*IF(Rates!$B$11="Full",P396-$D396,MAX(0,MIN(P396,Rates!$B$13)-Rates!$B$12)-MAX(0,MIN($D396,Rates!$B$13)-Rates!$B$12)),2))</f>
        <v/>
      </c>
      <c r="T396" s="19">
        <f>IF($F396="","",ROUND(Q396+R396+S396,2))</f>
        <v/>
      </c>
    </row>
    <row r="397">
      <c r="A397" s="13" t="n"/>
      <c r="B397" s="13" t="n"/>
      <c r="C397" s="14" t="n"/>
      <c r="D397" s="14" t="n"/>
      <c r="E397" s="15" t="n"/>
      <c r="F397" s="16" t="n"/>
      <c r="G397" s="13" t="n"/>
      <c r="H397" s="13" t="n"/>
      <c r="I397" s="13" t="n"/>
      <c r="J397" s="17">
        <f>IF($F397="","",DATEDIF($F397,Rates!$B$2,"Y"))</f>
        <v/>
      </c>
      <c r="K397" s="18">
        <f>IF($F397="","",IF(UPPER($I397)="Y",Rates!$B$7,IF(J397&gt;=21,Rates!$B$4,IF(J397&gt;=18,Rates!$B$5,Rates!$B$6))))</f>
        <v/>
      </c>
      <c r="L397" s="17">
        <f>IF($F397="","",IF($E397&lt;K397,"Uplift needed","OK"))</f>
        <v/>
      </c>
      <c r="M397" s="17">
        <f>IF($F397="","",IF(AND(J397&lt;21,DATEDIF($F397,Rates!$B$3,"Y")&gt;=21),"Turns 21",IF(AND(J397&lt;18,DATEDIF($F397,Rates!$B$3,"Y")&gt;=18),"Turns 18","")))</f>
        <v/>
      </c>
      <c r="N397" s="18">
        <f>IF($F397="","",MAX($E397,K397))</f>
        <v/>
      </c>
      <c r="O397" s="19">
        <f>IF($F397="","",ROUND($C397*N397/$E397,2))</f>
        <v/>
      </c>
      <c r="P397" s="19">
        <f>IF($F397="","",ROUND($D397*N397/$E397,2))</f>
        <v/>
      </c>
      <c r="Q397" s="19">
        <f>IF($F397="","",ROUND(P397-$D397,2))</f>
        <v/>
      </c>
      <c r="R397" s="19">
        <f>IF($F397="","",ROUND(Rates!$B$8*(MAX(0,P397-Rates!$B$9)-MAX(0,$D397-Rates!$B$9)),2))</f>
        <v/>
      </c>
      <c r="S397" s="19">
        <f>IF($F397="","",ROUND(Rates!$B$10*IF(Rates!$B$11="Full",P397-$D397,MAX(0,MIN(P397,Rates!$B$13)-Rates!$B$12)-MAX(0,MIN($D397,Rates!$B$13)-Rates!$B$12)),2))</f>
        <v/>
      </c>
      <c r="T397" s="19">
        <f>IF($F397="","",ROUND(Q397+R397+S397,2))</f>
        <v/>
      </c>
    </row>
    <row r="398">
      <c r="A398" s="13" t="n"/>
      <c r="B398" s="13" t="n"/>
      <c r="C398" s="14" t="n"/>
      <c r="D398" s="14" t="n"/>
      <c r="E398" s="15" t="n"/>
      <c r="F398" s="16" t="n"/>
      <c r="G398" s="13" t="n"/>
      <c r="H398" s="13" t="n"/>
      <c r="I398" s="13" t="n"/>
      <c r="J398" s="17">
        <f>IF($F398="","",DATEDIF($F398,Rates!$B$2,"Y"))</f>
        <v/>
      </c>
      <c r="K398" s="18">
        <f>IF($F398="","",IF(UPPER($I398)="Y",Rates!$B$7,IF(J398&gt;=21,Rates!$B$4,IF(J398&gt;=18,Rates!$B$5,Rates!$B$6))))</f>
        <v/>
      </c>
      <c r="L398" s="17">
        <f>IF($F398="","",IF($E398&lt;K398,"Uplift needed","OK"))</f>
        <v/>
      </c>
      <c r="M398" s="17">
        <f>IF($F398="","",IF(AND(J398&lt;21,DATEDIF($F398,Rates!$B$3,"Y")&gt;=21),"Turns 21",IF(AND(J398&lt;18,DATEDIF($F398,Rates!$B$3,"Y")&gt;=18),"Turns 18","")))</f>
        <v/>
      </c>
      <c r="N398" s="18">
        <f>IF($F398="","",MAX($E398,K398))</f>
        <v/>
      </c>
      <c r="O398" s="19">
        <f>IF($F398="","",ROUND($C398*N398/$E398,2))</f>
        <v/>
      </c>
      <c r="P398" s="19">
        <f>IF($F398="","",ROUND($D398*N398/$E398,2))</f>
        <v/>
      </c>
      <c r="Q398" s="19">
        <f>IF($F398="","",ROUND(P398-$D398,2))</f>
        <v/>
      </c>
      <c r="R398" s="19">
        <f>IF($F398="","",ROUND(Rates!$B$8*(MAX(0,P398-Rates!$B$9)-MAX(0,$D398-Rates!$B$9)),2))</f>
        <v/>
      </c>
      <c r="S398" s="19">
        <f>IF($F398="","",ROUND(Rates!$B$10*IF(Rates!$B$11="Full",P398-$D398,MAX(0,MIN(P398,Rates!$B$13)-Rates!$B$12)-MAX(0,MIN($D398,Rates!$B$13)-Rates!$B$12)),2))</f>
        <v/>
      </c>
      <c r="T398" s="19">
        <f>IF($F398="","",ROUND(Q398+R398+S398,2))</f>
        <v/>
      </c>
    </row>
    <row r="399">
      <c r="A399" s="13" t="n"/>
      <c r="B399" s="13" t="n"/>
      <c r="C399" s="14" t="n"/>
      <c r="D399" s="14" t="n"/>
      <c r="E399" s="15" t="n"/>
      <c r="F399" s="16" t="n"/>
      <c r="G399" s="13" t="n"/>
      <c r="H399" s="13" t="n"/>
      <c r="I399" s="13" t="n"/>
      <c r="J399" s="17">
        <f>IF($F399="","",DATEDIF($F399,Rates!$B$2,"Y"))</f>
        <v/>
      </c>
      <c r="K399" s="18">
        <f>IF($F399="","",IF(UPPER($I399)="Y",Rates!$B$7,IF(J399&gt;=21,Rates!$B$4,IF(J399&gt;=18,Rates!$B$5,Rates!$B$6))))</f>
        <v/>
      </c>
      <c r="L399" s="17">
        <f>IF($F399="","",IF($E399&lt;K399,"Uplift needed","OK"))</f>
        <v/>
      </c>
      <c r="M399" s="17">
        <f>IF($F399="","",IF(AND(J399&lt;21,DATEDIF($F399,Rates!$B$3,"Y")&gt;=21),"Turns 21",IF(AND(J399&lt;18,DATEDIF($F399,Rates!$B$3,"Y")&gt;=18),"Turns 18","")))</f>
        <v/>
      </c>
      <c r="N399" s="18">
        <f>IF($F399="","",MAX($E399,K399))</f>
        <v/>
      </c>
      <c r="O399" s="19">
        <f>IF($F399="","",ROUND($C399*N399/$E399,2))</f>
        <v/>
      </c>
      <c r="P399" s="19">
        <f>IF($F399="","",ROUND($D399*N399/$E399,2))</f>
        <v/>
      </c>
      <c r="Q399" s="19">
        <f>IF($F399="","",ROUND(P399-$D399,2))</f>
        <v/>
      </c>
      <c r="R399" s="19">
        <f>IF($F399="","",ROUND(Rates!$B$8*(MAX(0,P399-Rates!$B$9)-MAX(0,$D399-Rates!$B$9)),2))</f>
        <v/>
      </c>
      <c r="S399" s="19">
        <f>IF($F399="","",ROUND(Rates!$B$10*IF(Rates!$B$11="Full",P399-$D399,MAX(0,MIN(P399,Rates!$B$13)-Rates!$B$12)-MAX(0,MIN($D399,Rates!$B$13)-Rates!$B$12)),2))</f>
        <v/>
      </c>
      <c r="T399" s="19">
        <f>IF($F399="","",ROUND(Q399+R399+S399,2))</f>
        <v/>
      </c>
    </row>
    <row r="400">
      <c r="A400" s="13" t="n"/>
      <c r="B400" s="13" t="n"/>
      <c r="C400" s="14" t="n"/>
      <c r="D400" s="14" t="n"/>
      <c r="E400" s="15" t="n"/>
      <c r="F400" s="16" t="n"/>
      <c r="G400" s="13" t="n"/>
      <c r="H400" s="13" t="n"/>
      <c r="I400" s="13" t="n"/>
      <c r="J400" s="17">
        <f>IF($F400="","",DATEDIF($F400,Rates!$B$2,"Y"))</f>
        <v/>
      </c>
      <c r="K400" s="18">
        <f>IF($F400="","",IF(UPPER($I400)="Y",Rates!$B$7,IF(J400&gt;=21,Rates!$B$4,IF(J400&gt;=18,Rates!$B$5,Rates!$B$6))))</f>
        <v/>
      </c>
      <c r="L400" s="17">
        <f>IF($F400="","",IF($E400&lt;K400,"Uplift needed","OK"))</f>
        <v/>
      </c>
      <c r="M400" s="17">
        <f>IF($F400="","",IF(AND(J400&lt;21,DATEDIF($F400,Rates!$B$3,"Y")&gt;=21),"Turns 21",IF(AND(J400&lt;18,DATEDIF($F400,Rates!$B$3,"Y")&gt;=18),"Turns 18","")))</f>
        <v/>
      </c>
      <c r="N400" s="18">
        <f>IF($F400="","",MAX($E400,K400))</f>
        <v/>
      </c>
      <c r="O400" s="19">
        <f>IF($F400="","",ROUND($C400*N400/$E400,2))</f>
        <v/>
      </c>
      <c r="P400" s="19">
        <f>IF($F400="","",ROUND($D400*N400/$E400,2))</f>
        <v/>
      </c>
      <c r="Q400" s="19">
        <f>IF($F400="","",ROUND(P400-$D400,2))</f>
        <v/>
      </c>
      <c r="R400" s="19">
        <f>IF($F400="","",ROUND(Rates!$B$8*(MAX(0,P400-Rates!$B$9)-MAX(0,$D400-Rates!$B$9)),2))</f>
        <v/>
      </c>
      <c r="S400" s="19">
        <f>IF($F400="","",ROUND(Rates!$B$10*IF(Rates!$B$11="Full",P400-$D400,MAX(0,MIN(P400,Rates!$B$13)-Rates!$B$12)-MAX(0,MIN($D400,Rates!$B$13)-Rates!$B$12)),2))</f>
        <v/>
      </c>
      <c r="T400" s="19">
        <f>IF($F400="","",ROUND(Q400+R400+S400,2))</f>
        <v/>
      </c>
    </row>
    <row r="401">
      <c r="A401" s="13" t="n"/>
      <c r="B401" s="13" t="n"/>
      <c r="C401" s="14" t="n"/>
      <c r="D401" s="14" t="n"/>
      <c r="E401" s="15" t="n"/>
      <c r="F401" s="16" t="n"/>
      <c r="G401" s="13" t="n"/>
      <c r="H401" s="13" t="n"/>
      <c r="I401" s="13" t="n"/>
      <c r="J401" s="17">
        <f>IF($F401="","",DATEDIF($F401,Rates!$B$2,"Y"))</f>
        <v/>
      </c>
      <c r="K401" s="18">
        <f>IF($F401="","",IF(UPPER($I401)="Y",Rates!$B$7,IF(J401&gt;=21,Rates!$B$4,IF(J401&gt;=18,Rates!$B$5,Rates!$B$6))))</f>
        <v/>
      </c>
      <c r="L401" s="17">
        <f>IF($F401="","",IF($E401&lt;K401,"Uplift needed","OK"))</f>
        <v/>
      </c>
      <c r="M401" s="17">
        <f>IF($F401="","",IF(AND(J401&lt;21,DATEDIF($F401,Rates!$B$3,"Y")&gt;=21),"Turns 21",IF(AND(J401&lt;18,DATEDIF($F401,Rates!$B$3,"Y")&gt;=18),"Turns 18","")))</f>
        <v/>
      </c>
      <c r="N401" s="18">
        <f>IF($F401="","",MAX($E401,K401))</f>
        <v/>
      </c>
      <c r="O401" s="19">
        <f>IF($F401="","",ROUND($C401*N401/$E401,2))</f>
        <v/>
      </c>
      <c r="P401" s="19">
        <f>IF($F401="","",ROUND($D401*N401/$E401,2))</f>
        <v/>
      </c>
      <c r="Q401" s="19">
        <f>IF($F401="","",ROUND(P401-$D401,2))</f>
        <v/>
      </c>
      <c r="R401" s="19">
        <f>IF($F401="","",ROUND(Rates!$B$8*(MAX(0,P401-Rates!$B$9)-MAX(0,$D401-Rates!$B$9)),2))</f>
        <v/>
      </c>
      <c r="S401" s="19">
        <f>IF($F401="","",ROUND(Rates!$B$10*IF(Rates!$B$11="Full",P401-$D401,MAX(0,MIN(P401,Rates!$B$13)-Rates!$B$12)-MAX(0,MIN($D401,Rates!$B$13)-Rates!$B$12)),2))</f>
        <v/>
      </c>
      <c r="T401" s="19">
        <f>IF($F401="","",ROUND(Q401+R401+S401,2))</f>
        <v/>
      </c>
    </row>
    <row r="402">
      <c r="A402" s="13" t="n"/>
      <c r="B402" s="13" t="n"/>
      <c r="C402" s="14" t="n"/>
      <c r="D402" s="14" t="n"/>
      <c r="E402" s="15" t="n"/>
      <c r="F402" s="16" t="n"/>
      <c r="G402" s="13" t="n"/>
      <c r="H402" s="13" t="n"/>
      <c r="I402" s="13" t="n"/>
      <c r="J402" s="17">
        <f>IF($F402="","",DATEDIF($F402,Rates!$B$2,"Y"))</f>
        <v/>
      </c>
      <c r="K402" s="18">
        <f>IF($F402="","",IF(UPPER($I402)="Y",Rates!$B$7,IF(J402&gt;=21,Rates!$B$4,IF(J402&gt;=18,Rates!$B$5,Rates!$B$6))))</f>
        <v/>
      </c>
      <c r="L402" s="17">
        <f>IF($F402="","",IF($E402&lt;K402,"Uplift needed","OK"))</f>
        <v/>
      </c>
      <c r="M402" s="17">
        <f>IF($F402="","",IF(AND(J402&lt;21,DATEDIF($F402,Rates!$B$3,"Y")&gt;=21),"Turns 21",IF(AND(J402&lt;18,DATEDIF($F402,Rates!$B$3,"Y")&gt;=18),"Turns 18","")))</f>
        <v/>
      </c>
      <c r="N402" s="18">
        <f>IF($F402="","",MAX($E402,K402))</f>
        <v/>
      </c>
      <c r="O402" s="19">
        <f>IF($F402="","",ROUND($C402*N402/$E402,2))</f>
        <v/>
      </c>
      <c r="P402" s="19">
        <f>IF($F402="","",ROUND($D402*N402/$E402,2))</f>
        <v/>
      </c>
      <c r="Q402" s="19">
        <f>IF($F402="","",ROUND(P402-$D402,2))</f>
        <v/>
      </c>
      <c r="R402" s="19">
        <f>IF($F402="","",ROUND(Rates!$B$8*(MAX(0,P402-Rates!$B$9)-MAX(0,$D402-Rates!$B$9)),2))</f>
        <v/>
      </c>
      <c r="S402" s="19">
        <f>IF($F402="","",ROUND(Rates!$B$10*IF(Rates!$B$11="Full",P402-$D402,MAX(0,MIN(P402,Rates!$B$13)-Rates!$B$12)-MAX(0,MIN($D402,Rates!$B$13)-Rates!$B$12)),2))</f>
        <v/>
      </c>
      <c r="T402" s="19">
        <f>IF($F402="","",ROUND(Q402+R402+S402,2))</f>
        <v/>
      </c>
    </row>
    <row r="403">
      <c r="A403" s="13" t="n"/>
      <c r="B403" s="13" t="n"/>
      <c r="C403" s="14" t="n"/>
      <c r="D403" s="14" t="n"/>
      <c r="E403" s="15" t="n"/>
      <c r="F403" s="16" t="n"/>
      <c r="G403" s="13" t="n"/>
      <c r="H403" s="13" t="n"/>
      <c r="I403" s="13" t="n"/>
      <c r="J403" s="17">
        <f>IF($F403="","",DATEDIF($F403,Rates!$B$2,"Y"))</f>
        <v/>
      </c>
      <c r="K403" s="18">
        <f>IF($F403="","",IF(UPPER($I403)="Y",Rates!$B$7,IF(J403&gt;=21,Rates!$B$4,IF(J403&gt;=18,Rates!$B$5,Rates!$B$6))))</f>
        <v/>
      </c>
      <c r="L403" s="17">
        <f>IF($F403="","",IF($E403&lt;K403,"Uplift needed","OK"))</f>
        <v/>
      </c>
      <c r="M403" s="17">
        <f>IF($F403="","",IF(AND(J403&lt;21,DATEDIF($F403,Rates!$B$3,"Y")&gt;=21),"Turns 21",IF(AND(J403&lt;18,DATEDIF($F403,Rates!$B$3,"Y")&gt;=18),"Turns 18","")))</f>
        <v/>
      </c>
      <c r="N403" s="18">
        <f>IF($F403="","",MAX($E403,K403))</f>
        <v/>
      </c>
      <c r="O403" s="19">
        <f>IF($F403="","",ROUND($C403*N403/$E403,2))</f>
        <v/>
      </c>
      <c r="P403" s="19">
        <f>IF($F403="","",ROUND($D403*N403/$E403,2))</f>
        <v/>
      </c>
      <c r="Q403" s="19">
        <f>IF($F403="","",ROUND(P403-$D403,2))</f>
        <v/>
      </c>
      <c r="R403" s="19">
        <f>IF($F403="","",ROUND(Rates!$B$8*(MAX(0,P403-Rates!$B$9)-MAX(0,$D403-Rates!$B$9)),2))</f>
        <v/>
      </c>
      <c r="S403" s="19">
        <f>IF($F403="","",ROUND(Rates!$B$10*IF(Rates!$B$11="Full",P403-$D403,MAX(0,MIN(P403,Rates!$B$13)-Rates!$B$12)-MAX(0,MIN($D403,Rates!$B$13)-Rates!$B$12)),2))</f>
        <v/>
      </c>
      <c r="T403" s="19">
        <f>IF($F403="","",ROUND(Q403+R403+S403,2))</f>
        <v/>
      </c>
    </row>
    <row r="404">
      <c r="A404" s="13" t="n"/>
      <c r="B404" s="13" t="n"/>
      <c r="C404" s="14" t="n"/>
      <c r="D404" s="14" t="n"/>
      <c r="E404" s="15" t="n"/>
      <c r="F404" s="16" t="n"/>
      <c r="G404" s="13" t="n"/>
      <c r="H404" s="13" t="n"/>
      <c r="I404" s="13" t="n"/>
      <c r="J404" s="17">
        <f>IF($F404="","",DATEDIF($F404,Rates!$B$2,"Y"))</f>
        <v/>
      </c>
      <c r="K404" s="18">
        <f>IF($F404="","",IF(UPPER($I404)="Y",Rates!$B$7,IF(J404&gt;=21,Rates!$B$4,IF(J404&gt;=18,Rates!$B$5,Rates!$B$6))))</f>
        <v/>
      </c>
      <c r="L404" s="17">
        <f>IF($F404="","",IF($E404&lt;K404,"Uplift needed","OK"))</f>
        <v/>
      </c>
      <c r="M404" s="17">
        <f>IF($F404="","",IF(AND(J404&lt;21,DATEDIF($F404,Rates!$B$3,"Y")&gt;=21),"Turns 21",IF(AND(J404&lt;18,DATEDIF($F404,Rates!$B$3,"Y")&gt;=18),"Turns 18","")))</f>
        <v/>
      </c>
      <c r="N404" s="18">
        <f>IF($F404="","",MAX($E404,K404))</f>
        <v/>
      </c>
      <c r="O404" s="19">
        <f>IF($F404="","",ROUND($C404*N404/$E404,2))</f>
        <v/>
      </c>
      <c r="P404" s="19">
        <f>IF($F404="","",ROUND($D404*N404/$E404,2))</f>
        <v/>
      </c>
      <c r="Q404" s="19">
        <f>IF($F404="","",ROUND(P404-$D404,2))</f>
        <v/>
      </c>
      <c r="R404" s="19">
        <f>IF($F404="","",ROUND(Rates!$B$8*(MAX(0,P404-Rates!$B$9)-MAX(0,$D404-Rates!$B$9)),2))</f>
        <v/>
      </c>
      <c r="S404" s="19">
        <f>IF($F404="","",ROUND(Rates!$B$10*IF(Rates!$B$11="Full",P404-$D404,MAX(0,MIN(P404,Rates!$B$13)-Rates!$B$12)-MAX(0,MIN($D404,Rates!$B$13)-Rates!$B$12)),2))</f>
        <v/>
      </c>
      <c r="T404" s="19">
        <f>IF($F404="","",ROUND(Q404+R404+S404,2))</f>
        <v/>
      </c>
    </row>
    <row r="405">
      <c r="A405" s="13" t="n"/>
      <c r="B405" s="13" t="n"/>
      <c r="C405" s="14" t="n"/>
      <c r="D405" s="14" t="n"/>
      <c r="E405" s="15" t="n"/>
      <c r="F405" s="16" t="n"/>
      <c r="G405" s="13" t="n"/>
      <c r="H405" s="13" t="n"/>
      <c r="I405" s="13" t="n"/>
      <c r="J405" s="17">
        <f>IF($F405="","",DATEDIF($F405,Rates!$B$2,"Y"))</f>
        <v/>
      </c>
      <c r="K405" s="18">
        <f>IF($F405="","",IF(UPPER($I405)="Y",Rates!$B$7,IF(J405&gt;=21,Rates!$B$4,IF(J405&gt;=18,Rates!$B$5,Rates!$B$6))))</f>
        <v/>
      </c>
      <c r="L405" s="17">
        <f>IF($F405="","",IF($E405&lt;K405,"Uplift needed","OK"))</f>
        <v/>
      </c>
      <c r="M405" s="17">
        <f>IF($F405="","",IF(AND(J405&lt;21,DATEDIF($F405,Rates!$B$3,"Y")&gt;=21),"Turns 21",IF(AND(J405&lt;18,DATEDIF($F405,Rates!$B$3,"Y")&gt;=18),"Turns 18","")))</f>
        <v/>
      </c>
      <c r="N405" s="18">
        <f>IF($F405="","",MAX($E405,K405))</f>
        <v/>
      </c>
      <c r="O405" s="19">
        <f>IF($F405="","",ROUND($C405*N405/$E405,2))</f>
        <v/>
      </c>
      <c r="P405" s="19">
        <f>IF($F405="","",ROUND($D405*N405/$E405,2))</f>
        <v/>
      </c>
      <c r="Q405" s="19">
        <f>IF($F405="","",ROUND(P405-$D405,2))</f>
        <v/>
      </c>
      <c r="R405" s="19">
        <f>IF($F405="","",ROUND(Rates!$B$8*(MAX(0,P405-Rates!$B$9)-MAX(0,$D405-Rates!$B$9)),2))</f>
        <v/>
      </c>
      <c r="S405" s="19">
        <f>IF($F405="","",ROUND(Rates!$B$10*IF(Rates!$B$11="Full",P405-$D405,MAX(0,MIN(P405,Rates!$B$13)-Rates!$B$12)-MAX(0,MIN($D405,Rates!$B$13)-Rates!$B$12)),2))</f>
        <v/>
      </c>
      <c r="T405" s="19">
        <f>IF($F405="","",ROUND(Q405+R405+S405,2))</f>
        <v/>
      </c>
    </row>
    <row r="406">
      <c r="A406" s="13" t="n"/>
      <c r="B406" s="13" t="n"/>
      <c r="C406" s="14" t="n"/>
      <c r="D406" s="14" t="n"/>
      <c r="E406" s="15" t="n"/>
      <c r="F406" s="16" t="n"/>
      <c r="G406" s="13" t="n"/>
      <c r="H406" s="13" t="n"/>
      <c r="I406" s="13" t="n"/>
      <c r="J406" s="17">
        <f>IF($F406="","",DATEDIF($F406,Rates!$B$2,"Y"))</f>
        <v/>
      </c>
      <c r="K406" s="18">
        <f>IF($F406="","",IF(UPPER($I406)="Y",Rates!$B$7,IF(J406&gt;=21,Rates!$B$4,IF(J406&gt;=18,Rates!$B$5,Rates!$B$6))))</f>
        <v/>
      </c>
      <c r="L406" s="17">
        <f>IF($F406="","",IF($E406&lt;K406,"Uplift needed","OK"))</f>
        <v/>
      </c>
      <c r="M406" s="17">
        <f>IF($F406="","",IF(AND(J406&lt;21,DATEDIF($F406,Rates!$B$3,"Y")&gt;=21),"Turns 21",IF(AND(J406&lt;18,DATEDIF($F406,Rates!$B$3,"Y")&gt;=18),"Turns 18","")))</f>
        <v/>
      </c>
      <c r="N406" s="18">
        <f>IF($F406="","",MAX($E406,K406))</f>
        <v/>
      </c>
      <c r="O406" s="19">
        <f>IF($F406="","",ROUND($C406*N406/$E406,2))</f>
        <v/>
      </c>
      <c r="P406" s="19">
        <f>IF($F406="","",ROUND($D406*N406/$E406,2))</f>
        <v/>
      </c>
      <c r="Q406" s="19">
        <f>IF($F406="","",ROUND(P406-$D406,2))</f>
        <v/>
      </c>
      <c r="R406" s="19">
        <f>IF($F406="","",ROUND(Rates!$B$8*(MAX(0,P406-Rates!$B$9)-MAX(0,$D406-Rates!$B$9)),2))</f>
        <v/>
      </c>
      <c r="S406" s="19">
        <f>IF($F406="","",ROUND(Rates!$B$10*IF(Rates!$B$11="Full",P406-$D406,MAX(0,MIN(P406,Rates!$B$13)-Rates!$B$12)-MAX(0,MIN($D406,Rates!$B$13)-Rates!$B$12)),2))</f>
        <v/>
      </c>
      <c r="T406" s="19">
        <f>IF($F406="","",ROUND(Q406+R406+S406,2))</f>
        <v/>
      </c>
    </row>
    <row r="407">
      <c r="A407" s="13" t="n"/>
      <c r="B407" s="13" t="n"/>
      <c r="C407" s="14" t="n"/>
      <c r="D407" s="14" t="n"/>
      <c r="E407" s="15" t="n"/>
      <c r="F407" s="16" t="n"/>
      <c r="G407" s="13" t="n"/>
      <c r="H407" s="13" t="n"/>
      <c r="I407" s="13" t="n"/>
      <c r="J407" s="17">
        <f>IF($F407="","",DATEDIF($F407,Rates!$B$2,"Y"))</f>
        <v/>
      </c>
      <c r="K407" s="18">
        <f>IF($F407="","",IF(UPPER($I407)="Y",Rates!$B$7,IF(J407&gt;=21,Rates!$B$4,IF(J407&gt;=18,Rates!$B$5,Rates!$B$6))))</f>
        <v/>
      </c>
      <c r="L407" s="17">
        <f>IF($F407="","",IF($E407&lt;K407,"Uplift needed","OK"))</f>
        <v/>
      </c>
      <c r="M407" s="17">
        <f>IF($F407="","",IF(AND(J407&lt;21,DATEDIF($F407,Rates!$B$3,"Y")&gt;=21),"Turns 21",IF(AND(J407&lt;18,DATEDIF($F407,Rates!$B$3,"Y")&gt;=18),"Turns 18","")))</f>
        <v/>
      </c>
      <c r="N407" s="18">
        <f>IF($F407="","",MAX($E407,K407))</f>
        <v/>
      </c>
      <c r="O407" s="19">
        <f>IF($F407="","",ROUND($C407*N407/$E407,2))</f>
        <v/>
      </c>
      <c r="P407" s="19">
        <f>IF($F407="","",ROUND($D407*N407/$E407,2))</f>
        <v/>
      </c>
      <c r="Q407" s="19">
        <f>IF($F407="","",ROUND(P407-$D407,2))</f>
        <v/>
      </c>
      <c r="R407" s="19">
        <f>IF($F407="","",ROUND(Rates!$B$8*(MAX(0,P407-Rates!$B$9)-MAX(0,$D407-Rates!$B$9)),2))</f>
        <v/>
      </c>
      <c r="S407" s="19">
        <f>IF($F407="","",ROUND(Rates!$B$10*IF(Rates!$B$11="Full",P407-$D407,MAX(0,MIN(P407,Rates!$B$13)-Rates!$B$12)-MAX(0,MIN($D407,Rates!$B$13)-Rates!$B$12)),2))</f>
        <v/>
      </c>
      <c r="T407" s="19">
        <f>IF($F407="","",ROUND(Q407+R407+S407,2))</f>
        <v/>
      </c>
    </row>
    <row r="408">
      <c r="A408" s="13" t="n"/>
      <c r="B408" s="13" t="n"/>
      <c r="C408" s="14" t="n"/>
      <c r="D408" s="14" t="n"/>
      <c r="E408" s="15" t="n"/>
      <c r="F408" s="16" t="n"/>
      <c r="G408" s="13" t="n"/>
      <c r="H408" s="13" t="n"/>
      <c r="I408" s="13" t="n"/>
      <c r="J408" s="17">
        <f>IF($F408="","",DATEDIF($F408,Rates!$B$2,"Y"))</f>
        <v/>
      </c>
      <c r="K408" s="18">
        <f>IF($F408="","",IF(UPPER($I408)="Y",Rates!$B$7,IF(J408&gt;=21,Rates!$B$4,IF(J408&gt;=18,Rates!$B$5,Rates!$B$6))))</f>
        <v/>
      </c>
      <c r="L408" s="17">
        <f>IF($F408="","",IF($E408&lt;K408,"Uplift needed","OK"))</f>
        <v/>
      </c>
      <c r="M408" s="17">
        <f>IF($F408="","",IF(AND(J408&lt;21,DATEDIF($F408,Rates!$B$3,"Y")&gt;=21),"Turns 21",IF(AND(J408&lt;18,DATEDIF($F408,Rates!$B$3,"Y")&gt;=18),"Turns 18","")))</f>
        <v/>
      </c>
      <c r="N408" s="18">
        <f>IF($F408="","",MAX($E408,K408))</f>
        <v/>
      </c>
      <c r="O408" s="19">
        <f>IF($F408="","",ROUND($C408*N408/$E408,2))</f>
        <v/>
      </c>
      <c r="P408" s="19">
        <f>IF($F408="","",ROUND($D408*N408/$E408,2))</f>
        <v/>
      </c>
      <c r="Q408" s="19">
        <f>IF($F408="","",ROUND(P408-$D408,2))</f>
        <v/>
      </c>
      <c r="R408" s="19">
        <f>IF($F408="","",ROUND(Rates!$B$8*(MAX(0,P408-Rates!$B$9)-MAX(0,$D408-Rates!$B$9)),2))</f>
        <v/>
      </c>
      <c r="S408" s="19">
        <f>IF($F408="","",ROUND(Rates!$B$10*IF(Rates!$B$11="Full",P408-$D408,MAX(0,MIN(P408,Rates!$B$13)-Rates!$B$12)-MAX(0,MIN($D408,Rates!$B$13)-Rates!$B$12)),2))</f>
        <v/>
      </c>
      <c r="T408" s="19">
        <f>IF($F408="","",ROUND(Q408+R408+S408,2))</f>
        <v/>
      </c>
    </row>
    <row r="409">
      <c r="A409" s="13" t="n"/>
      <c r="B409" s="13" t="n"/>
      <c r="C409" s="14" t="n"/>
      <c r="D409" s="14" t="n"/>
      <c r="E409" s="15" t="n"/>
      <c r="F409" s="16" t="n"/>
      <c r="G409" s="13" t="n"/>
      <c r="H409" s="13" t="n"/>
      <c r="I409" s="13" t="n"/>
      <c r="J409" s="17">
        <f>IF($F409="","",DATEDIF($F409,Rates!$B$2,"Y"))</f>
        <v/>
      </c>
      <c r="K409" s="18">
        <f>IF($F409="","",IF(UPPER($I409)="Y",Rates!$B$7,IF(J409&gt;=21,Rates!$B$4,IF(J409&gt;=18,Rates!$B$5,Rates!$B$6))))</f>
        <v/>
      </c>
      <c r="L409" s="17">
        <f>IF($F409="","",IF($E409&lt;K409,"Uplift needed","OK"))</f>
        <v/>
      </c>
      <c r="M409" s="17">
        <f>IF($F409="","",IF(AND(J409&lt;21,DATEDIF($F409,Rates!$B$3,"Y")&gt;=21),"Turns 21",IF(AND(J409&lt;18,DATEDIF($F409,Rates!$B$3,"Y")&gt;=18),"Turns 18","")))</f>
        <v/>
      </c>
      <c r="N409" s="18">
        <f>IF($F409="","",MAX($E409,K409))</f>
        <v/>
      </c>
      <c r="O409" s="19">
        <f>IF($F409="","",ROUND($C409*N409/$E409,2))</f>
        <v/>
      </c>
      <c r="P409" s="19">
        <f>IF($F409="","",ROUND($D409*N409/$E409,2))</f>
        <v/>
      </c>
      <c r="Q409" s="19">
        <f>IF($F409="","",ROUND(P409-$D409,2))</f>
        <v/>
      </c>
      <c r="R409" s="19">
        <f>IF($F409="","",ROUND(Rates!$B$8*(MAX(0,P409-Rates!$B$9)-MAX(0,$D409-Rates!$B$9)),2))</f>
        <v/>
      </c>
      <c r="S409" s="19">
        <f>IF($F409="","",ROUND(Rates!$B$10*IF(Rates!$B$11="Full",P409-$D409,MAX(0,MIN(P409,Rates!$B$13)-Rates!$B$12)-MAX(0,MIN($D409,Rates!$B$13)-Rates!$B$12)),2))</f>
        <v/>
      </c>
      <c r="T409" s="19">
        <f>IF($F409="","",ROUND(Q409+R409+S409,2))</f>
        <v/>
      </c>
    </row>
    <row r="410">
      <c r="A410" s="13" t="n"/>
      <c r="B410" s="13" t="n"/>
      <c r="C410" s="14" t="n"/>
      <c r="D410" s="14" t="n"/>
      <c r="E410" s="15" t="n"/>
      <c r="F410" s="16" t="n"/>
      <c r="G410" s="13" t="n"/>
      <c r="H410" s="13" t="n"/>
      <c r="I410" s="13" t="n"/>
      <c r="J410" s="17">
        <f>IF($F410="","",DATEDIF($F410,Rates!$B$2,"Y"))</f>
        <v/>
      </c>
      <c r="K410" s="18">
        <f>IF($F410="","",IF(UPPER($I410)="Y",Rates!$B$7,IF(J410&gt;=21,Rates!$B$4,IF(J410&gt;=18,Rates!$B$5,Rates!$B$6))))</f>
        <v/>
      </c>
      <c r="L410" s="17">
        <f>IF($F410="","",IF($E410&lt;K410,"Uplift needed","OK"))</f>
        <v/>
      </c>
      <c r="M410" s="17">
        <f>IF($F410="","",IF(AND(J410&lt;21,DATEDIF($F410,Rates!$B$3,"Y")&gt;=21),"Turns 21",IF(AND(J410&lt;18,DATEDIF($F410,Rates!$B$3,"Y")&gt;=18),"Turns 18","")))</f>
        <v/>
      </c>
      <c r="N410" s="18">
        <f>IF($F410="","",MAX($E410,K410))</f>
        <v/>
      </c>
      <c r="O410" s="19">
        <f>IF($F410="","",ROUND($C410*N410/$E410,2))</f>
        <v/>
      </c>
      <c r="P410" s="19">
        <f>IF($F410="","",ROUND($D410*N410/$E410,2))</f>
        <v/>
      </c>
      <c r="Q410" s="19">
        <f>IF($F410="","",ROUND(P410-$D410,2))</f>
        <v/>
      </c>
      <c r="R410" s="19">
        <f>IF($F410="","",ROUND(Rates!$B$8*(MAX(0,P410-Rates!$B$9)-MAX(0,$D410-Rates!$B$9)),2))</f>
        <v/>
      </c>
      <c r="S410" s="19">
        <f>IF($F410="","",ROUND(Rates!$B$10*IF(Rates!$B$11="Full",P410-$D410,MAX(0,MIN(P410,Rates!$B$13)-Rates!$B$12)-MAX(0,MIN($D410,Rates!$B$13)-Rates!$B$12)),2))</f>
        <v/>
      </c>
      <c r="T410" s="19">
        <f>IF($F410="","",ROUND(Q410+R410+S410,2))</f>
        <v/>
      </c>
    </row>
    <row r="411">
      <c r="A411" s="13" t="n"/>
      <c r="B411" s="13" t="n"/>
      <c r="C411" s="14" t="n"/>
      <c r="D411" s="14" t="n"/>
      <c r="E411" s="15" t="n"/>
      <c r="F411" s="16" t="n"/>
      <c r="G411" s="13" t="n"/>
      <c r="H411" s="13" t="n"/>
      <c r="I411" s="13" t="n"/>
      <c r="J411" s="17">
        <f>IF($F411="","",DATEDIF($F411,Rates!$B$2,"Y"))</f>
        <v/>
      </c>
      <c r="K411" s="18">
        <f>IF($F411="","",IF(UPPER($I411)="Y",Rates!$B$7,IF(J411&gt;=21,Rates!$B$4,IF(J411&gt;=18,Rates!$B$5,Rates!$B$6))))</f>
        <v/>
      </c>
      <c r="L411" s="17">
        <f>IF($F411="","",IF($E411&lt;K411,"Uplift needed","OK"))</f>
        <v/>
      </c>
      <c r="M411" s="17">
        <f>IF($F411="","",IF(AND(J411&lt;21,DATEDIF($F411,Rates!$B$3,"Y")&gt;=21),"Turns 21",IF(AND(J411&lt;18,DATEDIF($F411,Rates!$B$3,"Y")&gt;=18),"Turns 18","")))</f>
        <v/>
      </c>
      <c r="N411" s="18">
        <f>IF($F411="","",MAX($E411,K411))</f>
        <v/>
      </c>
      <c r="O411" s="19">
        <f>IF($F411="","",ROUND($C411*N411/$E411,2))</f>
        <v/>
      </c>
      <c r="P411" s="19">
        <f>IF($F411="","",ROUND($D411*N411/$E411,2))</f>
        <v/>
      </c>
      <c r="Q411" s="19">
        <f>IF($F411="","",ROUND(P411-$D411,2))</f>
        <v/>
      </c>
      <c r="R411" s="19">
        <f>IF($F411="","",ROUND(Rates!$B$8*(MAX(0,P411-Rates!$B$9)-MAX(0,$D411-Rates!$B$9)),2))</f>
        <v/>
      </c>
      <c r="S411" s="19">
        <f>IF($F411="","",ROUND(Rates!$B$10*IF(Rates!$B$11="Full",P411-$D411,MAX(0,MIN(P411,Rates!$B$13)-Rates!$B$12)-MAX(0,MIN($D411,Rates!$B$13)-Rates!$B$12)),2))</f>
        <v/>
      </c>
      <c r="T411" s="19">
        <f>IF($F411="","",ROUND(Q411+R411+S411,2))</f>
        <v/>
      </c>
    </row>
    <row r="412">
      <c r="A412" s="13" t="n"/>
      <c r="B412" s="13" t="n"/>
      <c r="C412" s="14" t="n"/>
      <c r="D412" s="14" t="n"/>
      <c r="E412" s="15" t="n"/>
      <c r="F412" s="16" t="n"/>
      <c r="G412" s="13" t="n"/>
      <c r="H412" s="13" t="n"/>
      <c r="I412" s="13" t="n"/>
      <c r="J412" s="17">
        <f>IF($F412="","",DATEDIF($F412,Rates!$B$2,"Y"))</f>
        <v/>
      </c>
      <c r="K412" s="18">
        <f>IF($F412="","",IF(UPPER($I412)="Y",Rates!$B$7,IF(J412&gt;=21,Rates!$B$4,IF(J412&gt;=18,Rates!$B$5,Rates!$B$6))))</f>
        <v/>
      </c>
      <c r="L412" s="17">
        <f>IF($F412="","",IF($E412&lt;K412,"Uplift needed","OK"))</f>
        <v/>
      </c>
      <c r="M412" s="17">
        <f>IF($F412="","",IF(AND(J412&lt;21,DATEDIF($F412,Rates!$B$3,"Y")&gt;=21),"Turns 21",IF(AND(J412&lt;18,DATEDIF($F412,Rates!$B$3,"Y")&gt;=18),"Turns 18","")))</f>
        <v/>
      </c>
      <c r="N412" s="18">
        <f>IF($F412="","",MAX($E412,K412))</f>
        <v/>
      </c>
      <c r="O412" s="19">
        <f>IF($F412="","",ROUND($C412*N412/$E412,2))</f>
        <v/>
      </c>
      <c r="P412" s="19">
        <f>IF($F412="","",ROUND($D412*N412/$E412,2))</f>
        <v/>
      </c>
      <c r="Q412" s="19">
        <f>IF($F412="","",ROUND(P412-$D412,2))</f>
        <v/>
      </c>
      <c r="R412" s="19">
        <f>IF($F412="","",ROUND(Rates!$B$8*(MAX(0,P412-Rates!$B$9)-MAX(0,$D412-Rates!$B$9)),2))</f>
        <v/>
      </c>
      <c r="S412" s="19">
        <f>IF($F412="","",ROUND(Rates!$B$10*IF(Rates!$B$11="Full",P412-$D412,MAX(0,MIN(P412,Rates!$B$13)-Rates!$B$12)-MAX(0,MIN($D412,Rates!$B$13)-Rates!$B$12)),2))</f>
        <v/>
      </c>
      <c r="T412" s="19">
        <f>IF($F412="","",ROUND(Q412+R412+S412,2))</f>
        <v/>
      </c>
    </row>
    <row r="413">
      <c r="A413" s="13" t="n"/>
      <c r="B413" s="13" t="n"/>
      <c r="C413" s="14" t="n"/>
      <c r="D413" s="14" t="n"/>
      <c r="E413" s="15" t="n"/>
      <c r="F413" s="16" t="n"/>
      <c r="G413" s="13" t="n"/>
      <c r="H413" s="13" t="n"/>
      <c r="I413" s="13" t="n"/>
      <c r="J413" s="17">
        <f>IF($F413="","",DATEDIF($F413,Rates!$B$2,"Y"))</f>
        <v/>
      </c>
      <c r="K413" s="18">
        <f>IF($F413="","",IF(UPPER($I413)="Y",Rates!$B$7,IF(J413&gt;=21,Rates!$B$4,IF(J413&gt;=18,Rates!$B$5,Rates!$B$6))))</f>
        <v/>
      </c>
      <c r="L413" s="17">
        <f>IF($F413="","",IF($E413&lt;K413,"Uplift needed","OK"))</f>
        <v/>
      </c>
      <c r="M413" s="17">
        <f>IF($F413="","",IF(AND(J413&lt;21,DATEDIF($F413,Rates!$B$3,"Y")&gt;=21),"Turns 21",IF(AND(J413&lt;18,DATEDIF($F413,Rates!$B$3,"Y")&gt;=18),"Turns 18","")))</f>
        <v/>
      </c>
      <c r="N413" s="18">
        <f>IF($F413="","",MAX($E413,K413))</f>
        <v/>
      </c>
      <c r="O413" s="19">
        <f>IF($F413="","",ROUND($C413*N413/$E413,2))</f>
        <v/>
      </c>
      <c r="P413" s="19">
        <f>IF($F413="","",ROUND($D413*N413/$E413,2))</f>
        <v/>
      </c>
      <c r="Q413" s="19">
        <f>IF($F413="","",ROUND(P413-$D413,2))</f>
        <v/>
      </c>
      <c r="R413" s="19">
        <f>IF($F413="","",ROUND(Rates!$B$8*(MAX(0,P413-Rates!$B$9)-MAX(0,$D413-Rates!$B$9)),2))</f>
        <v/>
      </c>
      <c r="S413" s="19">
        <f>IF($F413="","",ROUND(Rates!$B$10*IF(Rates!$B$11="Full",P413-$D413,MAX(0,MIN(P413,Rates!$B$13)-Rates!$B$12)-MAX(0,MIN($D413,Rates!$B$13)-Rates!$B$12)),2))</f>
        <v/>
      </c>
      <c r="T413" s="19">
        <f>IF($F413="","",ROUND(Q413+R413+S413,2))</f>
        <v/>
      </c>
    </row>
    <row r="414">
      <c r="A414" s="13" t="n"/>
      <c r="B414" s="13" t="n"/>
      <c r="C414" s="14" t="n"/>
      <c r="D414" s="14" t="n"/>
      <c r="E414" s="15" t="n"/>
      <c r="F414" s="16" t="n"/>
      <c r="G414" s="13" t="n"/>
      <c r="H414" s="13" t="n"/>
      <c r="I414" s="13" t="n"/>
      <c r="J414" s="17">
        <f>IF($F414="","",DATEDIF($F414,Rates!$B$2,"Y"))</f>
        <v/>
      </c>
      <c r="K414" s="18">
        <f>IF($F414="","",IF(UPPER($I414)="Y",Rates!$B$7,IF(J414&gt;=21,Rates!$B$4,IF(J414&gt;=18,Rates!$B$5,Rates!$B$6))))</f>
        <v/>
      </c>
      <c r="L414" s="17">
        <f>IF($F414="","",IF($E414&lt;K414,"Uplift needed","OK"))</f>
        <v/>
      </c>
      <c r="M414" s="17">
        <f>IF($F414="","",IF(AND(J414&lt;21,DATEDIF($F414,Rates!$B$3,"Y")&gt;=21),"Turns 21",IF(AND(J414&lt;18,DATEDIF($F414,Rates!$B$3,"Y")&gt;=18),"Turns 18","")))</f>
        <v/>
      </c>
      <c r="N414" s="18">
        <f>IF($F414="","",MAX($E414,K414))</f>
        <v/>
      </c>
      <c r="O414" s="19">
        <f>IF($F414="","",ROUND($C414*N414/$E414,2))</f>
        <v/>
      </c>
      <c r="P414" s="19">
        <f>IF($F414="","",ROUND($D414*N414/$E414,2))</f>
        <v/>
      </c>
      <c r="Q414" s="19">
        <f>IF($F414="","",ROUND(P414-$D414,2))</f>
        <v/>
      </c>
      <c r="R414" s="19">
        <f>IF($F414="","",ROUND(Rates!$B$8*(MAX(0,P414-Rates!$B$9)-MAX(0,$D414-Rates!$B$9)),2))</f>
        <v/>
      </c>
      <c r="S414" s="19">
        <f>IF($F414="","",ROUND(Rates!$B$10*IF(Rates!$B$11="Full",P414-$D414,MAX(0,MIN(P414,Rates!$B$13)-Rates!$B$12)-MAX(0,MIN($D414,Rates!$B$13)-Rates!$B$12)),2))</f>
        <v/>
      </c>
      <c r="T414" s="19">
        <f>IF($F414="","",ROUND(Q414+R414+S414,2))</f>
        <v/>
      </c>
    </row>
    <row r="415">
      <c r="A415" s="13" t="n"/>
      <c r="B415" s="13" t="n"/>
      <c r="C415" s="14" t="n"/>
      <c r="D415" s="14" t="n"/>
      <c r="E415" s="15" t="n"/>
      <c r="F415" s="16" t="n"/>
      <c r="G415" s="13" t="n"/>
      <c r="H415" s="13" t="n"/>
      <c r="I415" s="13" t="n"/>
      <c r="J415" s="17">
        <f>IF($F415="","",DATEDIF($F415,Rates!$B$2,"Y"))</f>
        <v/>
      </c>
      <c r="K415" s="18">
        <f>IF($F415="","",IF(UPPER($I415)="Y",Rates!$B$7,IF(J415&gt;=21,Rates!$B$4,IF(J415&gt;=18,Rates!$B$5,Rates!$B$6))))</f>
        <v/>
      </c>
      <c r="L415" s="17">
        <f>IF($F415="","",IF($E415&lt;K415,"Uplift needed","OK"))</f>
        <v/>
      </c>
      <c r="M415" s="17">
        <f>IF($F415="","",IF(AND(J415&lt;21,DATEDIF($F415,Rates!$B$3,"Y")&gt;=21),"Turns 21",IF(AND(J415&lt;18,DATEDIF($F415,Rates!$B$3,"Y")&gt;=18),"Turns 18","")))</f>
        <v/>
      </c>
      <c r="N415" s="18">
        <f>IF($F415="","",MAX($E415,K415))</f>
        <v/>
      </c>
      <c r="O415" s="19">
        <f>IF($F415="","",ROUND($C415*N415/$E415,2))</f>
        <v/>
      </c>
      <c r="P415" s="19">
        <f>IF($F415="","",ROUND($D415*N415/$E415,2))</f>
        <v/>
      </c>
      <c r="Q415" s="19">
        <f>IF($F415="","",ROUND(P415-$D415,2))</f>
        <v/>
      </c>
      <c r="R415" s="19">
        <f>IF($F415="","",ROUND(Rates!$B$8*(MAX(0,P415-Rates!$B$9)-MAX(0,$D415-Rates!$B$9)),2))</f>
        <v/>
      </c>
      <c r="S415" s="19">
        <f>IF($F415="","",ROUND(Rates!$B$10*IF(Rates!$B$11="Full",P415-$D415,MAX(0,MIN(P415,Rates!$B$13)-Rates!$B$12)-MAX(0,MIN($D415,Rates!$B$13)-Rates!$B$12)),2))</f>
        <v/>
      </c>
      <c r="T415" s="19">
        <f>IF($F415="","",ROUND(Q415+R415+S415,2))</f>
        <v/>
      </c>
    </row>
    <row r="416">
      <c r="A416" s="13" t="n"/>
      <c r="B416" s="13" t="n"/>
      <c r="C416" s="14" t="n"/>
      <c r="D416" s="14" t="n"/>
      <c r="E416" s="15" t="n"/>
      <c r="F416" s="16" t="n"/>
      <c r="G416" s="13" t="n"/>
      <c r="H416" s="13" t="n"/>
      <c r="I416" s="13" t="n"/>
      <c r="J416" s="17">
        <f>IF($F416="","",DATEDIF($F416,Rates!$B$2,"Y"))</f>
        <v/>
      </c>
      <c r="K416" s="18">
        <f>IF($F416="","",IF(UPPER($I416)="Y",Rates!$B$7,IF(J416&gt;=21,Rates!$B$4,IF(J416&gt;=18,Rates!$B$5,Rates!$B$6))))</f>
        <v/>
      </c>
      <c r="L416" s="17">
        <f>IF($F416="","",IF($E416&lt;K416,"Uplift needed","OK"))</f>
        <v/>
      </c>
      <c r="M416" s="17">
        <f>IF($F416="","",IF(AND(J416&lt;21,DATEDIF($F416,Rates!$B$3,"Y")&gt;=21),"Turns 21",IF(AND(J416&lt;18,DATEDIF($F416,Rates!$B$3,"Y")&gt;=18),"Turns 18","")))</f>
        <v/>
      </c>
      <c r="N416" s="18">
        <f>IF($F416="","",MAX($E416,K416))</f>
        <v/>
      </c>
      <c r="O416" s="19">
        <f>IF($F416="","",ROUND($C416*N416/$E416,2))</f>
        <v/>
      </c>
      <c r="P416" s="19">
        <f>IF($F416="","",ROUND($D416*N416/$E416,2))</f>
        <v/>
      </c>
      <c r="Q416" s="19">
        <f>IF($F416="","",ROUND(P416-$D416,2))</f>
        <v/>
      </c>
      <c r="R416" s="19">
        <f>IF($F416="","",ROUND(Rates!$B$8*(MAX(0,P416-Rates!$B$9)-MAX(0,$D416-Rates!$B$9)),2))</f>
        <v/>
      </c>
      <c r="S416" s="19">
        <f>IF($F416="","",ROUND(Rates!$B$10*IF(Rates!$B$11="Full",P416-$D416,MAX(0,MIN(P416,Rates!$B$13)-Rates!$B$12)-MAX(0,MIN($D416,Rates!$B$13)-Rates!$B$12)),2))</f>
        <v/>
      </c>
      <c r="T416" s="19">
        <f>IF($F416="","",ROUND(Q416+R416+S416,2))</f>
        <v/>
      </c>
    </row>
    <row r="417">
      <c r="A417" s="13" t="n"/>
      <c r="B417" s="13" t="n"/>
      <c r="C417" s="14" t="n"/>
      <c r="D417" s="14" t="n"/>
      <c r="E417" s="15" t="n"/>
      <c r="F417" s="16" t="n"/>
      <c r="G417" s="13" t="n"/>
      <c r="H417" s="13" t="n"/>
      <c r="I417" s="13" t="n"/>
      <c r="J417" s="17">
        <f>IF($F417="","",DATEDIF($F417,Rates!$B$2,"Y"))</f>
        <v/>
      </c>
      <c r="K417" s="18">
        <f>IF($F417="","",IF(UPPER($I417)="Y",Rates!$B$7,IF(J417&gt;=21,Rates!$B$4,IF(J417&gt;=18,Rates!$B$5,Rates!$B$6))))</f>
        <v/>
      </c>
      <c r="L417" s="17">
        <f>IF($F417="","",IF($E417&lt;K417,"Uplift needed","OK"))</f>
        <v/>
      </c>
      <c r="M417" s="17">
        <f>IF($F417="","",IF(AND(J417&lt;21,DATEDIF($F417,Rates!$B$3,"Y")&gt;=21),"Turns 21",IF(AND(J417&lt;18,DATEDIF($F417,Rates!$B$3,"Y")&gt;=18),"Turns 18","")))</f>
        <v/>
      </c>
      <c r="N417" s="18">
        <f>IF($F417="","",MAX($E417,K417))</f>
        <v/>
      </c>
      <c r="O417" s="19">
        <f>IF($F417="","",ROUND($C417*N417/$E417,2))</f>
        <v/>
      </c>
      <c r="P417" s="19">
        <f>IF($F417="","",ROUND($D417*N417/$E417,2))</f>
        <v/>
      </c>
      <c r="Q417" s="19">
        <f>IF($F417="","",ROUND(P417-$D417,2))</f>
        <v/>
      </c>
      <c r="R417" s="19">
        <f>IF($F417="","",ROUND(Rates!$B$8*(MAX(0,P417-Rates!$B$9)-MAX(0,$D417-Rates!$B$9)),2))</f>
        <v/>
      </c>
      <c r="S417" s="19">
        <f>IF($F417="","",ROUND(Rates!$B$10*IF(Rates!$B$11="Full",P417-$D417,MAX(0,MIN(P417,Rates!$B$13)-Rates!$B$12)-MAX(0,MIN($D417,Rates!$B$13)-Rates!$B$12)),2))</f>
        <v/>
      </c>
      <c r="T417" s="19">
        <f>IF($F417="","",ROUND(Q417+R417+S417,2))</f>
        <v/>
      </c>
    </row>
    <row r="418">
      <c r="A418" s="13" t="n"/>
      <c r="B418" s="13" t="n"/>
      <c r="C418" s="14" t="n"/>
      <c r="D418" s="14" t="n"/>
      <c r="E418" s="15" t="n"/>
      <c r="F418" s="16" t="n"/>
      <c r="G418" s="13" t="n"/>
      <c r="H418" s="13" t="n"/>
      <c r="I418" s="13" t="n"/>
      <c r="J418" s="17">
        <f>IF($F418="","",DATEDIF($F418,Rates!$B$2,"Y"))</f>
        <v/>
      </c>
      <c r="K418" s="18">
        <f>IF($F418="","",IF(UPPER($I418)="Y",Rates!$B$7,IF(J418&gt;=21,Rates!$B$4,IF(J418&gt;=18,Rates!$B$5,Rates!$B$6))))</f>
        <v/>
      </c>
      <c r="L418" s="17">
        <f>IF($F418="","",IF($E418&lt;K418,"Uplift needed","OK"))</f>
        <v/>
      </c>
      <c r="M418" s="17">
        <f>IF($F418="","",IF(AND(J418&lt;21,DATEDIF($F418,Rates!$B$3,"Y")&gt;=21),"Turns 21",IF(AND(J418&lt;18,DATEDIF($F418,Rates!$B$3,"Y")&gt;=18),"Turns 18","")))</f>
        <v/>
      </c>
      <c r="N418" s="18">
        <f>IF($F418="","",MAX($E418,K418))</f>
        <v/>
      </c>
      <c r="O418" s="19">
        <f>IF($F418="","",ROUND($C418*N418/$E418,2))</f>
        <v/>
      </c>
      <c r="P418" s="19">
        <f>IF($F418="","",ROUND($D418*N418/$E418,2))</f>
        <v/>
      </c>
      <c r="Q418" s="19">
        <f>IF($F418="","",ROUND(P418-$D418,2))</f>
        <v/>
      </c>
      <c r="R418" s="19">
        <f>IF($F418="","",ROUND(Rates!$B$8*(MAX(0,P418-Rates!$B$9)-MAX(0,$D418-Rates!$B$9)),2))</f>
        <v/>
      </c>
      <c r="S418" s="19">
        <f>IF($F418="","",ROUND(Rates!$B$10*IF(Rates!$B$11="Full",P418-$D418,MAX(0,MIN(P418,Rates!$B$13)-Rates!$B$12)-MAX(0,MIN($D418,Rates!$B$13)-Rates!$B$12)),2))</f>
        <v/>
      </c>
      <c r="T418" s="19">
        <f>IF($F418="","",ROUND(Q418+R418+S418,2))</f>
        <v/>
      </c>
    </row>
    <row r="419">
      <c r="A419" s="13" t="n"/>
      <c r="B419" s="13" t="n"/>
      <c r="C419" s="14" t="n"/>
      <c r="D419" s="14" t="n"/>
      <c r="E419" s="15" t="n"/>
      <c r="F419" s="16" t="n"/>
      <c r="G419" s="13" t="n"/>
      <c r="H419" s="13" t="n"/>
      <c r="I419" s="13" t="n"/>
      <c r="J419" s="17">
        <f>IF($F419="","",DATEDIF($F419,Rates!$B$2,"Y"))</f>
        <v/>
      </c>
      <c r="K419" s="18">
        <f>IF($F419="","",IF(UPPER($I419)="Y",Rates!$B$7,IF(J419&gt;=21,Rates!$B$4,IF(J419&gt;=18,Rates!$B$5,Rates!$B$6))))</f>
        <v/>
      </c>
      <c r="L419" s="17">
        <f>IF($F419="","",IF($E419&lt;K419,"Uplift needed","OK"))</f>
        <v/>
      </c>
      <c r="M419" s="17">
        <f>IF($F419="","",IF(AND(J419&lt;21,DATEDIF($F419,Rates!$B$3,"Y")&gt;=21),"Turns 21",IF(AND(J419&lt;18,DATEDIF($F419,Rates!$B$3,"Y")&gt;=18),"Turns 18","")))</f>
        <v/>
      </c>
      <c r="N419" s="18">
        <f>IF($F419="","",MAX($E419,K419))</f>
        <v/>
      </c>
      <c r="O419" s="19">
        <f>IF($F419="","",ROUND($C419*N419/$E419,2))</f>
        <v/>
      </c>
      <c r="P419" s="19">
        <f>IF($F419="","",ROUND($D419*N419/$E419,2))</f>
        <v/>
      </c>
      <c r="Q419" s="19">
        <f>IF($F419="","",ROUND(P419-$D419,2))</f>
        <v/>
      </c>
      <c r="R419" s="19">
        <f>IF($F419="","",ROUND(Rates!$B$8*(MAX(0,P419-Rates!$B$9)-MAX(0,$D419-Rates!$B$9)),2))</f>
        <v/>
      </c>
      <c r="S419" s="19">
        <f>IF($F419="","",ROUND(Rates!$B$10*IF(Rates!$B$11="Full",P419-$D419,MAX(0,MIN(P419,Rates!$B$13)-Rates!$B$12)-MAX(0,MIN($D419,Rates!$B$13)-Rates!$B$12)),2))</f>
        <v/>
      </c>
      <c r="T419" s="19">
        <f>IF($F419="","",ROUND(Q419+R419+S419,2))</f>
        <v/>
      </c>
    </row>
    <row r="420">
      <c r="A420" s="13" t="n"/>
      <c r="B420" s="13" t="n"/>
      <c r="C420" s="14" t="n"/>
      <c r="D420" s="14" t="n"/>
      <c r="E420" s="15" t="n"/>
      <c r="F420" s="16" t="n"/>
      <c r="G420" s="13" t="n"/>
      <c r="H420" s="13" t="n"/>
      <c r="I420" s="13" t="n"/>
      <c r="J420" s="17">
        <f>IF($F420="","",DATEDIF($F420,Rates!$B$2,"Y"))</f>
        <v/>
      </c>
      <c r="K420" s="18">
        <f>IF($F420="","",IF(UPPER($I420)="Y",Rates!$B$7,IF(J420&gt;=21,Rates!$B$4,IF(J420&gt;=18,Rates!$B$5,Rates!$B$6))))</f>
        <v/>
      </c>
      <c r="L420" s="17">
        <f>IF($F420="","",IF($E420&lt;K420,"Uplift needed","OK"))</f>
        <v/>
      </c>
      <c r="M420" s="17">
        <f>IF($F420="","",IF(AND(J420&lt;21,DATEDIF($F420,Rates!$B$3,"Y")&gt;=21),"Turns 21",IF(AND(J420&lt;18,DATEDIF($F420,Rates!$B$3,"Y")&gt;=18),"Turns 18","")))</f>
        <v/>
      </c>
      <c r="N420" s="18">
        <f>IF($F420="","",MAX($E420,K420))</f>
        <v/>
      </c>
      <c r="O420" s="19">
        <f>IF($F420="","",ROUND($C420*N420/$E420,2))</f>
        <v/>
      </c>
      <c r="P420" s="19">
        <f>IF($F420="","",ROUND($D420*N420/$E420,2))</f>
        <v/>
      </c>
      <c r="Q420" s="19">
        <f>IF($F420="","",ROUND(P420-$D420,2))</f>
        <v/>
      </c>
      <c r="R420" s="19">
        <f>IF($F420="","",ROUND(Rates!$B$8*(MAX(0,P420-Rates!$B$9)-MAX(0,$D420-Rates!$B$9)),2))</f>
        <v/>
      </c>
      <c r="S420" s="19">
        <f>IF($F420="","",ROUND(Rates!$B$10*IF(Rates!$B$11="Full",P420-$D420,MAX(0,MIN(P420,Rates!$B$13)-Rates!$B$12)-MAX(0,MIN($D420,Rates!$B$13)-Rates!$B$12)),2))</f>
        <v/>
      </c>
      <c r="T420" s="19">
        <f>IF($F420="","",ROUND(Q420+R420+S420,2))</f>
        <v/>
      </c>
    </row>
    <row r="421">
      <c r="A421" s="13" t="n"/>
      <c r="B421" s="13" t="n"/>
      <c r="C421" s="14" t="n"/>
      <c r="D421" s="14" t="n"/>
      <c r="E421" s="15" t="n"/>
      <c r="F421" s="16" t="n"/>
      <c r="G421" s="13" t="n"/>
      <c r="H421" s="13" t="n"/>
      <c r="I421" s="13" t="n"/>
      <c r="J421" s="17">
        <f>IF($F421="","",DATEDIF($F421,Rates!$B$2,"Y"))</f>
        <v/>
      </c>
      <c r="K421" s="18">
        <f>IF($F421="","",IF(UPPER($I421)="Y",Rates!$B$7,IF(J421&gt;=21,Rates!$B$4,IF(J421&gt;=18,Rates!$B$5,Rates!$B$6))))</f>
        <v/>
      </c>
      <c r="L421" s="17">
        <f>IF($F421="","",IF($E421&lt;K421,"Uplift needed","OK"))</f>
        <v/>
      </c>
      <c r="M421" s="17">
        <f>IF($F421="","",IF(AND(J421&lt;21,DATEDIF($F421,Rates!$B$3,"Y")&gt;=21),"Turns 21",IF(AND(J421&lt;18,DATEDIF($F421,Rates!$B$3,"Y")&gt;=18),"Turns 18","")))</f>
        <v/>
      </c>
      <c r="N421" s="18">
        <f>IF($F421="","",MAX($E421,K421))</f>
        <v/>
      </c>
      <c r="O421" s="19">
        <f>IF($F421="","",ROUND($C421*N421/$E421,2))</f>
        <v/>
      </c>
      <c r="P421" s="19">
        <f>IF($F421="","",ROUND($D421*N421/$E421,2))</f>
        <v/>
      </c>
      <c r="Q421" s="19">
        <f>IF($F421="","",ROUND(P421-$D421,2))</f>
        <v/>
      </c>
      <c r="R421" s="19">
        <f>IF($F421="","",ROUND(Rates!$B$8*(MAX(0,P421-Rates!$B$9)-MAX(0,$D421-Rates!$B$9)),2))</f>
        <v/>
      </c>
      <c r="S421" s="19">
        <f>IF($F421="","",ROUND(Rates!$B$10*IF(Rates!$B$11="Full",P421-$D421,MAX(0,MIN(P421,Rates!$B$13)-Rates!$B$12)-MAX(0,MIN($D421,Rates!$B$13)-Rates!$B$12)),2))</f>
        <v/>
      </c>
      <c r="T421" s="19">
        <f>IF($F421="","",ROUND(Q421+R421+S421,2))</f>
        <v/>
      </c>
    </row>
    <row r="422">
      <c r="A422" s="13" t="n"/>
      <c r="B422" s="13" t="n"/>
      <c r="C422" s="14" t="n"/>
      <c r="D422" s="14" t="n"/>
      <c r="E422" s="15" t="n"/>
      <c r="F422" s="16" t="n"/>
      <c r="G422" s="13" t="n"/>
      <c r="H422" s="13" t="n"/>
      <c r="I422" s="13" t="n"/>
      <c r="J422" s="17">
        <f>IF($F422="","",DATEDIF($F422,Rates!$B$2,"Y"))</f>
        <v/>
      </c>
      <c r="K422" s="18">
        <f>IF($F422="","",IF(UPPER($I422)="Y",Rates!$B$7,IF(J422&gt;=21,Rates!$B$4,IF(J422&gt;=18,Rates!$B$5,Rates!$B$6))))</f>
        <v/>
      </c>
      <c r="L422" s="17">
        <f>IF($F422="","",IF($E422&lt;K422,"Uplift needed","OK"))</f>
        <v/>
      </c>
      <c r="M422" s="17">
        <f>IF($F422="","",IF(AND(J422&lt;21,DATEDIF($F422,Rates!$B$3,"Y")&gt;=21),"Turns 21",IF(AND(J422&lt;18,DATEDIF($F422,Rates!$B$3,"Y")&gt;=18),"Turns 18","")))</f>
        <v/>
      </c>
      <c r="N422" s="18">
        <f>IF($F422="","",MAX($E422,K422))</f>
        <v/>
      </c>
      <c r="O422" s="19">
        <f>IF($F422="","",ROUND($C422*N422/$E422,2))</f>
        <v/>
      </c>
      <c r="P422" s="19">
        <f>IF($F422="","",ROUND($D422*N422/$E422,2))</f>
        <v/>
      </c>
      <c r="Q422" s="19">
        <f>IF($F422="","",ROUND(P422-$D422,2))</f>
        <v/>
      </c>
      <c r="R422" s="19">
        <f>IF($F422="","",ROUND(Rates!$B$8*(MAX(0,P422-Rates!$B$9)-MAX(0,$D422-Rates!$B$9)),2))</f>
        <v/>
      </c>
      <c r="S422" s="19">
        <f>IF($F422="","",ROUND(Rates!$B$10*IF(Rates!$B$11="Full",P422-$D422,MAX(0,MIN(P422,Rates!$B$13)-Rates!$B$12)-MAX(0,MIN($D422,Rates!$B$13)-Rates!$B$12)),2))</f>
        <v/>
      </c>
      <c r="T422" s="19">
        <f>IF($F422="","",ROUND(Q422+R422+S422,2))</f>
        <v/>
      </c>
    </row>
    <row r="423">
      <c r="A423" s="13" t="n"/>
      <c r="B423" s="13" t="n"/>
      <c r="C423" s="14" t="n"/>
      <c r="D423" s="14" t="n"/>
      <c r="E423" s="15" t="n"/>
      <c r="F423" s="16" t="n"/>
      <c r="G423" s="13" t="n"/>
      <c r="H423" s="13" t="n"/>
      <c r="I423" s="13" t="n"/>
      <c r="J423" s="17">
        <f>IF($F423="","",DATEDIF($F423,Rates!$B$2,"Y"))</f>
        <v/>
      </c>
      <c r="K423" s="18">
        <f>IF($F423="","",IF(UPPER($I423)="Y",Rates!$B$7,IF(J423&gt;=21,Rates!$B$4,IF(J423&gt;=18,Rates!$B$5,Rates!$B$6))))</f>
        <v/>
      </c>
      <c r="L423" s="17">
        <f>IF($F423="","",IF($E423&lt;K423,"Uplift needed","OK"))</f>
        <v/>
      </c>
      <c r="M423" s="17">
        <f>IF($F423="","",IF(AND(J423&lt;21,DATEDIF($F423,Rates!$B$3,"Y")&gt;=21),"Turns 21",IF(AND(J423&lt;18,DATEDIF($F423,Rates!$B$3,"Y")&gt;=18),"Turns 18","")))</f>
        <v/>
      </c>
      <c r="N423" s="18">
        <f>IF($F423="","",MAX($E423,K423))</f>
        <v/>
      </c>
      <c r="O423" s="19">
        <f>IF($F423="","",ROUND($C423*N423/$E423,2))</f>
        <v/>
      </c>
      <c r="P423" s="19">
        <f>IF($F423="","",ROUND($D423*N423/$E423,2))</f>
        <v/>
      </c>
      <c r="Q423" s="19">
        <f>IF($F423="","",ROUND(P423-$D423,2))</f>
        <v/>
      </c>
      <c r="R423" s="19">
        <f>IF($F423="","",ROUND(Rates!$B$8*(MAX(0,P423-Rates!$B$9)-MAX(0,$D423-Rates!$B$9)),2))</f>
        <v/>
      </c>
      <c r="S423" s="19">
        <f>IF($F423="","",ROUND(Rates!$B$10*IF(Rates!$B$11="Full",P423-$D423,MAX(0,MIN(P423,Rates!$B$13)-Rates!$B$12)-MAX(0,MIN($D423,Rates!$B$13)-Rates!$B$12)),2))</f>
        <v/>
      </c>
      <c r="T423" s="19">
        <f>IF($F423="","",ROUND(Q423+R423+S423,2))</f>
        <v/>
      </c>
    </row>
    <row r="424">
      <c r="A424" s="13" t="n"/>
      <c r="B424" s="13" t="n"/>
      <c r="C424" s="14" t="n"/>
      <c r="D424" s="14" t="n"/>
      <c r="E424" s="15" t="n"/>
      <c r="F424" s="16" t="n"/>
      <c r="G424" s="13" t="n"/>
      <c r="H424" s="13" t="n"/>
      <c r="I424" s="13" t="n"/>
      <c r="J424" s="17">
        <f>IF($F424="","",DATEDIF($F424,Rates!$B$2,"Y"))</f>
        <v/>
      </c>
      <c r="K424" s="18">
        <f>IF($F424="","",IF(UPPER($I424)="Y",Rates!$B$7,IF(J424&gt;=21,Rates!$B$4,IF(J424&gt;=18,Rates!$B$5,Rates!$B$6))))</f>
        <v/>
      </c>
      <c r="L424" s="17">
        <f>IF($F424="","",IF($E424&lt;K424,"Uplift needed","OK"))</f>
        <v/>
      </c>
      <c r="M424" s="17">
        <f>IF($F424="","",IF(AND(J424&lt;21,DATEDIF($F424,Rates!$B$3,"Y")&gt;=21),"Turns 21",IF(AND(J424&lt;18,DATEDIF($F424,Rates!$B$3,"Y")&gt;=18),"Turns 18","")))</f>
        <v/>
      </c>
      <c r="N424" s="18">
        <f>IF($F424="","",MAX($E424,K424))</f>
        <v/>
      </c>
      <c r="O424" s="19">
        <f>IF($F424="","",ROUND($C424*N424/$E424,2))</f>
        <v/>
      </c>
      <c r="P424" s="19">
        <f>IF($F424="","",ROUND($D424*N424/$E424,2))</f>
        <v/>
      </c>
      <c r="Q424" s="19">
        <f>IF($F424="","",ROUND(P424-$D424,2))</f>
        <v/>
      </c>
      <c r="R424" s="19">
        <f>IF($F424="","",ROUND(Rates!$B$8*(MAX(0,P424-Rates!$B$9)-MAX(0,$D424-Rates!$B$9)),2))</f>
        <v/>
      </c>
      <c r="S424" s="19">
        <f>IF($F424="","",ROUND(Rates!$B$10*IF(Rates!$B$11="Full",P424-$D424,MAX(0,MIN(P424,Rates!$B$13)-Rates!$B$12)-MAX(0,MIN($D424,Rates!$B$13)-Rates!$B$12)),2))</f>
        <v/>
      </c>
      <c r="T424" s="19">
        <f>IF($F424="","",ROUND(Q424+R424+S424,2))</f>
        <v/>
      </c>
    </row>
    <row r="425">
      <c r="A425" s="13" t="n"/>
      <c r="B425" s="13" t="n"/>
      <c r="C425" s="14" t="n"/>
      <c r="D425" s="14" t="n"/>
      <c r="E425" s="15" t="n"/>
      <c r="F425" s="16" t="n"/>
      <c r="G425" s="13" t="n"/>
      <c r="H425" s="13" t="n"/>
      <c r="I425" s="13" t="n"/>
      <c r="J425" s="17">
        <f>IF($F425="","",DATEDIF($F425,Rates!$B$2,"Y"))</f>
        <v/>
      </c>
      <c r="K425" s="18">
        <f>IF($F425="","",IF(UPPER($I425)="Y",Rates!$B$7,IF(J425&gt;=21,Rates!$B$4,IF(J425&gt;=18,Rates!$B$5,Rates!$B$6))))</f>
        <v/>
      </c>
      <c r="L425" s="17">
        <f>IF($F425="","",IF($E425&lt;K425,"Uplift needed","OK"))</f>
        <v/>
      </c>
      <c r="M425" s="17">
        <f>IF($F425="","",IF(AND(J425&lt;21,DATEDIF($F425,Rates!$B$3,"Y")&gt;=21),"Turns 21",IF(AND(J425&lt;18,DATEDIF($F425,Rates!$B$3,"Y")&gt;=18),"Turns 18","")))</f>
        <v/>
      </c>
      <c r="N425" s="18">
        <f>IF($F425="","",MAX($E425,K425))</f>
        <v/>
      </c>
      <c r="O425" s="19">
        <f>IF($F425="","",ROUND($C425*N425/$E425,2))</f>
        <v/>
      </c>
      <c r="P425" s="19">
        <f>IF($F425="","",ROUND($D425*N425/$E425,2))</f>
        <v/>
      </c>
      <c r="Q425" s="19">
        <f>IF($F425="","",ROUND(P425-$D425,2))</f>
        <v/>
      </c>
      <c r="R425" s="19">
        <f>IF($F425="","",ROUND(Rates!$B$8*(MAX(0,P425-Rates!$B$9)-MAX(0,$D425-Rates!$B$9)),2))</f>
        <v/>
      </c>
      <c r="S425" s="19">
        <f>IF($F425="","",ROUND(Rates!$B$10*IF(Rates!$B$11="Full",P425-$D425,MAX(0,MIN(P425,Rates!$B$13)-Rates!$B$12)-MAX(0,MIN($D425,Rates!$B$13)-Rates!$B$12)),2))</f>
        <v/>
      </c>
      <c r="T425" s="19">
        <f>IF($F425="","",ROUND(Q425+R425+S425,2))</f>
        <v/>
      </c>
    </row>
    <row r="426">
      <c r="A426" s="13" t="n"/>
      <c r="B426" s="13" t="n"/>
      <c r="C426" s="14" t="n"/>
      <c r="D426" s="14" t="n"/>
      <c r="E426" s="15" t="n"/>
      <c r="F426" s="16" t="n"/>
      <c r="G426" s="13" t="n"/>
      <c r="H426" s="13" t="n"/>
      <c r="I426" s="13" t="n"/>
      <c r="J426" s="17">
        <f>IF($F426="","",DATEDIF($F426,Rates!$B$2,"Y"))</f>
        <v/>
      </c>
      <c r="K426" s="18">
        <f>IF($F426="","",IF(UPPER($I426)="Y",Rates!$B$7,IF(J426&gt;=21,Rates!$B$4,IF(J426&gt;=18,Rates!$B$5,Rates!$B$6))))</f>
        <v/>
      </c>
      <c r="L426" s="17">
        <f>IF($F426="","",IF($E426&lt;K426,"Uplift needed","OK"))</f>
        <v/>
      </c>
      <c r="M426" s="17">
        <f>IF($F426="","",IF(AND(J426&lt;21,DATEDIF($F426,Rates!$B$3,"Y")&gt;=21),"Turns 21",IF(AND(J426&lt;18,DATEDIF($F426,Rates!$B$3,"Y")&gt;=18),"Turns 18","")))</f>
        <v/>
      </c>
      <c r="N426" s="18">
        <f>IF($F426="","",MAX($E426,K426))</f>
        <v/>
      </c>
      <c r="O426" s="19">
        <f>IF($F426="","",ROUND($C426*N426/$E426,2))</f>
        <v/>
      </c>
      <c r="P426" s="19">
        <f>IF($F426="","",ROUND($D426*N426/$E426,2))</f>
        <v/>
      </c>
      <c r="Q426" s="19">
        <f>IF($F426="","",ROUND(P426-$D426,2))</f>
        <v/>
      </c>
      <c r="R426" s="19">
        <f>IF($F426="","",ROUND(Rates!$B$8*(MAX(0,P426-Rates!$B$9)-MAX(0,$D426-Rates!$B$9)),2))</f>
        <v/>
      </c>
      <c r="S426" s="19">
        <f>IF($F426="","",ROUND(Rates!$B$10*IF(Rates!$B$11="Full",P426-$D426,MAX(0,MIN(P426,Rates!$B$13)-Rates!$B$12)-MAX(0,MIN($D426,Rates!$B$13)-Rates!$B$12)),2))</f>
        <v/>
      </c>
      <c r="T426" s="19">
        <f>IF($F426="","",ROUND(Q426+R426+S426,2))</f>
        <v/>
      </c>
    </row>
    <row r="427">
      <c r="A427" s="13" t="n"/>
      <c r="B427" s="13" t="n"/>
      <c r="C427" s="14" t="n"/>
      <c r="D427" s="14" t="n"/>
      <c r="E427" s="15" t="n"/>
      <c r="F427" s="16" t="n"/>
      <c r="G427" s="13" t="n"/>
      <c r="H427" s="13" t="n"/>
      <c r="I427" s="13" t="n"/>
      <c r="J427" s="17">
        <f>IF($F427="","",DATEDIF($F427,Rates!$B$2,"Y"))</f>
        <v/>
      </c>
      <c r="K427" s="18">
        <f>IF($F427="","",IF(UPPER($I427)="Y",Rates!$B$7,IF(J427&gt;=21,Rates!$B$4,IF(J427&gt;=18,Rates!$B$5,Rates!$B$6))))</f>
        <v/>
      </c>
      <c r="L427" s="17">
        <f>IF($F427="","",IF($E427&lt;K427,"Uplift needed","OK"))</f>
        <v/>
      </c>
      <c r="M427" s="17">
        <f>IF($F427="","",IF(AND(J427&lt;21,DATEDIF($F427,Rates!$B$3,"Y")&gt;=21),"Turns 21",IF(AND(J427&lt;18,DATEDIF($F427,Rates!$B$3,"Y")&gt;=18),"Turns 18","")))</f>
        <v/>
      </c>
      <c r="N427" s="18">
        <f>IF($F427="","",MAX($E427,K427))</f>
        <v/>
      </c>
      <c r="O427" s="19">
        <f>IF($F427="","",ROUND($C427*N427/$E427,2))</f>
        <v/>
      </c>
      <c r="P427" s="19">
        <f>IF($F427="","",ROUND($D427*N427/$E427,2))</f>
        <v/>
      </c>
      <c r="Q427" s="19">
        <f>IF($F427="","",ROUND(P427-$D427,2))</f>
        <v/>
      </c>
      <c r="R427" s="19">
        <f>IF($F427="","",ROUND(Rates!$B$8*(MAX(0,P427-Rates!$B$9)-MAX(0,$D427-Rates!$B$9)),2))</f>
        <v/>
      </c>
      <c r="S427" s="19">
        <f>IF($F427="","",ROUND(Rates!$B$10*IF(Rates!$B$11="Full",P427-$D427,MAX(0,MIN(P427,Rates!$B$13)-Rates!$B$12)-MAX(0,MIN($D427,Rates!$B$13)-Rates!$B$12)),2))</f>
        <v/>
      </c>
      <c r="T427" s="19">
        <f>IF($F427="","",ROUND(Q427+R427+S427,2))</f>
        <v/>
      </c>
    </row>
    <row r="428">
      <c r="A428" s="13" t="n"/>
      <c r="B428" s="13" t="n"/>
      <c r="C428" s="14" t="n"/>
      <c r="D428" s="14" t="n"/>
      <c r="E428" s="15" t="n"/>
      <c r="F428" s="16" t="n"/>
      <c r="G428" s="13" t="n"/>
      <c r="H428" s="13" t="n"/>
      <c r="I428" s="13" t="n"/>
      <c r="J428" s="17">
        <f>IF($F428="","",DATEDIF($F428,Rates!$B$2,"Y"))</f>
        <v/>
      </c>
      <c r="K428" s="18">
        <f>IF($F428="","",IF(UPPER($I428)="Y",Rates!$B$7,IF(J428&gt;=21,Rates!$B$4,IF(J428&gt;=18,Rates!$B$5,Rates!$B$6))))</f>
        <v/>
      </c>
      <c r="L428" s="17">
        <f>IF($F428="","",IF($E428&lt;K428,"Uplift needed","OK"))</f>
        <v/>
      </c>
      <c r="M428" s="17">
        <f>IF($F428="","",IF(AND(J428&lt;21,DATEDIF($F428,Rates!$B$3,"Y")&gt;=21),"Turns 21",IF(AND(J428&lt;18,DATEDIF($F428,Rates!$B$3,"Y")&gt;=18),"Turns 18","")))</f>
        <v/>
      </c>
      <c r="N428" s="18">
        <f>IF($F428="","",MAX($E428,K428))</f>
        <v/>
      </c>
      <c r="O428" s="19">
        <f>IF($F428="","",ROUND($C428*N428/$E428,2))</f>
        <v/>
      </c>
      <c r="P428" s="19">
        <f>IF($F428="","",ROUND($D428*N428/$E428,2))</f>
        <v/>
      </c>
      <c r="Q428" s="19">
        <f>IF($F428="","",ROUND(P428-$D428,2))</f>
        <v/>
      </c>
      <c r="R428" s="19">
        <f>IF($F428="","",ROUND(Rates!$B$8*(MAX(0,P428-Rates!$B$9)-MAX(0,$D428-Rates!$B$9)),2))</f>
        <v/>
      </c>
      <c r="S428" s="19">
        <f>IF($F428="","",ROUND(Rates!$B$10*IF(Rates!$B$11="Full",P428-$D428,MAX(0,MIN(P428,Rates!$B$13)-Rates!$B$12)-MAX(0,MIN($D428,Rates!$B$13)-Rates!$B$12)),2))</f>
        <v/>
      </c>
      <c r="T428" s="19">
        <f>IF($F428="","",ROUND(Q428+R428+S428,2))</f>
        <v/>
      </c>
    </row>
    <row r="429">
      <c r="A429" s="13" t="n"/>
      <c r="B429" s="13" t="n"/>
      <c r="C429" s="14" t="n"/>
      <c r="D429" s="14" t="n"/>
      <c r="E429" s="15" t="n"/>
      <c r="F429" s="16" t="n"/>
      <c r="G429" s="13" t="n"/>
      <c r="H429" s="13" t="n"/>
      <c r="I429" s="13" t="n"/>
      <c r="J429" s="17">
        <f>IF($F429="","",DATEDIF($F429,Rates!$B$2,"Y"))</f>
        <v/>
      </c>
      <c r="K429" s="18">
        <f>IF($F429="","",IF(UPPER($I429)="Y",Rates!$B$7,IF(J429&gt;=21,Rates!$B$4,IF(J429&gt;=18,Rates!$B$5,Rates!$B$6))))</f>
        <v/>
      </c>
      <c r="L429" s="17">
        <f>IF($F429="","",IF($E429&lt;K429,"Uplift needed","OK"))</f>
        <v/>
      </c>
      <c r="M429" s="17">
        <f>IF($F429="","",IF(AND(J429&lt;21,DATEDIF($F429,Rates!$B$3,"Y")&gt;=21),"Turns 21",IF(AND(J429&lt;18,DATEDIF($F429,Rates!$B$3,"Y")&gt;=18),"Turns 18","")))</f>
        <v/>
      </c>
      <c r="N429" s="18">
        <f>IF($F429="","",MAX($E429,K429))</f>
        <v/>
      </c>
      <c r="O429" s="19">
        <f>IF($F429="","",ROUND($C429*N429/$E429,2))</f>
        <v/>
      </c>
      <c r="P429" s="19">
        <f>IF($F429="","",ROUND($D429*N429/$E429,2))</f>
        <v/>
      </c>
      <c r="Q429" s="19">
        <f>IF($F429="","",ROUND(P429-$D429,2))</f>
        <v/>
      </c>
      <c r="R429" s="19">
        <f>IF($F429="","",ROUND(Rates!$B$8*(MAX(0,P429-Rates!$B$9)-MAX(0,$D429-Rates!$B$9)),2))</f>
        <v/>
      </c>
      <c r="S429" s="19">
        <f>IF($F429="","",ROUND(Rates!$B$10*IF(Rates!$B$11="Full",P429-$D429,MAX(0,MIN(P429,Rates!$B$13)-Rates!$B$12)-MAX(0,MIN($D429,Rates!$B$13)-Rates!$B$12)),2))</f>
        <v/>
      </c>
      <c r="T429" s="19">
        <f>IF($F429="","",ROUND(Q429+R429+S429,2))</f>
        <v/>
      </c>
    </row>
    <row r="430">
      <c r="A430" s="13" t="n"/>
      <c r="B430" s="13" t="n"/>
      <c r="C430" s="14" t="n"/>
      <c r="D430" s="14" t="n"/>
      <c r="E430" s="15" t="n"/>
      <c r="F430" s="16" t="n"/>
      <c r="G430" s="13" t="n"/>
      <c r="H430" s="13" t="n"/>
      <c r="I430" s="13" t="n"/>
      <c r="J430" s="17">
        <f>IF($F430="","",DATEDIF($F430,Rates!$B$2,"Y"))</f>
        <v/>
      </c>
      <c r="K430" s="18">
        <f>IF($F430="","",IF(UPPER($I430)="Y",Rates!$B$7,IF(J430&gt;=21,Rates!$B$4,IF(J430&gt;=18,Rates!$B$5,Rates!$B$6))))</f>
        <v/>
      </c>
      <c r="L430" s="17">
        <f>IF($F430="","",IF($E430&lt;K430,"Uplift needed","OK"))</f>
        <v/>
      </c>
      <c r="M430" s="17">
        <f>IF($F430="","",IF(AND(J430&lt;21,DATEDIF($F430,Rates!$B$3,"Y")&gt;=21),"Turns 21",IF(AND(J430&lt;18,DATEDIF($F430,Rates!$B$3,"Y")&gt;=18),"Turns 18","")))</f>
        <v/>
      </c>
      <c r="N430" s="18">
        <f>IF($F430="","",MAX($E430,K430))</f>
        <v/>
      </c>
      <c r="O430" s="19">
        <f>IF($F430="","",ROUND($C430*N430/$E430,2))</f>
        <v/>
      </c>
      <c r="P430" s="19">
        <f>IF($F430="","",ROUND($D430*N430/$E430,2))</f>
        <v/>
      </c>
      <c r="Q430" s="19">
        <f>IF($F430="","",ROUND(P430-$D430,2))</f>
        <v/>
      </c>
      <c r="R430" s="19">
        <f>IF($F430="","",ROUND(Rates!$B$8*(MAX(0,P430-Rates!$B$9)-MAX(0,$D430-Rates!$B$9)),2))</f>
        <v/>
      </c>
      <c r="S430" s="19">
        <f>IF($F430="","",ROUND(Rates!$B$10*IF(Rates!$B$11="Full",P430-$D430,MAX(0,MIN(P430,Rates!$B$13)-Rates!$B$12)-MAX(0,MIN($D430,Rates!$B$13)-Rates!$B$12)),2))</f>
        <v/>
      </c>
      <c r="T430" s="19">
        <f>IF($F430="","",ROUND(Q430+R430+S430,2))</f>
        <v/>
      </c>
    </row>
    <row r="431">
      <c r="A431" s="13" t="n"/>
      <c r="B431" s="13" t="n"/>
      <c r="C431" s="14" t="n"/>
      <c r="D431" s="14" t="n"/>
      <c r="E431" s="15" t="n"/>
      <c r="F431" s="16" t="n"/>
      <c r="G431" s="13" t="n"/>
      <c r="H431" s="13" t="n"/>
      <c r="I431" s="13" t="n"/>
      <c r="J431" s="17">
        <f>IF($F431="","",DATEDIF($F431,Rates!$B$2,"Y"))</f>
        <v/>
      </c>
      <c r="K431" s="18">
        <f>IF($F431="","",IF(UPPER($I431)="Y",Rates!$B$7,IF(J431&gt;=21,Rates!$B$4,IF(J431&gt;=18,Rates!$B$5,Rates!$B$6))))</f>
        <v/>
      </c>
      <c r="L431" s="17">
        <f>IF($F431="","",IF($E431&lt;K431,"Uplift needed","OK"))</f>
        <v/>
      </c>
      <c r="M431" s="17">
        <f>IF($F431="","",IF(AND(J431&lt;21,DATEDIF($F431,Rates!$B$3,"Y")&gt;=21),"Turns 21",IF(AND(J431&lt;18,DATEDIF($F431,Rates!$B$3,"Y")&gt;=18),"Turns 18","")))</f>
        <v/>
      </c>
      <c r="N431" s="18">
        <f>IF($F431="","",MAX($E431,K431))</f>
        <v/>
      </c>
      <c r="O431" s="19">
        <f>IF($F431="","",ROUND($C431*N431/$E431,2))</f>
        <v/>
      </c>
      <c r="P431" s="19">
        <f>IF($F431="","",ROUND($D431*N431/$E431,2))</f>
        <v/>
      </c>
      <c r="Q431" s="19">
        <f>IF($F431="","",ROUND(P431-$D431,2))</f>
        <v/>
      </c>
      <c r="R431" s="19">
        <f>IF($F431="","",ROUND(Rates!$B$8*(MAX(0,P431-Rates!$B$9)-MAX(0,$D431-Rates!$B$9)),2))</f>
        <v/>
      </c>
      <c r="S431" s="19">
        <f>IF($F431="","",ROUND(Rates!$B$10*IF(Rates!$B$11="Full",P431-$D431,MAX(0,MIN(P431,Rates!$B$13)-Rates!$B$12)-MAX(0,MIN($D431,Rates!$B$13)-Rates!$B$12)),2))</f>
        <v/>
      </c>
      <c r="T431" s="19">
        <f>IF($F431="","",ROUND(Q431+R431+S431,2))</f>
        <v/>
      </c>
    </row>
    <row r="432">
      <c r="A432" s="13" t="n"/>
      <c r="B432" s="13" t="n"/>
      <c r="C432" s="14" t="n"/>
      <c r="D432" s="14" t="n"/>
      <c r="E432" s="15" t="n"/>
      <c r="F432" s="16" t="n"/>
      <c r="G432" s="13" t="n"/>
      <c r="H432" s="13" t="n"/>
      <c r="I432" s="13" t="n"/>
      <c r="J432" s="17">
        <f>IF($F432="","",DATEDIF($F432,Rates!$B$2,"Y"))</f>
        <v/>
      </c>
      <c r="K432" s="18">
        <f>IF($F432="","",IF(UPPER($I432)="Y",Rates!$B$7,IF(J432&gt;=21,Rates!$B$4,IF(J432&gt;=18,Rates!$B$5,Rates!$B$6))))</f>
        <v/>
      </c>
      <c r="L432" s="17">
        <f>IF($F432="","",IF($E432&lt;K432,"Uplift needed","OK"))</f>
        <v/>
      </c>
      <c r="M432" s="17">
        <f>IF($F432="","",IF(AND(J432&lt;21,DATEDIF($F432,Rates!$B$3,"Y")&gt;=21),"Turns 21",IF(AND(J432&lt;18,DATEDIF($F432,Rates!$B$3,"Y")&gt;=18),"Turns 18","")))</f>
        <v/>
      </c>
      <c r="N432" s="18">
        <f>IF($F432="","",MAX($E432,K432))</f>
        <v/>
      </c>
      <c r="O432" s="19">
        <f>IF($F432="","",ROUND($C432*N432/$E432,2))</f>
        <v/>
      </c>
      <c r="P432" s="19">
        <f>IF($F432="","",ROUND($D432*N432/$E432,2))</f>
        <v/>
      </c>
      <c r="Q432" s="19">
        <f>IF($F432="","",ROUND(P432-$D432,2))</f>
        <v/>
      </c>
      <c r="R432" s="19">
        <f>IF($F432="","",ROUND(Rates!$B$8*(MAX(0,P432-Rates!$B$9)-MAX(0,$D432-Rates!$B$9)),2))</f>
        <v/>
      </c>
      <c r="S432" s="19">
        <f>IF($F432="","",ROUND(Rates!$B$10*IF(Rates!$B$11="Full",P432-$D432,MAX(0,MIN(P432,Rates!$B$13)-Rates!$B$12)-MAX(0,MIN($D432,Rates!$B$13)-Rates!$B$12)),2))</f>
        <v/>
      </c>
      <c r="T432" s="19">
        <f>IF($F432="","",ROUND(Q432+R432+S432,2))</f>
        <v/>
      </c>
    </row>
    <row r="433">
      <c r="A433" s="13" t="n"/>
      <c r="B433" s="13" t="n"/>
      <c r="C433" s="14" t="n"/>
      <c r="D433" s="14" t="n"/>
      <c r="E433" s="15" t="n"/>
      <c r="F433" s="16" t="n"/>
      <c r="G433" s="13" t="n"/>
      <c r="H433" s="13" t="n"/>
      <c r="I433" s="13" t="n"/>
      <c r="J433" s="17">
        <f>IF($F433="","",DATEDIF($F433,Rates!$B$2,"Y"))</f>
        <v/>
      </c>
      <c r="K433" s="18">
        <f>IF($F433="","",IF(UPPER($I433)="Y",Rates!$B$7,IF(J433&gt;=21,Rates!$B$4,IF(J433&gt;=18,Rates!$B$5,Rates!$B$6))))</f>
        <v/>
      </c>
      <c r="L433" s="17">
        <f>IF($F433="","",IF($E433&lt;K433,"Uplift needed","OK"))</f>
        <v/>
      </c>
      <c r="M433" s="17">
        <f>IF($F433="","",IF(AND(J433&lt;21,DATEDIF($F433,Rates!$B$3,"Y")&gt;=21),"Turns 21",IF(AND(J433&lt;18,DATEDIF($F433,Rates!$B$3,"Y")&gt;=18),"Turns 18","")))</f>
        <v/>
      </c>
      <c r="N433" s="18">
        <f>IF($F433="","",MAX($E433,K433))</f>
        <v/>
      </c>
      <c r="O433" s="19">
        <f>IF($F433="","",ROUND($C433*N433/$E433,2))</f>
        <v/>
      </c>
      <c r="P433" s="19">
        <f>IF($F433="","",ROUND($D433*N433/$E433,2))</f>
        <v/>
      </c>
      <c r="Q433" s="19">
        <f>IF($F433="","",ROUND(P433-$D433,2))</f>
        <v/>
      </c>
      <c r="R433" s="19">
        <f>IF($F433="","",ROUND(Rates!$B$8*(MAX(0,P433-Rates!$B$9)-MAX(0,$D433-Rates!$B$9)),2))</f>
        <v/>
      </c>
      <c r="S433" s="19">
        <f>IF($F433="","",ROUND(Rates!$B$10*IF(Rates!$B$11="Full",P433-$D433,MAX(0,MIN(P433,Rates!$B$13)-Rates!$B$12)-MAX(0,MIN($D433,Rates!$B$13)-Rates!$B$12)),2))</f>
        <v/>
      </c>
      <c r="T433" s="19">
        <f>IF($F433="","",ROUND(Q433+R433+S433,2))</f>
        <v/>
      </c>
    </row>
    <row r="434">
      <c r="A434" s="13" t="n"/>
      <c r="B434" s="13" t="n"/>
      <c r="C434" s="14" t="n"/>
      <c r="D434" s="14" t="n"/>
      <c r="E434" s="15" t="n"/>
      <c r="F434" s="16" t="n"/>
      <c r="G434" s="13" t="n"/>
      <c r="H434" s="13" t="n"/>
      <c r="I434" s="13" t="n"/>
      <c r="J434" s="17">
        <f>IF($F434="","",DATEDIF($F434,Rates!$B$2,"Y"))</f>
        <v/>
      </c>
      <c r="K434" s="18">
        <f>IF($F434="","",IF(UPPER($I434)="Y",Rates!$B$7,IF(J434&gt;=21,Rates!$B$4,IF(J434&gt;=18,Rates!$B$5,Rates!$B$6))))</f>
        <v/>
      </c>
      <c r="L434" s="17">
        <f>IF($F434="","",IF($E434&lt;K434,"Uplift needed","OK"))</f>
        <v/>
      </c>
      <c r="M434" s="17">
        <f>IF($F434="","",IF(AND(J434&lt;21,DATEDIF($F434,Rates!$B$3,"Y")&gt;=21),"Turns 21",IF(AND(J434&lt;18,DATEDIF($F434,Rates!$B$3,"Y")&gt;=18),"Turns 18","")))</f>
        <v/>
      </c>
      <c r="N434" s="18">
        <f>IF($F434="","",MAX($E434,K434))</f>
        <v/>
      </c>
      <c r="O434" s="19">
        <f>IF($F434="","",ROUND($C434*N434/$E434,2))</f>
        <v/>
      </c>
      <c r="P434" s="19">
        <f>IF($F434="","",ROUND($D434*N434/$E434,2))</f>
        <v/>
      </c>
      <c r="Q434" s="19">
        <f>IF($F434="","",ROUND(P434-$D434,2))</f>
        <v/>
      </c>
      <c r="R434" s="19">
        <f>IF($F434="","",ROUND(Rates!$B$8*(MAX(0,P434-Rates!$B$9)-MAX(0,$D434-Rates!$B$9)),2))</f>
        <v/>
      </c>
      <c r="S434" s="19">
        <f>IF($F434="","",ROUND(Rates!$B$10*IF(Rates!$B$11="Full",P434-$D434,MAX(0,MIN(P434,Rates!$B$13)-Rates!$B$12)-MAX(0,MIN($D434,Rates!$B$13)-Rates!$B$12)),2))</f>
        <v/>
      </c>
      <c r="T434" s="19">
        <f>IF($F434="","",ROUND(Q434+R434+S434,2))</f>
        <v/>
      </c>
    </row>
    <row r="435">
      <c r="A435" s="13" t="n"/>
      <c r="B435" s="13" t="n"/>
      <c r="C435" s="14" t="n"/>
      <c r="D435" s="14" t="n"/>
      <c r="E435" s="15" t="n"/>
      <c r="F435" s="16" t="n"/>
      <c r="G435" s="13" t="n"/>
      <c r="H435" s="13" t="n"/>
      <c r="I435" s="13" t="n"/>
      <c r="J435" s="17">
        <f>IF($F435="","",DATEDIF($F435,Rates!$B$2,"Y"))</f>
        <v/>
      </c>
      <c r="K435" s="18">
        <f>IF($F435="","",IF(UPPER($I435)="Y",Rates!$B$7,IF(J435&gt;=21,Rates!$B$4,IF(J435&gt;=18,Rates!$B$5,Rates!$B$6))))</f>
        <v/>
      </c>
      <c r="L435" s="17">
        <f>IF($F435="","",IF($E435&lt;K435,"Uplift needed","OK"))</f>
        <v/>
      </c>
      <c r="M435" s="17">
        <f>IF($F435="","",IF(AND(J435&lt;21,DATEDIF($F435,Rates!$B$3,"Y")&gt;=21),"Turns 21",IF(AND(J435&lt;18,DATEDIF($F435,Rates!$B$3,"Y")&gt;=18),"Turns 18","")))</f>
        <v/>
      </c>
      <c r="N435" s="18">
        <f>IF($F435="","",MAX($E435,K435))</f>
        <v/>
      </c>
      <c r="O435" s="19">
        <f>IF($F435="","",ROUND($C435*N435/$E435,2))</f>
        <v/>
      </c>
      <c r="P435" s="19">
        <f>IF($F435="","",ROUND($D435*N435/$E435,2))</f>
        <v/>
      </c>
      <c r="Q435" s="19">
        <f>IF($F435="","",ROUND(P435-$D435,2))</f>
        <v/>
      </c>
      <c r="R435" s="19">
        <f>IF($F435="","",ROUND(Rates!$B$8*(MAX(0,P435-Rates!$B$9)-MAX(0,$D435-Rates!$B$9)),2))</f>
        <v/>
      </c>
      <c r="S435" s="19">
        <f>IF($F435="","",ROUND(Rates!$B$10*IF(Rates!$B$11="Full",P435-$D435,MAX(0,MIN(P435,Rates!$B$13)-Rates!$B$12)-MAX(0,MIN($D435,Rates!$B$13)-Rates!$B$12)),2))</f>
        <v/>
      </c>
      <c r="T435" s="19">
        <f>IF($F435="","",ROUND(Q435+R435+S435,2))</f>
        <v/>
      </c>
    </row>
    <row r="436">
      <c r="A436" s="13" t="n"/>
      <c r="B436" s="13" t="n"/>
      <c r="C436" s="14" t="n"/>
      <c r="D436" s="14" t="n"/>
      <c r="E436" s="15" t="n"/>
      <c r="F436" s="16" t="n"/>
      <c r="G436" s="13" t="n"/>
      <c r="H436" s="13" t="n"/>
      <c r="I436" s="13" t="n"/>
      <c r="J436" s="17">
        <f>IF($F436="","",DATEDIF($F436,Rates!$B$2,"Y"))</f>
        <v/>
      </c>
      <c r="K436" s="18">
        <f>IF($F436="","",IF(UPPER($I436)="Y",Rates!$B$7,IF(J436&gt;=21,Rates!$B$4,IF(J436&gt;=18,Rates!$B$5,Rates!$B$6))))</f>
        <v/>
      </c>
      <c r="L436" s="17">
        <f>IF($F436="","",IF($E436&lt;K436,"Uplift needed","OK"))</f>
        <v/>
      </c>
      <c r="M436" s="17">
        <f>IF($F436="","",IF(AND(J436&lt;21,DATEDIF($F436,Rates!$B$3,"Y")&gt;=21),"Turns 21",IF(AND(J436&lt;18,DATEDIF($F436,Rates!$B$3,"Y")&gt;=18),"Turns 18","")))</f>
        <v/>
      </c>
      <c r="N436" s="18">
        <f>IF($F436="","",MAX($E436,K436))</f>
        <v/>
      </c>
      <c r="O436" s="19">
        <f>IF($F436="","",ROUND($C436*N436/$E436,2))</f>
        <v/>
      </c>
      <c r="P436" s="19">
        <f>IF($F436="","",ROUND($D436*N436/$E436,2))</f>
        <v/>
      </c>
      <c r="Q436" s="19">
        <f>IF($F436="","",ROUND(P436-$D436,2))</f>
        <v/>
      </c>
      <c r="R436" s="19">
        <f>IF($F436="","",ROUND(Rates!$B$8*(MAX(0,P436-Rates!$B$9)-MAX(0,$D436-Rates!$B$9)),2))</f>
        <v/>
      </c>
      <c r="S436" s="19">
        <f>IF($F436="","",ROUND(Rates!$B$10*IF(Rates!$B$11="Full",P436-$D436,MAX(0,MIN(P436,Rates!$B$13)-Rates!$B$12)-MAX(0,MIN($D436,Rates!$B$13)-Rates!$B$12)),2))</f>
        <v/>
      </c>
      <c r="T436" s="19">
        <f>IF($F436="","",ROUND(Q436+R436+S436,2))</f>
        <v/>
      </c>
    </row>
    <row r="437">
      <c r="A437" s="13" t="n"/>
      <c r="B437" s="13" t="n"/>
      <c r="C437" s="14" t="n"/>
      <c r="D437" s="14" t="n"/>
      <c r="E437" s="15" t="n"/>
      <c r="F437" s="16" t="n"/>
      <c r="G437" s="13" t="n"/>
      <c r="H437" s="13" t="n"/>
      <c r="I437" s="13" t="n"/>
      <c r="J437" s="17">
        <f>IF($F437="","",DATEDIF($F437,Rates!$B$2,"Y"))</f>
        <v/>
      </c>
      <c r="K437" s="18">
        <f>IF($F437="","",IF(UPPER($I437)="Y",Rates!$B$7,IF(J437&gt;=21,Rates!$B$4,IF(J437&gt;=18,Rates!$B$5,Rates!$B$6))))</f>
        <v/>
      </c>
      <c r="L437" s="17">
        <f>IF($F437="","",IF($E437&lt;K437,"Uplift needed","OK"))</f>
        <v/>
      </c>
      <c r="M437" s="17">
        <f>IF($F437="","",IF(AND(J437&lt;21,DATEDIF($F437,Rates!$B$3,"Y")&gt;=21),"Turns 21",IF(AND(J437&lt;18,DATEDIF($F437,Rates!$B$3,"Y")&gt;=18),"Turns 18","")))</f>
        <v/>
      </c>
      <c r="N437" s="18">
        <f>IF($F437="","",MAX($E437,K437))</f>
        <v/>
      </c>
      <c r="O437" s="19">
        <f>IF($F437="","",ROUND($C437*N437/$E437,2))</f>
        <v/>
      </c>
      <c r="P437" s="19">
        <f>IF($F437="","",ROUND($D437*N437/$E437,2))</f>
        <v/>
      </c>
      <c r="Q437" s="19">
        <f>IF($F437="","",ROUND(P437-$D437,2))</f>
        <v/>
      </c>
      <c r="R437" s="19">
        <f>IF($F437="","",ROUND(Rates!$B$8*(MAX(0,P437-Rates!$B$9)-MAX(0,$D437-Rates!$B$9)),2))</f>
        <v/>
      </c>
      <c r="S437" s="19">
        <f>IF($F437="","",ROUND(Rates!$B$10*IF(Rates!$B$11="Full",P437-$D437,MAX(0,MIN(P437,Rates!$B$13)-Rates!$B$12)-MAX(0,MIN($D437,Rates!$B$13)-Rates!$B$12)),2))</f>
        <v/>
      </c>
      <c r="T437" s="19">
        <f>IF($F437="","",ROUND(Q437+R437+S437,2))</f>
        <v/>
      </c>
    </row>
    <row r="438">
      <c r="A438" s="13" t="n"/>
      <c r="B438" s="13" t="n"/>
      <c r="C438" s="14" t="n"/>
      <c r="D438" s="14" t="n"/>
      <c r="E438" s="15" t="n"/>
      <c r="F438" s="16" t="n"/>
      <c r="G438" s="13" t="n"/>
      <c r="H438" s="13" t="n"/>
      <c r="I438" s="13" t="n"/>
      <c r="J438" s="17">
        <f>IF($F438="","",DATEDIF($F438,Rates!$B$2,"Y"))</f>
        <v/>
      </c>
      <c r="K438" s="18">
        <f>IF($F438="","",IF(UPPER($I438)="Y",Rates!$B$7,IF(J438&gt;=21,Rates!$B$4,IF(J438&gt;=18,Rates!$B$5,Rates!$B$6))))</f>
        <v/>
      </c>
      <c r="L438" s="17">
        <f>IF($F438="","",IF($E438&lt;K438,"Uplift needed","OK"))</f>
        <v/>
      </c>
      <c r="M438" s="17">
        <f>IF($F438="","",IF(AND(J438&lt;21,DATEDIF($F438,Rates!$B$3,"Y")&gt;=21),"Turns 21",IF(AND(J438&lt;18,DATEDIF($F438,Rates!$B$3,"Y")&gt;=18),"Turns 18","")))</f>
        <v/>
      </c>
      <c r="N438" s="18">
        <f>IF($F438="","",MAX($E438,K438))</f>
        <v/>
      </c>
      <c r="O438" s="19">
        <f>IF($F438="","",ROUND($C438*N438/$E438,2))</f>
        <v/>
      </c>
      <c r="P438" s="19">
        <f>IF($F438="","",ROUND($D438*N438/$E438,2))</f>
        <v/>
      </c>
      <c r="Q438" s="19">
        <f>IF($F438="","",ROUND(P438-$D438,2))</f>
        <v/>
      </c>
      <c r="R438" s="19">
        <f>IF($F438="","",ROUND(Rates!$B$8*(MAX(0,P438-Rates!$B$9)-MAX(0,$D438-Rates!$B$9)),2))</f>
        <v/>
      </c>
      <c r="S438" s="19">
        <f>IF($F438="","",ROUND(Rates!$B$10*IF(Rates!$B$11="Full",P438-$D438,MAX(0,MIN(P438,Rates!$B$13)-Rates!$B$12)-MAX(0,MIN($D438,Rates!$B$13)-Rates!$B$12)),2))</f>
        <v/>
      </c>
      <c r="T438" s="19">
        <f>IF($F438="","",ROUND(Q438+R438+S438,2))</f>
        <v/>
      </c>
    </row>
    <row r="439">
      <c r="A439" s="13" t="n"/>
      <c r="B439" s="13" t="n"/>
      <c r="C439" s="14" t="n"/>
      <c r="D439" s="14" t="n"/>
      <c r="E439" s="15" t="n"/>
      <c r="F439" s="16" t="n"/>
      <c r="G439" s="13" t="n"/>
      <c r="H439" s="13" t="n"/>
      <c r="I439" s="13" t="n"/>
      <c r="J439" s="17">
        <f>IF($F439="","",DATEDIF($F439,Rates!$B$2,"Y"))</f>
        <v/>
      </c>
      <c r="K439" s="18">
        <f>IF($F439="","",IF(UPPER($I439)="Y",Rates!$B$7,IF(J439&gt;=21,Rates!$B$4,IF(J439&gt;=18,Rates!$B$5,Rates!$B$6))))</f>
        <v/>
      </c>
      <c r="L439" s="17">
        <f>IF($F439="","",IF($E439&lt;K439,"Uplift needed","OK"))</f>
        <v/>
      </c>
      <c r="M439" s="17">
        <f>IF($F439="","",IF(AND(J439&lt;21,DATEDIF($F439,Rates!$B$3,"Y")&gt;=21),"Turns 21",IF(AND(J439&lt;18,DATEDIF($F439,Rates!$B$3,"Y")&gt;=18),"Turns 18","")))</f>
        <v/>
      </c>
      <c r="N439" s="18">
        <f>IF($F439="","",MAX($E439,K439))</f>
        <v/>
      </c>
      <c r="O439" s="19">
        <f>IF($F439="","",ROUND($C439*N439/$E439,2))</f>
        <v/>
      </c>
      <c r="P439" s="19">
        <f>IF($F439="","",ROUND($D439*N439/$E439,2))</f>
        <v/>
      </c>
      <c r="Q439" s="19">
        <f>IF($F439="","",ROUND(P439-$D439,2))</f>
        <v/>
      </c>
      <c r="R439" s="19">
        <f>IF($F439="","",ROUND(Rates!$B$8*(MAX(0,P439-Rates!$B$9)-MAX(0,$D439-Rates!$B$9)),2))</f>
        <v/>
      </c>
      <c r="S439" s="19">
        <f>IF($F439="","",ROUND(Rates!$B$10*IF(Rates!$B$11="Full",P439-$D439,MAX(0,MIN(P439,Rates!$B$13)-Rates!$B$12)-MAX(0,MIN($D439,Rates!$B$13)-Rates!$B$12)),2))</f>
        <v/>
      </c>
      <c r="T439" s="19">
        <f>IF($F439="","",ROUND(Q439+R439+S439,2))</f>
        <v/>
      </c>
    </row>
    <row r="440">
      <c r="A440" s="13" t="n"/>
      <c r="B440" s="13" t="n"/>
      <c r="C440" s="14" t="n"/>
      <c r="D440" s="14" t="n"/>
      <c r="E440" s="15" t="n"/>
      <c r="F440" s="16" t="n"/>
      <c r="G440" s="13" t="n"/>
      <c r="H440" s="13" t="n"/>
      <c r="I440" s="13" t="n"/>
      <c r="J440" s="17">
        <f>IF($F440="","",DATEDIF($F440,Rates!$B$2,"Y"))</f>
        <v/>
      </c>
      <c r="K440" s="18">
        <f>IF($F440="","",IF(UPPER($I440)="Y",Rates!$B$7,IF(J440&gt;=21,Rates!$B$4,IF(J440&gt;=18,Rates!$B$5,Rates!$B$6))))</f>
        <v/>
      </c>
      <c r="L440" s="17">
        <f>IF($F440="","",IF($E440&lt;K440,"Uplift needed","OK"))</f>
        <v/>
      </c>
      <c r="M440" s="17">
        <f>IF($F440="","",IF(AND(J440&lt;21,DATEDIF($F440,Rates!$B$3,"Y")&gt;=21),"Turns 21",IF(AND(J440&lt;18,DATEDIF($F440,Rates!$B$3,"Y")&gt;=18),"Turns 18","")))</f>
        <v/>
      </c>
      <c r="N440" s="18">
        <f>IF($F440="","",MAX($E440,K440))</f>
        <v/>
      </c>
      <c r="O440" s="19">
        <f>IF($F440="","",ROUND($C440*N440/$E440,2))</f>
        <v/>
      </c>
      <c r="P440" s="19">
        <f>IF($F440="","",ROUND($D440*N440/$E440,2))</f>
        <v/>
      </c>
      <c r="Q440" s="19">
        <f>IF($F440="","",ROUND(P440-$D440,2))</f>
        <v/>
      </c>
      <c r="R440" s="19">
        <f>IF($F440="","",ROUND(Rates!$B$8*(MAX(0,P440-Rates!$B$9)-MAX(0,$D440-Rates!$B$9)),2))</f>
        <v/>
      </c>
      <c r="S440" s="19">
        <f>IF($F440="","",ROUND(Rates!$B$10*IF(Rates!$B$11="Full",P440-$D440,MAX(0,MIN(P440,Rates!$B$13)-Rates!$B$12)-MAX(0,MIN($D440,Rates!$B$13)-Rates!$B$12)),2))</f>
        <v/>
      </c>
      <c r="T440" s="19">
        <f>IF($F440="","",ROUND(Q440+R440+S440,2))</f>
        <v/>
      </c>
    </row>
    <row r="441">
      <c r="A441" s="13" t="n"/>
      <c r="B441" s="13" t="n"/>
      <c r="C441" s="14" t="n"/>
      <c r="D441" s="14" t="n"/>
      <c r="E441" s="15" t="n"/>
      <c r="F441" s="16" t="n"/>
      <c r="G441" s="13" t="n"/>
      <c r="H441" s="13" t="n"/>
      <c r="I441" s="13" t="n"/>
      <c r="J441" s="17">
        <f>IF($F441="","",DATEDIF($F441,Rates!$B$2,"Y"))</f>
        <v/>
      </c>
      <c r="K441" s="18">
        <f>IF($F441="","",IF(UPPER($I441)="Y",Rates!$B$7,IF(J441&gt;=21,Rates!$B$4,IF(J441&gt;=18,Rates!$B$5,Rates!$B$6))))</f>
        <v/>
      </c>
      <c r="L441" s="17">
        <f>IF($F441="","",IF($E441&lt;K441,"Uplift needed","OK"))</f>
        <v/>
      </c>
      <c r="M441" s="17">
        <f>IF($F441="","",IF(AND(J441&lt;21,DATEDIF($F441,Rates!$B$3,"Y")&gt;=21),"Turns 21",IF(AND(J441&lt;18,DATEDIF($F441,Rates!$B$3,"Y")&gt;=18),"Turns 18","")))</f>
        <v/>
      </c>
      <c r="N441" s="18">
        <f>IF($F441="","",MAX($E441,K441))</f>
        <v/>
      </c>
      <c r="O441" s="19">
        <f>IF($F441="","",ROUND($C441*N441/$E441,2))</f>
        <v/>
      </c>
      <c r="P441" s="19">
        <f>IF($F441="","",ROUND($D441*N441/$E441,2))</f>
        <v/>
      </c>
      <c r="Q441" s="19">
        <f>IF($F441="","",ROUND(P441-$D441,2))</f>
        <v/>
      </c>
      <c r="R441" s="19">
        <f>IF($F441="","",ROUND(Rates!$B$8*(MAX(0,P441-Rates!$B$9)-MAX(0,$D441-Rates!$B$9)),2))</f>
        <v/>
      </c>
      <c r="S441" s="19">
        <f>IF($F441="","",ROUND(Rates!$B$10*IF(Rates!$B$11="Full",P441-$D441,MAX(0,MIN(P441,Rates!$B$13)-Rates!$B$12)-MAX(0,MIN($D441,Rates!$B$13)-Rates!$B$12)),2))</f>
        <v/>
      </c>
      <c r="T441" s="19">
        <f>IF($F441="","",ROUND(Q441+R441+S441,2))</f>
        <v/>
      </c>
    </row>
    <row r="442">
      <c r="A442" s="13" t="n"/>
      <c r="B442" s="13" t="n"/>
      <c r="C442" s="14" t="n"/>
      <c r="D442" s="14" t="n"/>
      <c r="E442" s="15" t="n"/>
      <c r="F442" s="16" t="n"/>
      <c r="G442" s="13" t="n"/>
      <c r="H442" s="13" t="n"/>
      <c r="I442" s="13" t="n"/>
      <c r="J442" s="17">
        <f>IF($F442="","",DATEDIF($F442,Rates!$B$2,"Y"))</f>
        <v/>
      </c>
      <c r="K442" s="18">
        <f>IF($F442="","",IF(UPPER($I442)="Y",Rates!$B$7,IF(J442&gt;=21,Rates!$B$4,IF(J442&gt;=18,Rates!$B$5,Rates!$B$6))))</f>
        <v/>
      </c>
      <c r="L442" s="17">
        <f>IF($F442="","",IF($E442&lt;K442,"Uplift needed","OK"))</f>
        <v/>
      </c>
      <c r="M442" s="17">
        <f>IF($F442="","",IF(AND(J442&lt;21,DATEDIF($F442,Rates!$B$3,"Y")&gt;=21),"Turns 21",IF(AND(J442&lt;18,DATEDIF($F442,Rates!$B$3,"Y")&gt;=18),"Turns 18","")))</f>
        <v/>
      </c>
      <c r="N442" s="18">
        <f>IF($F442="","",MAX($E442,K442))</f>
        <v/>
      </c>
      <c r="O442" s="19">
        <f>IF($F442="","",ROUND($C442*N442/$E442,2))</f>
        <v/>
      </c>
      <c r="P442" s="19">
        <f>IF($F442="","",ROUND($D442*N442/$E442,2))</f>
        <v/>
      </c>
      <c r="Q442" s="19">
        <f>IF($F442="","",ROUND(P442-$D442,2))</f>
        <v/>
      </c>
      <c r="R442" s="19">
        <f>IF($F442="","",ROUND(Rates!$B$8*(MAX(0,P442-Rates!$B$9)-MAX(0,$D442-Rates!$B$9)),2))</f>
        <v/>
      </c>
      <c r="S442" s="19">
        <f>IF($F442="","",ROUND(Rates!$B$10*IF(Rates!$B$11="Full",P442-$D442,MAX(0,MIN(P442,Rates!$B$13)-Rates!$B$12)-MAX(0,MIN($D442,Rates!$B$13)-Rates!$B$12)),2))</f>
        <v/>
      </c>
      <c r="T442" s="19">
        <f>IF($F442="","",ROUND(Q442+R442+S442,2))</f>
        <v/>
      </c>
    </row>
    <row r="443">
      <c r="A443" s="13" t="n"/>
      <c r="B443" s="13" t="n"/>
      <c r="C443" s="14" t="n"/>
      <c r="D443" s="14" t="n"/>
      <c r="E443" s="15" t="n"/>
      <c r="F443" s="16" t="n"/>
      <c r="G443" s="13" t="n"/>
      <c r="H443" s="13" t="n"/>
      <c r="I443" s="13" t="n"/>
      <c r="J443" s="17">
        <f>IF($F443="","",DATEDIF($F443,Rates!$B$2,"Y"))</f>
        <v/>
      </c>
      <c r="K443" s="18">
        <f>IF($F443="","",IF(UPPER($I443)="Y",Rates!$B$7,IF(J443&gt;=21,Rates!$B$4,IF(J443&gt;=18,Rates!$B$5,Rates!$B$6))))</f>
        <v/>
      </c>
      <c r="L443" s="17">
        <f>IF($F443="","",IF($E443&lt;K443,"Uplift needed","OK"))</f>
        <v/>
      </c>
      <c r="M443" s="17">
        <f>IF($F443="","",IF(AND(J443&lt;21,DATEDIF($F443,Rates!$B$3,"Y")&gt;=21),"Turns 21",IF(AND(J443&lt;18,DATEDIF($F443,Rates!$B$3,"Y")&gt;=18),"Turns 18","")))</f>
        <v/>
      </c>
      <c r="N443" s="18">
        <f>IF($F443="","",MAX($E443,K443))</f>
        <v/>
      </c>
      <c r="O443" s="19">
        <f>IF($F443="","",ROUND($C443*N443/$E443,2))</f>
        <v/>
      </c>
      <c r="P443" s="19">
        <f>IF($F443="","",ROUND($D443*N443/$E443,2))</f>
        <v/>
      </c>
      <c r="Q443" s="19">
        <f>IF($F443="","",ROUND(P443-$D443,2))</f>
        <v/>
      </c>
      <c r="R443" s="19">
        <f>IF($F443="","",ROUND(Rates!$B$8*(MAX(0,P443-Rates!$B$9)-MAX(0,$D443-Rates!$B$9)),2))</f>
        <v/>
      </c>
      <c r="S443" s="19">
        <f>IF($F443="","",ROUND(Rates!$B$10*IF(Rates!$B$11="Full",P443-$D443,MAX(0,MIN(P443,Rates!$B$13)-Rates!$B$12)-MAX(0,MIN($D443,Rates!$B$13)-Rates!$B$12)),2))</f>
        <v/>
      </c>
      <c r="T443" s="19">
        <f>IF($F443="","",ROUND(Q443+R443+S443,2))</f>
        <v/>
      </c>
    </row>
    <row r="444">
      <c r="A444" s="13" t="n"/>
      <c r="B444" s="13" t="n"/>
      <c r="C444" s="14" t="n"/>
      <c r="D444" s="14" t="n"/>
      <c r="E444" s="15" t="n"/>
      <c r="F444" s="16" t="n"/>
      <c r="G444" s="13" t="n"/>
      <c r="H444" s="13" t="n"/>
      <c r="I444" s="13" t="n"/>
      <c r="J444" s="17">
        <f>IF($F444="","",DATEDIF($F444,Rates!$B$2,"Y"))</f>
        <v/>
      </c>
      <c r="K444" s="18">
        <f>IF($F444="","",IF(UPPER($I444)="Y",Rates!$B$7,IF(J444&gt;=21,Rates!$B$4,IF(J444&gt;=18,Rates!$B$5,Rates!$B$6))))</f>
        <v/>
      </c>
      <c r="L444" s="17">
        <f>IF($F444="","",IF($E444&lt;K444,"Uplift needed","OK"))</f>
        <v/>
      </c>
      <c r="M444" s="17">
        <f>IF($F444="","",IF(AND(J444&lt;21,DATEDIF($F444,Rates!$B$3,"Y")&gt;=21),"Turns 21",IF(AND(J444&lt;18,DATEDIF($F444,Rates!$B$3,"Y")&gt;=18),"Turns 18","")))</f>
        <v/>
      </c>
      <c r="N444" s="18">
        <f>IF($F444="","",MAX($E444,K444))</f>
        <v/>
      </c>
      <c r="O444" s="19">
        <f>IF($F444="","",ROUND($C444*N444/$E444,2))</f>
        <v/>
      </c>
      <c r="P444" s="19">
        <f>IF($F444="","",ROUND($D444*N444/$E444,2))</f>
        <v/>
      </c>
      <c r="Q444" s="19">
        <f>IF($F444="","",ROUND(P444-$D444,2))</f>
        <v/>
      </c>
      <c r="R444" s="19">
        <f>IF($F444="","",ROUND(Rates!$B$8*(MAX(0,P444-Rates!$B$9)-MAX(0,$D444-Rates!$B$9)),2))</f>
        <v/>
      </c>
      <c r="S444" s="19">
        <f>IF($F444="","",ROUND(Rates!$B$10*IF(Rates!$B$11="Full",P444-$D444,MAX(0,MIN(P444,Rates!$B$13)-Rates!$B$12)-MAX(0,MIN($D444,Rates!$B$13)-Rates!$B$12)),2))</f>
        <v/>
      </c>
      <c r="T444" s="19">
        <f>IF($F444="","",ROUND(Q444+R444+S444,2))</f>
        <v/>
      </c>
    </row>
    <row r="445">
      <c r="A445" s="13" t="n"/>
      <c r="B445" s="13" t="n"/>
      <c r="C445" s="14" t="n"/>
      <c r="D445" s="14" t="n"/>
      <c r="E445" s="15" t="n"/>
      <c r="F445" s="16" t="n"/>
      <c r="G445" s="13" t="n"/>
      <c r="H445" s="13" t="n"/>
      <c r="I445" s="13" t="n"/>
      <c r="J445" s="17">
        <f>IF($F445="","",DATEDIF($F445,Rates!$B$2,"Y"))</f>
        <v/>
      </c>
      <c r="K445" s="18">
        <f>IF($F445="","",IF(UPPER($I445)="Y",Rates!$B$7,IF(J445&gt;=21,Rates!$B$4,IF(J445&gt;=18,Rates!$B$5,Rates!$B$6))))</f>
        <v/>
      </c>
      <c r="L445" s="17">
        <f>IF($F445="","",IF($E445&lt;K445,"Uplift needed","OK"))</f>
        <v/>
      </c>
      <c r="M445" s="17">
        <f>IF($F445="","",IF(AND(J445&lt;21,DATEDIF($F445,Rates!$B$3,"Y")&gt;=21),"Turns 21",IF(AND(J445&lt;18,DATEDIF($F445,Rates!$B$3,"Y")&gt;=18),"Turns 18","")))</f>
        <v/>
      </c>
      <c r="N445" s="18">
        <f>IF($F445="","",MAX($E445,K445))</f>
        <v/>
      </c>
      <c r="O445" s="19">
        <f>IF($F445="","",ROUND($C445*N445/$E445,2))</f>
        <v/>
      </c>
      <c r="P445" s="19">
        <f>IF($F445="","",ROUND($D445*N445/$E445,2))</f>
        <v/>
      </c>
      <c r="Q445" s="19">
        <f>IF($F445="","",ROUND(P445-$D445,2))</f>
        <v/>
      </c>
      <c r="R445" s="19">
        <f>IF($F445="","",ROUND(Rates!$B$8*(MAX(0,P445-Rates!$B$9)-MAX(0,$D445-Rates!$B$9)),2))</f>
        <v/>
      </c>
      <c r="S445" s="19">
        <f>IF($F445="","",ROUND(Rates!$B$10*IF(Rates!$B$11="Full",P445-$D445,MAX(0,MIN(P445,Rates!$B$13)-Rates!$B$12)-MAX(0,MIN($D445,Rates!$B$13)-Rates!$B$12)),2))</f>
        <v/>
      </c>
      <c r="T445" s="19">
        <f>IF($F445="","",ROUND(Q445+R445+S445,2))</f>
        <v/>
      </c>
    </row>
    <row r="446">
      <c r="A446" s="13" t="n"/>
      <c r="B446" s="13" t="n"/>
      <c r="C446" s="14" t="n"/>
      <c r="D446" s="14" t="n"/>
      <c r="E446" s="15" t="n"/>
      <c r="F446" s="16" t="n"/>
      <c r="G446" s="13" t="n"/>
      <c r="H446" s="13" t="n"/>
      <c r="I446" s="13" t="n"/>
      <c r="J446" s="17">
        <f>IF($F446="","",DATEDIF($F446,Rates!$B$2,"Y"))</f>
        <v/>
      </c>
      <c r="K446" s="18">
        <f>IF($F446="","",IF(UPPER($I446)="Y",Rates!$B$7,IF(J446&gt;=21,Rates!$B$4,IF(J446&gt;=18,Rates!$B$5,Rates!$B$6))))</f>
        <v/>
      </c>
      <c r="L446" s="17">
        <f>IF($F446="","",IF($E446&lt;K446,"Uplift needed","OK"))</f>
        <v/>
      </c>
      <c r="M446" s="17">
        <f>IF($F446="","",IF(AND(J446&lt;21,DATEDIF($F446,Rates!$B$3,"Y")&gt;=21),"Turns 21",IF(AND(J446&lt;18,DATEDIF($F446,Rates!$B$3,"Y")&gt;=18),"Turns 18","")))</f>
        <v/>
      </c>
      <c r="N446" s="18">
        <f>IF($F446="","",MAX($E446,K446))</f>
        <v/>
      </c>
      <c r="O446" s="19">
        <f>IF($F446="","",ROUND($C446*N446/$E446,2))</f>
        <v/>
      </c>
      <c r="P446" s="19">
        <f>IF($F446="","",ROUND($D446*N446/$E446,2))</f>
        <v/>
      </c>
      <c r="Q446" s="19">
        <f>IF($F446="","",ROUND(P446-$D446,2))</f>
        <v/>
      </c>
      <c r="R446" s="19">
        <f>IF($F446="","",ROUND(Rates!$B$8*(MAX(0,P446-Rates!$B$9)-MAX(0,$D446-Rates!$B$9)),2))</f>
        <v/>
      </c>
      <c r="S446" s="19">
        <f>IF($F446="","",ROUND(Rates!$B$10*IF(Rates!$B$11="Full",P446-$D446,MAX(0,MIN(P446,Rates!$B$13)-Rates!$B$12)-MAX(0,MIN($D446,Rates!$B$13)-Rates!$B$12)),2))</f>
        <v/>
      </c>
      <c r="T446" s="19">
        <f>IF($F446="","",ROUND(Q446+R446+S446,2))</f>
        <v/>
      </c>
    </row>
    <row r="447">
      <c r="A447" s="13" t="n"/>
      <c r="B447" s="13" t="n"/>
      <c r="C447" s="14" t="n"/>
      <c r="D447" s="14" t="n"/>
      <c r="E447" s="15" t="n"/>
      <c r="F447" s="16" t="n"/>
      <c r="G447" s="13" t="n"/>
      <c r="H447" s="13" t="n"/>
      <c r="I447" s="13" t="n"/>
      <c r="J447" s="17">
        <f>IF($F447="","",DATEDIF($F447,Rates!$B$2,"Y"))</f>
        <v/>
      </c>
      <c r="K447" s="18">
        <f>IF($F447="","",IF(UPPER($I447)="Y",Rates!$B$7,IF(J447&gt;=21,Rates!$B$4,IF(J447&gt;=18,Rates!$B$5,Rates!$B$6))))</f>
        <v/>
      </c>
      <c r="L447" s="17">
        <f>IF($F447="","",IF($E447&lt;K447,"Uplift needed","OK"))</f>
        <v/>
      </c>
      <c r="M447" s="17">
        <f>IF($F447="","",IF(AND(J447&lt;21,DATEDIF($F447,Rates!$B$3,"Y")&gt;=21),"Turns 21",IF(AND(J447&lt;18,DATEDIF($F447,Rates!$B$3,"Y")&gt;=18),"Turns 18","")))</f>
        <v/>
      </c>
      <c r="N447" s="18">
        <f>IF($F447="","",MAX($E447,K447))</f>
        <v/>
      </c>
      <c r="O447" s="19">
        <f>IF($F447="","",ROUND($C447*N447/$E447,2))</f>
        <v/>
      </c>
      <c r="P447" s="19">
        <f>IF($F447="","",ROUND($D447*N447/$E447,2))</f>
        <v/>
      </c>
      <c r="Q447" s="19">
        <f>IF($F447="","",ROUND(P447-$D447,2))</f>
        <v/>
      </c>
      <c r="R447" s="19">
        <f>IF($F447="","",ROUND(Rates!$B$8*(MAX(0,P447-Rates!$B$9)-MAX(0,$D447-Rates!$B$9)),2))</f>
        <v/>
      </c>
      <c r="S447" s="19">
        <f>IF($F447="","",ROUND(Rates!$B$10*IF(Rates!$B$11="Full",P447-$D447,MAX(0,MIN(P447,Rates!$B$13)-Rates!$B$12)-MAX(0,MIN($D447,Rates!$B$13)-Rates!$B$12)),2))</f>
        <v/>
      </c>
      <c r="T447" s="19">
        <f>IF($F447="","",ROUND(Q447+R447+S447,2))</f>
        <v/>
      </c>
    </row>
    <row r="448">
      <c r="A448" s="13" t="n"/>
      <c r="B448" s="13" t="n"/>
      <c r="C448" s="14" t="n"/>
      <c r="D448" s="14" t="n"/>
      <c r="E448" s="15" t="n"/>
      <c r="F448" s="16" t="n"/>
      <c r="G448" s="13" t="n"/>
      <c r="H448" s="13" t="n"/>
      <c r="I448" s="13" t="n"/>
      <c r="J448" s="17">
        <f>IF($F448="","",DATEDIF($F448,Rates!$B$2,"Y"))</f>
        <v/>
      </c>
      <c r="K448" s="18">
        <f>IF($F448="","",IF(UPPER($I448)="Y",Rates!$B$7,IF(J448&gt;=21,Rates!$B$4,IF(J448&gt;=18,Rates!$B$5,Rates!$B$6))))</f>
        <v/>
      </c>
      <c r="L448" s="17">
        <f>IF($F448="","",IF($E448&lt;K448,"Uplift needed","OK"))</f>
        <v/>
      </c>
      <c r="M448" s="17">
        <f>IF($F448="","",IF(AND(J448&lt;21,DATEDIF($F448,Rates!$B$3,"Y")&gt;=21),"Turns 21",IF(AND(J448&lt;18,DATEDIF($F448,Rates!$B$3,"Y")&gt;=18),"Turns 18","")))</f>
        <v/>
      </c>
      <c r="N448" s="18">
        <f>IF($F448="","",MAX($E448,K448))</f>
        <v/>
      </c>
      <c r="O448" s="19">
        <f>IF($F448="","",ROUND($C448*N448/$E448,2))</f>
        <v/>
      </c>
      <c r="P448" s="19">
        <f>IF($F448="","",ROUND($D448*N448/$E448,2))</f>
        <v/>
      </c>
      <c r="Q448" s="19">
        <f>IF($F448="","",ROUND(P448-$D448,2))</f>
        <v/>
      </c>
      <c r="R448" s="19">
        <f>IF($F448="","",ROUND(Rates!$B$8*(MAX(0,P448-Rates!$B$9)-MAX(0,$D448-Rates!$B$9)),2))</f>
        <v/>
      </c>
      <c r="S448" s="19">
        <f>IF($F448="","",ROUND(Rates!$B$10*IF(Rates!$B$11="Full",P448-$D448,MAX(0,MIN(P448,Rates!$B$13)-Rates!$B$12)-MAX(0,MIN($D448,Rates!$B$13)-Rates!$B$12)),2))</f>
        <v/>
      </c>
      <c r="T448" s="19">
        <f>IF($F448="","",ROUND(Q448+R448+S448,2))</f>
        <v/>
      </c>
    </row>
    <row r="449">
      <c r="A449" s="13" t="n"/>
      <c r="B449" s="13" t="n"/>
      <c r="C449" s="14" t="n"/>
      <c r="D449" s="14" t="n"/>
      <c r="E449" s="15" t="n"/>
      <c r="F449" s="16" t="n"/>
      <c r="G449" s="13" t="n"/>
      <c r="H449" s="13" t="n"/>
      <c r="I449" s="13" t="n"/>
      <c r="J449" s="17">
        <f>IF($F449="","",DATEDIF($F449,Rates!$B$2,"Y"))</f>
        <v/>
      </c>
      <c r="K449" s="18">
        <f>IF($F449="","",IF(UPPER($I449)="Y",Rates!$B$7,IF(J449&gt;=21,Rates!$B$4,IF(J449&gt;=18,Rates!$B$5,Rates!$B$6))))</f>
        <v/>
      </c>
      <c r="L449" s="17">
        <f>IF($F449="","",IF($E449&lt;K449,"Uplift needed","OK"))</f>
        <v/>
      </c>
      <c r="M449" s="17">
        <f>IF($F449="","",IF(AND(J449&lt;21,DATEDIF($F449,Rates!$B$3,"Y")&gt;=21),"Turns 21",IF(AND(J449&lt;18,DATEDIF($F449,Rates!$B$3,"Y")&gt;=18),"Turns 18","")))</f>
        <v/>
      </c>
      <c r="N449" s="18">
        <f>IF($F449="","",MAX($E449,K449))</f>
        <v/>
      </c>
      <c r="O449" s="19">
        <f>IF($F449="","",ROUND($C449*N449/$E449,2))</f>
        <v/>
      </c>
      <c r="P449" s="19">
        <f>IF($F449="","",ROUND($D449*N449/$E449,2))</f>
        <v/>
      </c>
      <c r="Q449" s="19">
        <f>IF($F449="","",ROUND(P449-$D449,2))</f>
        <v/>
      </c>
      <c r="R449" s="19">
        <f>IF($F449="","",ROUND(Rates!$B$8*(MAX(0,P449-Rates!$B$9)-MAX(0,$D449-Rates!$B$9)),2))</f>
        <v/>
      </c>
      <c r="S449" s="19">
        <f>IF($F449="","",ROUND(Rates!$B$10*IF(Rates!$B$11="Full",P449-$D449,MAX(0,MIN(P449,Rates!$B$13)-Rates!$B$12)-MAX(0,MIN($D449,Rates!$B$13)-Rates!$B$12)),2))</f>
        <v/>
      </c>
      <c r="T449" s="19">
        <f>IF($F449="","",ROUND(Q449+R449+S449,2))</f>
        <v/>
      </c>
    </row>
    <row r="450">
      <c r="A450" s="13" t="n"/>
      <c r="B450" s="13" t="n"/>
      <c r="C450" s="14" t="n"/>
      <c r="D450" s="14" t="n"/>
      <c r="E450" s="15" t="n"/>
      <c r="F450" s="16" t="n"/>
      <c r="G450" s="13" t="n"/>
      <c r="H450" s="13" t="n"/>
      <c r="I450" s="13" t="n"/>
      <c r="J450" s="17">
        <f>IF($F450="","",DATEDIF($F450,Rates!$B$2,"Y"))</f>
        <v/>
      </c>
      <c r="K450" s="18">
        <f>IF($F450="","",IF(UPPER($I450)="Y",Rates!$B$7,IF(J450&gt;=21,Rates!$B$4,IF(J450&gt;=18,Rates!$B$5,Rates!$B$6))))</f>
        <v/>
      </c>
      <c r="L450" s="17">
        <f>IF($F450="","",IF($E450&lt;K450,"Uplift needed","OK"))</f>
        <v/>
      </c>
      <c r="M450" s="17">
        <f>IF($F450="","",IF(AND(J450&lt;21,DATEDIF($F450,Rates!$B$3,"Y")&gt;=21),"Turns 21",IF(AND(J450&lt;18,DATEDIF($F450,Rates!$B$3,"Y")&gt;=18),"Turns 18","")))</f>
        <v/>
      </c>
      <c r="N450" s="18">
        <f>IF($F450="","",MAX($E450,K450))</f>
        <v/>
      </c>
      <c r="O450" s="19">
        <f>IF($F450="","",ROUND($C450*N450/$E450,2))</f>
        <v/>
      </c>
      <c r="P450" s="19">
        <f>IF($F450="","",ROUND($D450*N450/$E450,2))</f>
        <v/>
      </c>
      <c r="Q450" s="19">
        <f>IF($F450="","",ROUND(P450-$D450,2))</f>
        <v/>
      </c>
      <c r="R450" s="19">
        <f>IF($F450="","",ROUND(Rates!$B$8*(MAX(0,P450-Rates!$B$9)-MAX(0,$D450-Rates!$B$9)),2))</f>
        <v/>
      </c>
      <c r="S450" s="19">
        <f>IF($F450="","",ROUND(Rates!$B$10*IF(Rates!$B$11="Full",P450-$D450,MAX(0,MIN(P450,Rates!$B$13)-Rates!$B$12)-MAX(0,MIN($D450,Rates!$B$13)-Rates!$B$12)),2))</f>
        <v/>
      </c>
      <c r="T450" s="19">
        <f>IF($F450="","",ROUND(Q450+R450+S450,2))</f>
        <v/>
      </c>
    </row>
    <row r="451">
      <c r="A451" s="13" t="n"/>
      <c r="B451" s="13" t="n"/>
      <c r="C451" s="14" t="n"/>
      <c r="D451" s="14" t="n"/>
      <c r="E451" s="15" t="n"/>
      <c r="F451" s="16" t="n"/>
      <c r="G451" s="13" t="n"/>
      <c r="H451" s="13" t="n"/>
      <c r="I451" s="13" t="n"/>
      <c r="J451" s="17">
        <f>IF($F451="","",DATEDIF($F451,Rates!$B$2,"Y"))</f>
        <v/>
      </c>
      <c r="K451" s="18">
        <f>IF($F451="","",IF(UPPER($I451)="Y",Rates!$B$7,IF(J451&gt;=21,Rates!$B$4,IF(J451&gt;=18,Rates!$B$5,Rates!$B$6))))</f>
        <v/>
      </c>
      <c r="L451" s="17">
        <f>IF($F451="","",IF($E451&lt;K451,"Uplift needed","OK"))</f>
        <v/>
      </c>
      <c r="M451" s="17">
        <f>IF($F451="","",IF(AND(J451&lt;21,DATEDIF($F451,Rates!$B$3,"Y")&gt;=21),"Turns 21",IF(AND(J451&lt;18,DATEDIF($F451,Rates!$B$3,"Y")&gt;=18),"Turns 18","")))</f>
        <v/>
      </c>
      <c r="N451" s="18">
        <f>IF($F451="","",MAX($E451,K451))</f>
        <v/>
      </c>
      <c r="O451" s="19">
        <f>IF($F451="","",ROUND($C451*N451/$E451,2))</f>
        <v/>
      </c>
      <c r="P451" s="19">
        <f>IF($F451="","",ROUND($D451*N451/$E451,2))</f>
        <v/>
      </c>
      <c r="Q451" s="19">
        <f>IF($F451="","",ROUND(P451-$D451,2))</f>
        <v/>
      </c>
      <c r="R451" s="19">
        <f>IF($F451="","",ROUND(Rates!$B$8*(MAX(0,P451-Rates!$B$9)-MAX(0,$D451-Rates!$B$9)),2))</f>
        <v/>
      </c>
      <c r="S451" s="19">
        <f>IF($F451="","",ROUND(Rates!$B$10*IF(Rates!$B$11="Full",P451-$D451,MAX(0,MIN(P451,Rates!$B$13)-Rates!$B$12)-MAX(0,MIN($D451,Rates!$B$13)-Rates!$B$12)),2))</f>
        <v/>
      </c>
      <c r="T451" s="19">
        <f>IF($F451="","",ROUND(Q451+R451+S451,2))</f>
        <v/>
      </c>
    </row>
    <row r="452">
      <c r="A452" s="13" t="n"/>
      <c r="B452" s="13" t="n"/>
      <c r="C452" s="14" t="n"/>
      <c r="D452" s="14" t="n"/>
      <c r="E452" s="15" t="n"/>
      <c r="F452" s="16" t="n"/>
      <c r="G452" s="13" t="n"/>
      <c r="H452" s="13" t="n"/>
      <c r="I452" s="13" t="n"/>
      <c r="J452" s="17">
        <f>IF($F452="","",DATEDIF($F452,Rates!$B$2,"Y"))</f>
        <v/>
      </c>
      <c r="K452" s="18">
        <f>IF($F452="","",IF(UPPER($I452)="Y",Rates!$B$7,IF(J452&gt;=21,Rates!$B$4,IF(J452&gt;=18,Rates!$B$5,Rates!$B$6))))</f>
        <v/>
      </c>
      <c r="L452" s="17">
        <f>IF($F452="","",IF($E452&lt;K452,"Uplift needed","OK"))</f>
        <v/>
      </c>
      <c r="M452" s="17">
        <f>IF($F452="","",IF(AND(J452&lt;21,DATEDIF($F452,Rates!$B$3,"Y")&gt;=21),"Turns 21",IF(AND(J452&lt;18,DATEDIF($F452,Rates!$B$3,"Y")&gt;=18),"Turns 18","")))</f>
        <v/>
      </c>
      <c r="N452" s="18">
        <f>IF($F452="","",MAX($E452,K452))</f>
        <v/>
      </c>
      <c r="O452" s="19">
        <f>IF($F452="","",ROUND($C452*N452/$E452,2))</f>
        <v/>
      </c>
      <c r="P452" s="19">
        <f>IF($F452="","",ROUND($D452*N452/$E452,2))</f>
        <v/>
      </c>
      <c r="Q452" s="19">
        <f>IF($F452="","",ROUND(P452-$D452,2))</f>
        <v/>
      </c>
      <c r="R452" s="19">
        <f>IF($F452="","",ROUND(Rates!$B$8*(MAX(0,P452-Rates!$B$9)-MAX(0,$D452-Rates!$B$9)),2))</f>
        <v/>
      </c>
      <c r="S452" s="19">
        <f>IF($F452="","",ROUND(Rates!$B$10*IF(Rates!$B$11="Full",P452-$D452,MAX(0,MIN(P452,Rates!$B$13)-Rates!$B$12)-MAX(0,MIN($D452,Rates!$B$13)-Rates!$B$12)),2))</f>
        <v/>
      </c>
      <c r="T452" s="19">
        <f>IF($F452="","",ROUND(Q452+R452+S452,2))</f>
        <v/>
      </c>
    </row>
    <row r="453">
      <c r="A453" s="13" t="n"/>
      <c r="B453" s="13" t="n"/>
      <c r="C453" s="14" t="n"/>
      <c r="D453" s="14" t="n"/>
      <c r="E453" s="15" t="n"/>
      <c r="F453" s="16" t="n"/>
      <c r="G453" s="13" t="n"/>
      <c r="H453" s="13" t="n"/>
      <c r="I453" s="13" t="n"/>
      <c r="J453" s="17">
        <f>IF($F453="","",DATEDIF($F453,Rates!$B$2,"Y"))</f>
        <v/>
      </c>
      <c r="K453" s="18">
        <f>IF($F453="","",IF(UPPER($I453)="Y",Rates!$B$7,IF(J453&gt;=21,Rates!$B$4,IF(J453&gt;=18,Rates!$B$5,Rates!$B$6))))</f>
        <v/>
      </c>
      <c r="L453" s="17">
        <f>IF($F453="","",IF($E453&lt;K453,"Uplift needed","OK"))</f>
        <v/>
      </c>
      <c r="M453" s="17">
        <f>IF($F453="","",IF(AND(J453&lt;21,DATEDIF($F453,Rates!$B$3,"Y")&gt;=21),"Turns 21",IF(AND(J453&lt;18,DATEDIF($F453,Rates!$B$3,"Y")&gt;=18),"Turns 18","")))</f>
        <v/>
      </c>
      <c r="N453" s="18">
        <f>IF($F453="","",MAX($E453,K453))</f>
        <v/>
      </c>
      <c r="O453" s="19">
        <f>IF($F453="","",ROUND($C453*N453/$E453,2))</f>
        <v/>
      </c>
      <c r="P453" s="19">
        <f>IF($F453="","",ROUND($D453*N453/$E453,2))</f>
        <v/>
      </c>
      <c r="Q453" s="19">
        <f>IF($F453="","",ROUND(P453-$D453,2))</f>
        <v/>
      </c>
      <c r="R453" s="19">
        <f>IF($F453="","",ROUND(Rates!$B$8*(MAX(0,P453-Rates!$B$9)-MAX(0,$D453-Rates!$B$9)),2))</f>
        <v/>
      </c>
      <c r="S453" s="19">
        <f>IF($F453="","",ROUND(Rates!$B$10*IF(Rates!$B$11="Full",P453-$D453,MAX(0,MIN(P453,Rates!$B$13)-Rates!$B$12)-MAX(0,MIN($D453,Rates!$B$13)-Rates!$B$12)),2))</f>
        <v/>
      </c>
      <c r="T453" s="19">
        <f>IF($F453="","",ROUND(Q453+R453+S453,2))</f>
        <v/>
      </c>
    </row>
    <row r="454">
      <c r="A454" s="13" t="n"/>
      <c r="B454" s="13" t="n"/>
      <c r="C454" s="14" t="n"/>
      <c r="D454" s="14" t="n"/>
      <c r="E454" s="15" t="n"/>
      <c r="F454" s="16" t="n"/>
      <c r="G454" s="13" t="n"/>
      <c r="H454" s="13" t="n"/>
      <c r="I454" s="13" t="n"/>
      <c r="J454" s="17">
        <f>IF($F454="","",DATEDIF($F454,Rates!$B$2,"Y"))</f>
        <v/>
      </c>
      <c r="K454" s="18">
        <f>IF($F454="","",IF(UPPER($I454)="Y",Rates!$B$7,IF(J454&gt;=21,Rates!$B$4,IF(J454&gt;=18,Rates!$B$5,Rates!$B$6))))</f>
        <v/>
      </c>
      <c r="L454" s="17">
        <f>IF($F454="","",IF($E454&lt;K454,"Uplift needed","OK"))</f>
        <v/>
      </c>
      <c r="M454" s="17">
        <f>IF($F454="","",IF(AND(J454&lt;21,DATEDIF($F454,Rates!$B$3,"Y")&gt;=21),"Turns 21",IF(AND(J454&lt;18,DATEDIF($F454,Rates!$B$3,"Y")&gt;=18),"Turns 18","")))</f>
        <v/>
      </c>
      <c r="N454" s="18">
        <f>IF($F454="","",MAX($E454,K454))</f>
        <v/>
      </c>
      <c r="O454" s="19">
        <f>IF($F454="","",ROUND($C454*N454/$E454,2))</f>
        <v/>
      </c>
      <c r="P454" s="19">
        <f>IF($F454="","",ROUND($D454*N454/$E454,2))</f>
        <v/>
      </c>
      <c r="Q454" s="19">
        <f>IF($F454="","",ROUND(P454-$D454,2))</f>
        <v/>
      </c>
      <c r="R454" s="19">
        <f>IF($F454="","",ROUND(Rates!$B$8*(MAX(0,P454-Rates!$B$9)-MAX(0,$D454-Rates!$B$9)),2))</f>
        <v/>
      </c>
      <c r="S454" s="19">
        <f>IF($F454="","",ROUND(Rates!$B$10*IF(Rates!$B$11="Full",P454-$D454,MAX(0,MIN(P454,Rates!$B$13)-Rates!$B$12)-MAX(0,MIN($D454,Rates!$B$13)-Rates!$B$12)),2))</f>
        <v/>
      </c>
      <c r="T454" s="19">
        <f>IF($F454="","",ROUND(Q454+R454+S454,2))</f>
        <v/>
      </c>
    </row>
    <row r="455">
      <c r="A455" s="13" t="n"/>
      <c r="B455" s="13" t="n"/>
      <c r="C455" s="14" t="n"/>
      <c r="D455" s="14" t="n"/>
      <c r="E455" s="15" t="n"/>
      <c r="F455" s="16" t="n"/>
      <c r="G455" s="13" t="n"/>
      <c r="H455" s="13" t="n"/>
      <c r="I455" s="13" t="n"/>
      <c r="J455" s="17">
        <f>IF($F455="","",DATEDIF($F455,Rates!$B$2,"Y"))</f>
        <v/>
      </c>
      <c r="K455" s="18">
        <f>IF($F455="","",IF(UPPER($I455)="Y",Rates!$B$7,IF(J455&gt;=21,Rates!$B$4,IF(J455&gt;=18,Rates!$B$5,Rates!$B$6))))</f>
        <v/>
      </c>
      <c r="L455" s="17">
        <f>IF($F455="","",IF($E455&lt;K455,"Uplift needed","OK"))</f>
        <v/>
      </c>
      <c r="M455" s="17">
        <f>IF($F455="","",IF(AND(J455&lt;21,DATEDIF($F455,Rates!$B$3,"Y")&gt;=21),"Turns 21",IF(AND(J455&lt;18,DATEDIF($F455,Rates!$B$3,"Y")&gt;=18),"Turns 18","")))</f>
        <v/>
      </c>
      <c r="N455" s="18">
        <f>IF($F455="","",MAX($E455,K455))</f>
        <v/>
      </c>
      <c r="O455" s="19">
        <f>IF($F455="","",ROUND($C455*N455/$E455,2))</f>
        <v/>
      </c>
      <c r="P455" s="19">
        <f>IF($F455="","",ROUND($D455*N455/$E455,2))</f>
        <v/>
      </c>
      <c r="Q455" s="19">
        <f>IF($F455="","",ROUND(P455-$D455,2))</f>
        <v/>
      </c>
      <c r="R455" s="19">
        <f>IF($F455="","",ROUND(Rates!$B$8*(MAX(0,P455-Rates!$B$9)-MAX(0,$D455-Rates!$B$9)),2))</f>
        <v/>
      </c>
      <c r="S455" s="19">
        <f>IF($F455="","",ROUND(Rates!$B$10*IF(Rates!$B$11="Full",P455-$D455,MAX(0,MIN(P455,Rates!$B$13)-Rates!$B$12)-MAX(0,MIN($D455,Rates!$B$13)-Rates!$B$12)),2))</f>
        <v/>
      </c>
      <c r="T455" s="19">
        <f>IF($F455="","",ROUND(Q455+R455+S455,2))</f>
        <v/>
      </c>
    </row>
    <row r="456">
      <c r="A456" s="13" t="n"/>
      <c r="B456" s="13" t="n"/>
      <c r="C456" s="14" t="n"/>
      <c r="D456" s="14" t="n"/>
      <c r="E456" s="15" t="n"/>
      <c r="F456" s="16" t="n"/>
      <c r="G456" s="13" t="n"/>
      <c r="H456" s="13" t="n"/>
      <c r="I456" s="13" t="n"/>
      <c r="J456" s="17">
        <f>IF($F456="","",DATEDIF($F456,Rates!$B$2,"Y"))</f>
        <v/>
      </c>
      <c r="K456" s="18">
        <f>IF($F456="","",IF(UPPER($I456)="Y",Rates!$B$7,IF(J456&gt;=21,Rates!$B$4,IF(J456&gt;=18,Rates!$B$5,Rates!$B$6))))</f>
        <v/>
      </c>
      <c r="L456" s="17">
        <f>IF($F456="","",IF($E456&lt;K456,"Uplift needed","OK"))</f>
        <v/>
      </c>
      <c r="M456" s="17">
        <f>IF($F456="","",IF(AND(J456&lt;21,DATEDIF($F456,Rates!$B$3,"Y")&gt;=21),"Turns 21",IF(AND(J456&lt;18,DATEDIF($F456,Rates!$B$3,"Y")&gt;=18),"Turns 18","")))</f>
        <v/>
      </c>
      <c r="N456" s="18">
        <f>IF($F456="","",MAX($E456,K456))</f>
        <v/>
      </c>
      <c r="O456" s="19">
        <f>IF($F456="","",ROUND($C456*N456/$E456,2))</f>
        <v/>
      </c>
      <c r="P456" s="19">
        <f>IF($F456="","",ROUND($D456*N456/$E456,2))</f>
        <v/>
      </c>
      <c r="Q456" s="19">
        <f>IF($F456="","",ROUND(P456-$D456,2))</f>
        <v/>
      </c>
      <c r="R456" s="19">
        <f>IF($F456="","",ROUND(Rates!$B$8*(MAX(0,P456-Rates!$B$9)-MAX(0,$D456-Rates!$B$9)),2))</f>
        <v/>
      </c>
      <c r="S456" s="19">
        <f>IF($F456="","",ROUND(Rates!$B$10*IF(Rates!$B$11="Full",P456-$D456,MAX(0,MIN(P456,Rates!$B$13)-Rates!$B$12)-MAX(0,MIN($D456,Rates!$B$13)-Rates!$B$12)),2))</f>
        <v/>
      </c>
      <c r="T456" s="19">
        <f>IF($F456="","",ROUND(Q456+R456+S456,2))</f>
        <v/>
      </c>
    </row>
    <row r="457">
      <c r="A457" s="13" t="n"/>
      <c r="B457" s="13" t="n"/>
      <c r="C457" s="14" t="n"/>
      <c r="D457" s="14" t="n"/>
      <c r="E457" s="15" t="n"/>
      <c r="F457" s="16" t="n"/>
      <c r="G457" s="13" t="n"/>
      <c r="H457" s="13" t="n"/>
      <c r="I457" s="13" t="n"/>
      <c r="J457" s="17">
        <f>IF($F457="","",DATEDIF($F457,Rates!$B$2,"Y"))</f>
        <v/>
      </c>
      <c r="K457" s="18">
        <f>IF($F457="","",IF(UPPER($I457)="Y",Rates!$B$7,IF(J457&gt;=21,Rates!$B$4,IF(J457&gt;=18,Rates!$B$5,Rates!$B$6))))</f>
        <v/>
      </c>
      <c r="L457" s="17">
        <f>IF($F457="","",IF($E457&lt;K457,"Uplift needed","OK"))</f>
        <v/>
      </c>
      <c r="M457" s="17">
        <f>IF($F457="","",IF(AND(J457&lt;21,DATEDIF($F457,Rates!$B$3,"Y")&gt;=21),"Turns 21",IF(AND(J457&lt;18,DATEDIF($F457,Rates!$B$3,"Y")&gt;=18),"Turns 18","")))</f>
        <v/>
      </c>
      <c r="N457" s="18">
        <f>IF($F457="","",MAX($E457,K457))</f>
        <v/>
      </c>
      <c r="O457" s="19">
        <f>IF($F457="","",ROUND($C457*N457/$E457,2))</f>
        <v/>
      </c>
      <c r="P457" s="19">
        <f>IF($F457="","",ROUND($D457*N457/$E457,2))</f>
        <v/>
      </c>
      <c r="Q457" s="19">
        <f>IF($F457="","",ROUND(P457-$D457,2))</f>
        <v/>
      </c>
      <c r="R457" s="19">
        <f>IF($F457="","",ROUND(Rates!$B$8*(MAX(0,P457-Rates!$B$9)-MAX(0,$D457-Rates!$B$9)),2))</f>
        <v/>
      </c>
      <c r="S457" s="19">
        <f>IF($F457="","",ROUND(Rates!$B$10*IF(Rates!$B$11="Full",P457-$D457,MAX(0,MIN(P457,Rates!$B$13)-Rates!$B$12)-MAX(0,MIN($D457,Rates!$B$13)-Rates!$B$12)),2))</f>
        <v/>
      </c>
      <c r="T457" s="19">
        <f>IF($F457="","",ROUND(Q457+R457+S457,2))</f>
        <v/>
      </c>
    </row>
    <row r="458">
      <c r="A458" s="13" t="n"/>
      <c r="B458" s="13" t="n"/>
      <c r="C458" s="14" t="n"/>
      <c r="D458" s="14" t="n"/>
      <c r="E458" s="15" t="n"/>
      <c r="F458" s="16" t="n"/>
      <c r="G458" s="13" t="n"/>
      <c r="H458" s="13" t="n"/>
      <c r="I458" s="13" t="n"/>
      <c r="J458" s="17">
        <f>IF($F458="","",DATEDIF($F458,Rates!$B$2,"Y"))</f>
        <v/>
      </c>
      <c r="K458" s="18">
        <f>IF($F458="","",IF(UPPER($I458)="Y",Rates!$B$7,IF(J458&gt;=21,Rates!$B$4,IF(J458&gt;=18,Rates!$B$5,Rates!$B$6))))</f>
        <v/>
      </c>
      <c r="L458" s="17">
        <f>IF($F458="","",IF($E458&lt;K458,"Uplift needed","OK"))</f>
        <v/>
      </c>
      <c r="M458" s="17">
        <f>IF($F458="","",IF(AND(J458&lt;21,DATEDIF($F458,Rates!$B$3,"Y")&gt;=21),"Turns 21",IF(AND(J458&lt;18,DATEDIF($F458,Rates!$B$3,"Y")&gt;=18),"Turns 18","")))</f>
        <v/>
      </c>
      <c r="N458" s="18">
        <f>IF($F458="","",MAX($E458,K458))</f>
        <v/>
      </c>
      <c r="O458" s="19">
        <f>IF($F458="","",ROUND($C458*N458/$E458,2))</f>
        <v/>
      </c>
      <c r="P458" s="19">
        <f>IF($F458="","",ROUND($D458*N458/$E458,2))</f>
        <v/>
      </c>
      <c r="Q458" s="19">
        <f>IF($F458="","",ROUND(P458-$D458,2))</f>
        <v/>
      </c>
      <c r="R458" s="19">
        <f>IF($F458="","",ROUND(Rates!$B$8*(MAX(0,P458-Rates!$B$9)-MAX(0,$D458-Rates!$B$9)),2))</f>
        <v/>
      </c>
      <c r="S458" s="19">
        <f>IF($F458="","",ROUND(Rates!$B$10*IF(Rates!$B$11="Full",P458-$D458,MAX(0,MIN(P458,Rates!$B$13)-Rates!$B$12)-MAX(0,MIN($D458,Rates!$B$13)-Rates!$B$12)),2))</f>
        <v/>
      </c>
      <c r="T458" s="19">
        <f>IF($F458="","",ROUND(Q458+R458+S458,2))</f>
        <v/>
      </c>
    </row>
    <row r="459">
      <c r="A459" s="13" t="n"/>
      <c r="B459" s="13" t="n"/>
      <c r="C459" s="14" t="n"/>
      <c r="D459" s="14" t="n"/>
      <c r="E459" s="15" t="n"/>
      <c r="F459" s="16" t="n"/>
      <c r="G459" s="13" t="n"/>
      <c r="H459" s="13" t="n"/>
      <c r="I459" s="13" t="n"/>
      <c r="J459" s="17">
        <f>IF($F459="","",DATEDIF($F459,Rates!$B$2,"Y"))</f>
        <v/>
      </c>
      <c r="K459" s="18">
        <f>IF($F459="","",IF(UPPER($I459)="Y",Rates!$B$7,IF(J459&gt;=21,Rates!$B$4,IF(J459&gt;=18,Rates!$B$5,Rates!$B$6))))</f>
        <v/>
      </c>
      <c r="L459" s="17">
        <f>IF($F459="","",IF($E459&lt;K459,"Uplift needed","OK"))</f>
        <v/>
      </c>
      <c r="M459" s="17">
        <f>IF($F459="","",IF(AND(J459&lt;21,DATEDIF($F459,Rates!$B$3,"Y")&gt;=21),"Turns 21",IF(AND(J459&lt;18,DATEDIF($F459,Rates!$B$3,"Y")&gt;=18),"Turns 18","")))</f>
        <v/>
      </c>
      <c r="N459" s="18">
        <f>IF($F459="","",MAX($E459,K459))</f>
        <v/>
      </c>
      <c r="O459" s="19">
        <f>IF($F459="","",ROUND($C459*N459/$E459,2))</f>
        <v/>
      </c>
      <c r="P459" s="19">
        <f>IF($F459="","",ROUND($D459*N459/$E459,2))</f>
        <v/>
      </c>
      <c r="Q459" s="19">
        <f>IF($F459="","",ROUND(P459-$D459,2))</f>
        <v/>
      </c>
      <c r="R459" s="19">
        <f>IF($F459="","",ROUND(Rates!$B$8*(MAX(0,P459-Rates!$B$9)-MAX(0,$D459-Rates!$B$9)),2))</f>
        <v/>
      </c>
      <c r="S459" s="19">
        <f>IF($F459="","",ROUND(Rates!$B$10*IF(Rates!$B$11="Full",P459-$D459,MAX(0,MIN(P459,Rates!$B$13)-Rates!$B$12)-MAX(0,MIN($D459,Rates!$B$13)-Rates!$B$12)),2))</f>
        <v/>
      </c>
      <c r="T459" s="19">
        <f>IF($F459="","",ROUND(Q459+R459+S459,2))</f>
        <v/>
      </c>
    </row>
    <row r="460">
      <c r="A460" s="13" t="n"/>
      <c r="B460" s="13" t="n"/>
      <c r="C460" s="14" t="n"/>
      <c r="D460" s="14" t="n"/>
      <c r="E460" s="15" t="n"/>
      <c r="F460" s="16" t="n"/>
      <c r="G460" s="13" t="n"/>
      <c r="H460" s="13" t="n"/>
      <c r="I460" s="13" t="n"/>
      <c r="J460" s="17">
        <f>IF($F460="","",DATEDIF($F460,Rates!$B$2,"Y"))</f>
        <v/>
      </c>
      <c r="K460" s="18">
        <f>IF($F460="","",IF(UPPER($I460)="Y",Rates!$B$7,IF(J460&gt;=21,Rates!$B$4,IF(J460&gt;=18,Rates!$B$5,Rates!$B$6))))</f>
        <v/>
      </c>
      <c r="L460" s="17">
        <f>IF($F460="","",IF($E460&lt;K460,"Uplift needed","OK"))</f>
        <v/>
      </c>
      <c r="M460" s="17">
        <f>IF($F460="","",IF(AND(J460&lt;21,DATEDIF($F460,Rates!$B$3,"Y")&gt;=21),"Turns 21",IF(AND(J460&lt;18,DATEDIF($F460,Rates!$B$3,"Y")&gt;=18),"Turns 18","")))</f>
        <v/>
      </c>
      <c r="N460" s="18">
        <f>IF($F460="","",MAX($E460,K460))</f>
        <v/>
      </c>
      <c r="O460" s="19">
        <f>IF($F460="","",ROUND($C460*N460/$E460,2))</f>
        <v/>
      </c>
      <c r="P460" s="19">
        <f>IF($F460="","",ROUND($D460*N460/$E460,2))</f>
        <v/>
      </c>
      <c r="Q460" s="19">
        <f>IF($F460="","",ROUND(P460-$D460,2))</f>
        <v/>
      </c>
      <c r="R460" s="19">
        <f>IF($F460="","",ROUND(Rates!$B$8*(MAX(0,P460-Rates!$B$9)-MAX(0,$D460-Rates!$B$9)),2))</f>
        <v/>
      </c>
      <c r="S460" s="19">
        <f>IF($F460="","",ROUND(Rates!$B$10*IF(Rates!$B$11="Full",P460-$D460,MAX(0,MIN(P460,Rates!$B$13)-Rates!$B$12)-MAX(0,MIN($D460,Rates!$B$13)-Rates!$B$12)),2))</f>
        <v/>
      </c>
      <c r="T460" s="19">
        <f>IF($F460="","",ROUND(Q460+R460+S460,2))</f>
        <v/>
      </c>
    </row>
    <row r="461">
      <c r="A461" s="13" t="n"/>
      <c r="B461" s="13" t="n"/>
      <c r="C461" s="14" t="n"/>
      <c r="D461" s="14" t="n"/>
      <c r="E461" s="15" t="n"/>
      <c r="F461" s="16" t="n"/>
      <c r="G461" s="13" t="n"/>
      <c r="H461" s="13" t="n"/>
      <c r="I461" s="13" t="n"/>
      <c r="J461" s="17">
        <f>IF($F461="","",DATEDIF($F461,Rates!$B$2,"Y"))</f>
        <v/>
      </c>
      <c r="K461" s="18">
        <f>IF($F461="","",IF(UPPER($I461)="Y",Rates!$B$7,IF(J461&gt;=21,Rates!$B$4,IF(J461&gt;=18,Rates!$B$5,Rates!$B$6))))</f>
        <v/>
      </c>
      <c r="L461" s="17">
        <f>IF($F461="","",IF($E461&lt;K461,"Uplift needed","OK"))</f>
        <v/>
      </c>
      <c r="M461" s="17">
        <f>IF($F461="","",IF(AND(J461&lt;21,DATEDIF($F461,Rates!$B$3,"Y")&gt;=21),"Turns 21",IF(AND(J461&lt;18,DATEDIF($F461,Rates!$B$3,"Y")&gt;=18),"Turns 18","")))</f>
        <v/>
      </c>
      <c r="N461" s="18">
        <f>IF($F461="","",MAX($E461,K461))</f>
        <v/>
      </c>
      <c r="O461" s="19">
        <f>IF($F461="","",ROUND($C461*N461/$E461,2))</f>
        <v/>
      </c>
      <c r="P461" s="19">
        <f>IF($F461="","",ROUND($D461*N461/$E461,2))</f>
        <v/>
      </c>
      <c r="Q461" s="19">
        <f>IF($F461="","",ROUND(P461-$D461,2))</f>
        <v/>
      </c>
      <c r="R461" s="19">
        <f>IF($F461="","",ROUND(Rates!$B$8*(MAX(0,P461-Rates!$B$9)-MAX(0,$D461-Rates!$B$9)),2))</f>
        <v/>
      </c>
      <c r="S461" s="19">
        <f>IF($F461="","",ROUND(Rates!$B$10*IF(Rates!$B$11="Full",P461-$D461,MAX(0,MIN(P461,Rates!$B$13)-Rates!$B$12)-MAX(0,MIN($D461,Rates!$B$13)-Rates!$B$12)),2))</f>
        <v/>
      </c>
      <c r="T461" s="19">
        <f>IF($F461="","",ROUND(Q461+R461+S461,2))</f>
        <v/>
      </c>
    </row>
    <row r="462">
      <c r="A462" s="13" t="n"/>
      <c r="B462" s="13" t="n"/>
      <c r="C462" s="14" t="n"/>
      <c r="D462" s="14" t="n"/>
      <c r="E462" s="15" t="n"/>
      <c r="F462" s="16" t="n"/>
      <c r="G462" s="13" t="n"/>
      <c r="H462" s="13" t="n"/>
      <c r="I462" s="13" t="n"/>
      <c r="J462" s="17">
        <f>IF($F462="","",DATEDIF($F462,Rates!$B$2,"Y"))</f>
        <v/>
      </c>
      <c r="K462" s="18">
        <f>IF($F462="","",IF(UPPER($I462)="Y",Rates!$B$7,IF(J462&gt;=21,Rates!$B$4,IF(J462&gt;=18,Rates!$B$5,Rates!$B$6))))</f>
        <v/>
      </c>
      <c r="L462" s="17">
        <f>IF($F462="","",IF($E462&lt;K462,"Uplift needed","OK"))</f>
        <v/>
      </c>
      <c r="M462" s="17">
        <f>IF($F462="","",IF(AND(J462&lt;21,DATEDIF($F462,Rates!$B$3,"Y")&gt;=21),"Turns 21",IF(AND(J462&lt;18,DATEDIF($F462,Rates!$B$3,"Y")&gt;=18),"Turns 18","")))</f>
        <v/>
      </c>
      <c r="N462" s="18">
        <f>IF($F462="","",MAX($E462,K462))</f>
        <v/>
      </c>
      <c r="O462" s="19">
        <f>IF($F462="","",ROUND($C462*N462/$E462,2))</f>
        <v/>
      </c>
      <c r="P462" s="19">
        <f>IF($F462="","",ROUND($D462*N462/$E462,2))</f>
        <v/>
      </c>
      <c r="Q462" s="19">
        <f>IF($F462="","",ROUND(P462-$D462,2))</f>
        <v/>
      </c>
      <c r="R462" s="19">
        <f>IF($F462="","",ROUND(Rates!$B$8*(MAX(0,P462-Rates!$B$9)-MAX(0,$D462-Rates!$B$9)),2))</f>
        <v/>
      </c>
      <c r="S462" s="19">
        <f>IF($F462="","",ROUND(Rates!$B$10*IF(Rates!$B$11="Full",P462-$D462,MAX(0,MIN(P462,Rates!$B$13)-Rates!$B$12)-MAX(0,MIN($D462,Rates!$B$13)-Rates!$B$12)),2))</f>
        <v/>
      </c>
      <c r="T462" s="19">
        <f>IF($F462="","",ROUND(Q462+R462+S462,2))</f>
        <v/>
      </c>
    </row>
    <row r="463">
      <c r="A463" s="13" t="n"/>
      <c r="B463" s="13" t="n"/>
      <c r="C463" s="14" t="n"/>
      <c r="D463" s="14" t="n"/>
      <c r="E463" s="15" t="n"/>
      <c r="F463" s="16" t="n"/>
      <c r="G463" s="13" t="n"/>
      <c r="H463" s="13" t="n"/>
      <c r="I463" s="13" t="n"/>
      <c r="J463" s="17">
        <f>IF($F463="","",DATEDIF($F463,Rates!$B$2,"Y"))</f>
        <v/>
      </c>
      <c r="K463" s="18">
        <f>IF($F463="","",IF(UPPER($I463)="Y",Rates!$B$7,IF(J463&gt;=21,Rates!$B$4,IF(J463&gt;=18,Rates!$B$5,Rates!$B$6))))</f>
        <v/>
      </c>
      <c r="L463" s="17">
        <f>IF($F463="","",IF($E463&lt;K463,"Uplift needed","OK"))</f>
        <v/>
      </c>
      <c r="M463" s="17">
        <f>IF($F463="","",IF(AND(J463&lt;21,DATEDIF($F463,Rates!$B$3,"Y")&gt;=21),"Turns 21",IF(AND(J463&lt;18,DATEDIF($F463,Rates!$B$3,"Y")&gt;=18),"Turns 18","")))</f>
        <v/>
      </c>
      <c r="N463" s="18">
        <f>IF($F463="","",MAX($E463,K463))</f>
        <v/>
      </c>
      <c r="O463" s="19">
        <f>IF($F463="","",ROUND($C463*N463/$E463,2))</f>
        <v/>
      </c>
      <c r="P463" s="19">
        <f>IF($F463="","",ROUND($D463*N463/$E463,2))</f>
        <v/>
      </c>
      <c r="Q463" s="19">
        <f>IF($F463="","",ROUND(P463-$D463,2))</f>
        <v/>
      </c>
      <c r="R463" s="19">
        <f>IF($F463="","",ROUND(Rates!$B$8*(MAX(0,P463-Rates!$B$9)-MAX(0,$D463-Rates!$B$9)),2))</f>
        <v/>
      </c>
      <c r="S463" s="19">
        <f>IF($F463="","",ROUND(Rates!$B$10*IF(Rates!$B$11="Full",P463-$D463,MAX(0,MIN(P463,Rates!$B$13)-Rates!$B$12)-MAX(0,MIN($D463,Rates!$B$13)-Rates!$B$12)),2))</f>
        <v/>
      </c>
      <c r="T463" s="19">
        <f>IF($F463="","",ROUND(Q463+R463+S463,2))</f>
        <v/>
      </c>
    </row>
    <row r="464">
      <c r="A464" s="13" t="n"/>
      <c r="B464" s="13" t="n"/>
      <c r="C464" s="14" t="n"/>
      <c r="D464" s="14" t="n"/>
      <c r="E464" s="15" t="n"/>
      <c r="F464" s="16" t="n"/>
      <c r="G464" s="13" t="n"/>
      <c r="H464" s="13" t="n"/>
      <c r="I464" s="13" t="n"/>
      <c r="J464" s="17">
        <f>IF($F464="","",DATEDIF($F464,Rates!$B$2,"Y"))</f>
        <v/>
      </c>
      <c r="K464" s="18">
        <f>IF($F464="","",IF(UPPER($I464)="Y",Rates!$B$7,IF(J464&gt;=21,Rates!$B$4,IF(J464&gt;=18,Rates!$B$5,Rates!$B$6))))</f>
        <v/>
      </c>
      <c r="L464" s="17">
        <f>IF($F464="","",IF($E464&lt;K464,"Uplift needed","OK"))</f>
        <v/>
      </c>
      <c r="M464" s="17">
        <f>IF($F464="","",IF(AND(J464&lt;21,DATEDIF($F464,Rates!$B$3,"Y")&gt;=21),"Turns 21",IF(AND(J464&lt;18,DATEDIF($F464,Rates!$B$3,"Y")&gt;=18),"Turns 18","")))</f>
        <v/>
      </c>
      <c r="N464" s="18">
        <f>IF($F464="","",MAX($E464,K464))</f>
        <v/>
      </c>
      <c r="O464" s="19">
        <f>IF($F464="","",ROUND($C464*N464/$E464,2))</f>
        <v/>
      </c>
      <c r="P464" s="19">
        <f>IF($F464="","",ROUND($D464*N464/$E464,2))</f>
        <v/>
      </c>
      <c r="Q464" s="19">
        <f>IF($F464="","",ROUND(P464-$D464,2))</f>
        <v/>
      </c>
      <c r="R464" s="19">
        <f>IF($F464="","",ROUND(Rates!$B$8*(MAX(0,P464-Rates!$B$9)-MAX(0,$D464-Rates!$B$9)),2))</f>
        <v/>
      </c>
      <c r="S464" s="19">
        <f>IF($F464="","",ROUND(Rates!$B$10*IF(Rates!$B$11="Full",P464-$D464,MAX(0,MIN(P464,Rates!$B$13)-Rates!$B$12)-MAX(0,MIN($D464,Rates!$B$13)-Rates!$B$12)),2))</f>
        <v/>
      </c>
      <c r="T464" s="19">
        <f>IF($F464="","",ROUND(Q464+R464+S464,2))</f>
        <v/>
      </c>
    </row>
    <row r="465">
      <c r="A465" s="13" t="n"/>
      <c r="B465" s="13" t="n"/>
      <c r="C465" s="14" t="n"/>
      <c r="D465" s="14" t="n"/>
      <c r="E465" s="15" t="n"/>
      <c r="F465" s="16" t="n"/>
      <c r="G465" s="13" t="n"/>
      <c r="H465" s="13" t="n"/>
      <c r="I465" s="13" t="n"/>
      <c r="J465" s="17">
        <f>IF($F465="","",DATEDIF($F465,Rates!$B$2,"Y"))</f>
        <v/>
      </c>
      <c r="K465" s="18">
        <f>IF($F465="","",IF(UPPER($I465)="Y",Rates!$B$7,IF(J465&gt;=21,Rates!$B$4,IF(J465&gt;=18,Rates!$B$5,Rates!$B$6))))</f>
        <v/>
      </c>
      <c r="L465" s="17">
        <f>IF($F465="","",IF($E465&lt;K465,"Uplift needed","OK"))</f>
        <v/>
      </c>
      <c r="M465" s="17">
        <f>IF($F465="","",IF(AND(J465&lt;21,DATEDIF($F465,Rates!$B$3,"Y")&gt;=21),"Turns 21",IF(AND(J465&lt;18,DATEDIF($F465,Rates!$B$3,"Y")&gt;=18),"Turns 18","")))</f>
        <v/>
      </c>
      <c r="N465" s="18">
        <f>IF($F465="","",MAX($E465,K465))</f>
        <v/>
      </c>
      <c r="O465" s="19">
        <f>IF($F465="","",ROUND($C465*N465/$E465,2))</f>
        <v/>
      </c>
      <c r="P465" s="19">
        <f>IF($F465="","",ROUND($D465*N465/$E465,2))</f>
        <v/>
      </c>
      <c r="Q465" s="19">
        <f>IF($F465="","",ROUND(P465-$D465,2))</f>
        <v/>
      </c>
      <c r="R465" s="19">
        <f>IF($F465="","",ROUND(Rates!$B$8*(MAX(0,P465-Rates!$B$9)-MAX(0,$D465-Rates!$B$9)),2))</f>
        <v/>
      </c>
      <c r="S465" s="19">
        <f>IF($F465="","",ROUND(Rates!$B$10*IF(Rates!$B$11="Full",P465-$D465,MAX(0,MIN(P465,Rates!$B$13)-Rates!$B$12)-MAX(0,MIN($D465,Rates!$B$13)-Rates!$B$12)),2))</f>
        <v/>
      </c>
      <c r="T465" s="19">
        <f>IF($F465="","",ROUND(Q465+R465+S465,2))</f>
        <v/>
      </c>
    </row>
    <row r="466">
      <c r="A466" s="13" t="n"/>
      <c r="B466" s="13" t="n"/>
      <c r="C466" s="14" t="n"/>
      <c r="D466" s="14" t="n"/>
      <c r="E466" s="15" t="n"/>
      <c r="F466" s="16" t="n"/>
      <c r="G466" s="13" t="n"/>
      <c r="H466" s="13" t="n"/>
      <c r="I466" s="13" t="n"/>
      <c r="J466" s="17">
        <f>IF($F466="","",DATEDIF($F466,Rates!$B$2,"Y"))</f>
        <v/>
      </c>
      <c r="K466" s="18">
        <f>IF($F466="","",IF(UPPER($I466)="Y",Rates!$B$7,IF(J466&gt;=21,Rates!$B$4,IF(J466&gt;=18,Rates!$B$5,Rates!$B$6))))</f>
        <v/>
      </c>
      <c r="L466" s="17">
        <f>IF($F466="","",IF($E466&lt;K466,"Uplift needed","OK"))</f>
        <v/>
      </c>
      <c r="M466" s="17">
        <f>IF($F466="","",IF(AND(J466&lt;21,DATEDIF($F466,Rates!$B$3,"Y")&gt;=21),"Turns 21",IF(AND(J466&lt;18,DATEDIF($F466,Rates!$B$3,"Y")&gt;=18),"Turns 18","")))</f>
        <v/>
      </c>
      <c r="N466" s="18">
        <f>IF($F466="","",MAX($E466,K466))</f>
        <v/>
      </c>
      <c r="O466" s="19">
        <f>IF($F466="","",ROUND($C466*N466/$E466,2))</f>
        <v/>
      </c>
      <c r="P466" s="19">
        <f>IF($F466="","",ROUND($D466*N466/$E466,2))</f>
        <v/>
      </c>
      <c r="Q466" s="19">
        <f>IF($F466="","",ROUND(P466-$D466,2))</f>
        <v/>
      </c>
      <c r="R466" s="19">
        <f>IF($F466="","",ROUND(Rates!$B$8*(MAX(0,P466-Rates!$B$9)-MAX(0,$D466-Rates!$B$9)),2))</f>
        <v/>
      </c>
      <c r="S466" s="19">
        <f>IF($F466="","",ROUND(Rates!$B$10*IF(Rates!$B$11="Full",P466-$D466,MAX(0,MIN(P466,Rates!$B$13)-Rates!$B$12)-MAX(0,MIN($D466,Rates!$B$13)-Rates!$B$12)),2))</f>
        <v/>
      </c>
      <c r="T466" s="19">
        <f>IF($F466="","",ROUND(Q466+R466+S466,2))</f>
        <v/>
      </c>
    </row>
    <row r="467">
      <c r="A467" s="13" t="n"/>
      <c r="B467" s="13" t="n"/>
      <c r="C467" s="14" t="n"/>
      <c r="D467" s="14" t="n"/>
      <c r="E467" s="15" t="n"/>
      <c r="F467" s="16" t="n"/>
      <c r="G467" s="13" t="n"/>
      <c r="H467" s="13" t="n"/>
      <c r="I467" s="13" t="n"/>
      <c r="J467" s="17">
        <f>IF($F467="","",DATEDIF($F467,Rates!$B$2,"Y"))</f>
        <v/>
      </c>
      <c r="K467" s="18">
        <f>IF($F467="","",IF(UPPER($I467)="Y",Rates!$B$7,IF(J467&gt;=21,Rates!$B$4,IF(J467&gt;=18,Rates!$B$5,Rates!$B$6))))</f>
        <v/>
      </c>
      <c r="L467" s="17">
        <f>IF($F467="","",IF($E467&lt;K467,"Uplift needed","OK"))</f>
        <v/>
      </c>
      <c r="M467" s="17">
        <f>IF($F467="","",IF(AND(J467&lt;21,DATEDIF($F467,Rates!$B$3,"Y")&gt;=21),"Turns 21",IF(AND(J467&lt;18,DATEDIF($F467,Rates!$B$3,"Y")&gt;=18),"Turns 18","")))</f>
        <v/>
      </c>
      <c r="N467" s="18">
        <f>IF($F467="","",MAX($E467,K467))</f>
        <v/>
      </c>
      <c r="O467" s="19">
        <f>IF($F467="","",ROUND($C467*N467/$E467,2))</f>
        <v/>
      </c>
      <c r="P467" s="19">
        <f>IF($F467="","",ROUND($D467*N467/$E467,2))</f>
        <v/>
      </c>
      <c r="Q467" s="19">
        <f>IF($F467="","",ROUND(P467-$D467,2))</f>
        <v/>
      </c>
      <c r="R467" s="19">
        <f>IF($F467="","",ROUND(Rates!$B$8*(MAX(0,P467-Rates!$B$9)-MAX(0,$D467-Rates!$B$9)),2))</f>
        <v/>
      </c>
      <c r="S467" s="19">
        <f>IF($F467="","",ROUND(Rates!$B$10*IF(Rates!$B$11="Full",P467-$D467,MAX(0,MIN(P467,Rates!$B$13)-Rates!$B$12)-MAX(0,MIN($D467,Rates!$B$13)-Rates!$B$12)),2))</f>
        <v/>
      </c>
      <c r="T467" s="19">
        <f>IF($F467="","",ROUND(Q467+R467+S467,2))</f>
        <v/>
      </c>
    </row>
    <row r="468">
      <c r="A468" s="13" t="n"/>
      <c r="B468" s="13" t="n"/>
      <c r="C468" s="14" t="n"/>
      <c r="D468" s="14" t="n"/>
      <c r="E468" s="15" t="n"/>
      <c r="F468" s="16" t="n"/>
      <c r="G468" s="13" t="n"/>
      <c r="H468" s="13" t="n"/>
      <c r="I468" s="13" t="n"/>
      <c r="J468" s="17">
        <f>IF($F468="","",DATEDIF($F468,Rates!$B$2,"Y"))</f>
        <v/>
      </c>
      <c r="K468" s="18">
        <f>IF($F468="","",IF(UPPER($I468)="Y",Rates!$B$7,IF(J468&gt;=21,Rates!$B$4,IF(J468&gt;=18,Rates!$B$5,Rates!$B$6))))</f>
        <v/>
      </c>
      <c r="L468" s="17">
        <f>IF($F468="","",IF($E468&lt;K468,"Uplift needed","OK"))</f>
        <v/>
      </c>
      <c r="M468" s="17">
        <f>IF($F468="","",IF(AND(J468&lt;21,DATEDIF($F468,Rates!$B$3,"Y")&gt;=21),"Turns 21",IF(AND(J468&lt;18,DATEDIF($F468,Rates!$B$3,"Y")&gt;=18),"Turns 18","")))</f>
        <v/>
      </c>
      <c r="N468" s="18">
        <f>IF($F468="","",MAX($E468,K468))</f>
        <v/>
      </c>
      <c r="O468" s="19">
        <f>IF($F468="","",ROUND($C468*N468/$E468,2))</f>
        <v/>
      </c>
      <c r="P468" s="19">
        <f>IF($F468="","",ROUND($D468*N468/$E468,2))</f>
        <v/>
      </c>
      <c r="Q468" s="19">
        <f>IF($F468="","",ROUND(P468-$D468,2))</f>
        <v/>
      </c>
      <c r="R468" s="19">
        <f>IF($F468="","",ROUND(Rates!$B$8*(MAX(0,P468-Rates!$B$9)-MAX(0,$D468-Rates!$B$9)),2))</f>
        <v/>
      </c>
      <c r="S468" s="19">
        <f>IF($F468="","",ROUND(Rates!$B$10*IF(Rates!$B$11="Full",P468-$D468,MAX(0,MIN(P468,Rates!$B$13)-Rates!$B$12)-MAX(0,MIN($D468,Rates!$B$13)-Rates!$B$12)),2))</f>
        <v/>
      </c>
      <c r="T468" s="19">
        <f>IF($F468="","",ROUND(Q468+R468+S468,2))</f>
        <v/>
      </c>
    </row>
    <row r="469">
      <c r="A469" s="13" t="n"/>
      <c r="B469" s="13" t="n"/>
      <c r="C469" s="14" t="n"/>
      <c r="D469" s="14" t="n"/>
      <c r="E469" s="15" t="n"/>
      <c r="F469" s="16" t="n"/>
      <c r="G469" s="13" t="n"/>
      <c r="H469" s="13" t="n"/>
      <c r="I469" s="13" t="n"/>
      <c r="J469" s="17">
        <f>IF($F469="","",DATEDIF($F469,Rates!$B$2,"Y"))</f>
        <v/>
      </c>
      <c r="K469" s="18">
        <f>IF($F469="","",IF(UPPER($I469)="Y",Rates!$B$7,IF(J469&gt;=21,Rates!$B$4,IF(J469&gt;=18,Rates!$B$5,Rates!$B$6))))</f>
        <v/>
      </c>
      <c r="L469" s="17">
        <f>IF($F469="","",IF($E469&lt;K469,"Uplift needed","OK"))</f>
        <v/>
      </c>
      <c r="M469" s="17">
        <f>IF($F469="","",IF(AND(J469&lt;21,DATEDIF($F469,Rates!$B$3,"Y")&gt;=21),"Turns 21",IF(AND(J469&lt;18,DATEDIF($F469,Rates!$B$3,"Y")&gt;=18),"Turns 18","")))</f>
        <v/>
      </c>
      <c r="N469" s="18">
        <f>IF($F469="","",MAX($E469,K469))</f>
        <v/>
      </c>
      <c r="O469" s="19">
        <f>IF($F469="","",ROUND($C469*N469/$E469,2))</f>
        <v/>
      </c>
      <c r="P469" s="19">
        <f>IF($F469="","",ROUND($D469*N469/$E469,2))</f>
        <v/>
      </c>
      <c r="Q469" s="19">
        <f>IF($F469="","",ROUND(P469-$D469,2))</f>
        <v/>
      </c>
      <c r="R469" s="19">
        <f>IF($F469="","",ROUND(Rates!$B$8*(MAX(0,P469-Rates!$B$9)-MAX(0,$D469-Rates!$B$9)),2))</f>
        <v/>
      </c>
      <c r="S469" s="19">
        <f>IF($F469="","",ROUND(Rates!$B$10*IF(Rates!$B$11="Full",P469-$D469,MAX(0,MIN(P469,Rates!$B$13)-Rates!$B$12)-MAX(0,MIN($D469,Rates!$B$13)-Rates!$B$12)),2))</f>
        <v/>
      </c>
      <c r="T469" s="19">
        <f>IF($F469="","",ROUND(Q469+R469+S469,2))</f>
        <v/>
      </c>
    </row>
    <row r="470">
      <c r="A470" s="13" t="n"/>
      <c r="B470" s="13" t="n"/>
      <c r="C470" s="14" t="n"/>
      <c r="D470" s="14" t="n"/>
      <c r="E470" s="15" t="n"/>
      <c r="F470" s="16" t="n"/>
      <c r="G470" s="13" t="n"/>
      <c r="H470" s="13" t="n"/>
      <c r="I470" s="13" t="n"/>
      <c r="J470" s="17">
        <f>IF($F470="","",DATEDIF($F470,Rates!$B$2,"Y"))</f>
        <v/>
      </c>
      <c r="K470" s="18">
        <f>IF($F470="","",IF(UPPER($I470)="Y",Rates!$B$7,IF(J470&gt;=21,Rates!$B$4,IF(J470&gt;=18,Rates!$B$5,Rates!$B$6))))</f>
        <v/>
      </c>
      <c r="L470" s="17">
        <f>IF($F470="","",IF($E470&lt;K470,"Uplift needed","OK"))</f>
        <v/>
      </c>
      <c r="M470" s="17">
        <f>IF($F470="","",IF(AND(J470&lt;21,DATEDIF($F470,Rates!$B$3,"Y")&gt;=21),"Turns 21",IF(AND(J470&lt;18,DATEDIF($F470,Rates!$B$3,"Y")&gt;=18),"Turns 18","")))</f>
        <v/>
      </c>
      <c r="N470" s="18">
        <f>IF($F470="","",MAX($E470,K470))</f>
        <v/>
      </c>
      <c r="O470" s="19">
        <f>IF($F470="","",ROUND($C470*N470/$E470,2))</f>
        <v/>
      </c>
      <c r="P470" s="19">
        <f>IF($F470="","",ROUND($D470*N470/$E470,2))</f>
        <v/>
      </c>
      <c r="Q470" s="19">
        <f>IF($F470="","",ROUND(P470-$D470,2))</f>
        <v/>
      </c>
      <c r="R470" s="19">
        <f>IF($F470="","",ROUND(Rates!$B$8*(MAX(0,P470-Rates!$B$9)-MAX(0,$D470-Rates!$B$9)),2))</f>
        <v/>
      </c>
      <c r="S470" s="19">
        <f>IF($F470="","",ROUND(Rates!$B$10*IF(Rates!$B$11="Full",P470-$D470,MAX(0,MIN(P470,Rates!$B$13)-Rates!$B$12)-MAX(0,MIN($D470,Rates!$B$13)-Rates!$B$12)),2))</f>
        <v/>
      </c>
      <c r="T470" s="19">
        <f>IF($F470="","",ROUND(Q470+R470+S470,2))</f>
        <v/>
      </c>
    </row>
    <row r="471">
      <c r="A471" s="13" t="n"/>
      <c r="B471" s="13" t="n"/>
      <c r="C471" s="14" t="n"/>
      <c r="D471" s="14" t="n"/>
      <c r="E471" s="15" t="n"/>
      <c r="F471" s="16" t="n"/>
      <c r="G471" s="13" t="n"/>
      <c r="H471" s="13" t="n"/>
      <c r="I471" s="13" t="n"/>
      <c r="J471" s="17">
        <f>IF($F471="","",DATEDIF($F471,Rates!$B$2,"Y"))</f>
        <v/>
      </c>
      <c r="K471" s="18">
        <f>IF($F471="","",IF(UPPER($I471)="Y",Rates!$B$7,IF(J471&gt;=21,Rates!$B$4,IF(J471&gt;=18,Rates!$B$5,Rates!$B$6))))</f>
        <v/>
      </c>
      <c r="L471" s="17">
        <f>IF($F471="","",IF($E471&lt;K471,"Uplift needed","OK"))</f>
        <v/>
      </c>
      <c r="M471" s="17">
        <f>IF($F471="","",IF(AND(J471&lt;21,DATEDIF($F471,Rates!$B$3,"Y")&gt;=21),"Turns 21",IF(AND(J471&lt;18,DATEDIF($F471,Rates!$B$3,"Y")&gt;=18),"Turns 18","")))</f>
        <v/>
      </c>
      <c r="N471" s="18">
        <f>IF($F471="","",MAX($E471,K471))</f>
        <v/>
      </c>
      <c r="O471" s="19">
        <f>IF($F471="","",ROUND($C471*N471/$E471,2))</f>
        <v/>
      </c>
      <c r="P471" s="19">
        <f>IF($F471="","",ROUND($D471*N471/$E471,2))</f>
        <v/>
      </c>
      <c r="Q471" s="19">
        <f>IF($F471="","",ROUND(P471-$D471,2))</f>
        <v/>
      </c>
      <c r="R471" s="19">
        <f>IF($F471="","",ROUND(Rates!$B$8*(MAX(0,P471-Rates!$B$9)-MAX(0,$D471-Rates!$B$9)),2))</f>
        <v/>
      </c>
      <c r="S471" s="19">
        <f>IF($F471="","",ROUND(Rates!$B$10*IF(Rates!$B$11="Full",P471-$D471,MAX(0,MIN(P471,Rates!$B$13)-Rates!$B$12)-MAX(0,MIN($D471,Rates!$B$13)-Rates!$B$12)),2))</f>
        <v/>
      </c>
      <c r="T471" s="19">
        <f>IF($F471="","",ROUND(Q471+R471+S471,2))</f>
        <v/>
      </c>
    </row>
    <row r="472">
      <c r="A472" s="13" t="n"/>
      <c r="B472" s="13" t="n"/>
      <c r="C472" s="14" t="n"/>
      <c r="D472" s="14" t="n"/>
      <c r="E472" s="15" t="n"/>
      <c r="F472" s="16" t="n"/>
      <c r="G472" s="13" t="n"/>
      <c r="H472" s="13" t="n"/>
      <c r="I472" s="13" t="n"/>
      <c r="J472" s="17">
        <f>IF($F472="","",DATEDIF($F472,Rates!$B$2,"Y"))</f>
        <v/>
      </c>
      <c r="K472" s="18">
        <f>IF($F472="","",IF(UPPER($I472)="Y",Rates!$B$7,IF(J472&gt;=21,Rates!$B$4,IF(J472&gt;=18,Rates!$B$5,Rates!$B$6))))</f>
        <v/>
      </c>
      <c r="L472" s="17">
        <f>IF($F472="","",IF($E472&lt;K472,"Uplift needed","OK"))</f>
        <v/>
      </c>
      <c r="M472" s="17">
        <f>IF($F472="","",IF(AND(J472&lt;21,DATEDIF($F472,Rates!$B$3,"Y")&gt;=21),"Turns 21",IF(AND(J472&lt;18,DATEDIF($F472,Rates!$B$3,"Y")&gt;=18),"Turns 18","")))</f>
        <v/>
      </c>
      <c r="N472" s="18">
        <f>IF($F472="","",MAX($E472,K472))</f>
        <v/>
      </c>
      <c r="O472" s="19">
        <f>IF($F472="","",ROUND($C472*N472/$E472,2))</f>
        <v/>
      </c>
      <c r="P472" s="19">
        <f>IF($F472="","",ROUND($D472*N472/$E472,2))</f>
        <v/>
      </c>
      <c r="Q472" s="19">
        <f>IF($F472="","",ROUND(P472-$D472,2))</f>
        <v/>
      </c>
      <c r="R472" s="19">
        <f>IF($F472="","",ROUND(Rates!$B$8*(MAX(0,P472-Rates!$B$9)-MAX(0,$D472-Rates!$B$9)),2))</f>
        <v/>
      </c>
      <c r="S472" s="19">
        <f>IF($F472="","",ROUND(Rates!$B$10*IF(Rates!$B$11="Full",P472-$D472,MAX(0,MIN(P472,Rates!$B$13)-Rates!$B$12)-MAX(0,MIN($D472,Rates!$B$13)-Rates!$B$12)),2))</f>
        <v/>
      </c>
      <c r="T472" s="19">
        <f>IF($F472="","",ROUND(Q472+R472+S472,2))</f>
        <v/>
      </c>
    </row>
    <row r="473">
      <c r="A473" s="13" t="n"/>
      <c r="B473" s="13" t="n"/>
      <c r="C473" s="14" t="n"/>
      <c r="D473" s="14" t="n"/>
      <c r="E473" s="15" t="n"/>
      <c r="F473" s="16" t="n"/>
      <c r="G473" s="13" t="n"/>
      <c r="H473" s="13" t="n"/>
      <c r="I473" s="13" t="n"/>
      <c r="J473" s="17">
        <f>IF($F473="","",DATEDIF($F473,Rates!$B$2,"Y"))</f>
        <v/>
      </c>
      <c r="K473" s="18">
        <f>IF($F473="","",IF(UPPER($I473)="Y",Rates!$B$7,IF(J473&gt;=21,Rates!$B$4,IF(J473&gt;=18,Rates!$B$5,Rates!$B$6))))</f>
        <v/>
      </c>
      <c r="L473" s="17">
        <f>IF($F473="","",IF($E473&lt;K473,"Uplift needed","OK"))</f>
        <v/>
      </c>
      <c r="M473" s="17">
        <f>IF($F473="","",IF(AND(J473&lt;21,DATEDIF($F473,Rates!$B$3,"Y")&gt;=21),"Turns 21",IF(AND(J473&lt;18,DATEDIF($F473,Rates!$B$3,"Y")&gt;=18),"Turns 18","")))</f>
        <v/>
      </c>
      <c r="N473" s="18">
        <f>IF($F473="","",MAX($E473,K473))</f>
        <v/>
      </c>
      <c r="O473" s="19">
        <f>IF($F473="","",ROUND($C473*N473/$E473,2))</f>
        <v/>
      </c>
      <c r="P473" s="19">
        <f>IF($F473="","",ROUND($D473*N473/$E473,2))</f>
        <v/>
      </c>
      <c r="Q473" s="19">
        <f>IF($F473="","",ROUND(P473-$D473,2))</f>
        <v/>
      </c>
      <c r="R473" s="19">
        <f>IF($F473="","",ROUND(Rates!$B$8*(MAX(0,P473-Rates!$B$9)-MAX(0,$D473-Rates!$B$9)),2))</f>
        <v/>
      </c>
      <c r="S473" s="19">
        <f>IF($F473="","",ROUND(Rates!$B$10*IF(Rates!$B$11="Full",P473-$D473,MAX(0,MIN(P473,Rates!$B$13)-Rates!$B$12)-MAX(0,MIN($D473,Rates!$B$13)-Rates!$B$12)),2))</f>
        <v/>
      </c>
      <c r="T473" s="19">
        <f>IF($F473="","",ROUND(Q473+R473+S473,2))</f>
        <v/>
      </c>
    </row>
    <row r="474">
      <c r="A474" s="13" t="n"/>
      <c r="B474" s="13" t="n"/>
      <c r="C474" s="14" t="n"/>
      <c r="D474" s="14" t="n"/>
      <c r="E474" s="15" t="n"/>
      <c r="F474" s="16" t="n"/>
      <c r="G474" s="13" t="n"/>
      <c r="H474" s="13" t="n"/>
      <c r="I474" s="13" t="n"/>
      <c r="J474" s="17">
        <f>IF($F474="","",DATEDIF($F474,Rates!$B$2,"Y"))</f>
        <v/>
      </c>
      <c r="K474" s="18">
        <f>IF($F474="","",IF(UPPER($I474)="Y",Rates!$B$7,IF(J474&gt;=21,Rates!$B$4,IF(J474&gt;=18,Rates!$B$5,Rates!$B$6))))</f>
        <v/>
      </c>
      <c r="L474" s="17">
        <f>IF($F474="","",IF($E474&lt;K474,"Uplift needed","OK"))</f>
        <v/>
      </c>
      <c r="M474" s="17">
        <f>IF($F474="","",IF(AND(J474&lt;21,DATEDIF($F474,Rates!$B$3,"Y")&gt;=21),"Turns 21",IF(AND(J474&lt;18,DATEDIF($F474,Rates!$B$3,"Y")&gt;=18),"Turns 18","")))</f>
        <v/>
      </c>
      <c r="N474" s="18">
        <f>IF($F474="","",MAX($E474,K474))</f>
        <v/>
      </c>
      <c r="O474" s="19">
        <f>IF($F474="","",ROUND($C474*N474/$E474,2))</f>
        <v/>
      </c>
      <c r="P474" s="19">
        <f>IF($F474="","",ROUND($D474*N474/$E474,2))</f>
        <v/>
      </c>
      <c r="Q474" s="19">
        <f>IF($F474="","",ROUND(P474-$D474,2))</f>
        <v/>
      </c>
      <c r="R474" s="19">
        <f>IF($F474="","",ROUND(Rates!$B$8*(MAX(0,P474-Rates!$B$9)-MAX(0,$D474-Rates!$B$9)),2))</f>
        <v/>
      </c>
      <c r="S474" s="19">
        <f>IF($F474="","",ROUND(Rates!$B$10*IF(Rates!$B$11="Full",P474-$D474,MAX(0,MIN(P474,Rates!$B$13)-Rates!$B$12)-MAX(0,MIN($D474,Rates!$B$13)-Rates!$B$12)),2))</f>
        <v/>
      </c>
      <c r="T474" s="19">
        <f>IF($F474="","",ROUND(Q474+R474+S474,2))</f>
        <v/>
      </c>
    </row>
    <row r="475">
      <c r="A475" s="13" t="n"/>
      <c r="B475" s="13" t="n"/>
      <c r="C475" s="14" t="n"/>
      <c r="D475" s="14" t="n"/>
      <c r="E475" s="15" t="n"/>
      <c r="F475" s="16" t="n"/>
      <c r="G475" s="13" t="n"/>
      <c r="H475" s="13" t="n"/>
      <c r="I475" s="13" t="n"/>
      <c r="J475" s="17">
        <f>IF($F475="","",DATEDIF($F475,Rates!$B$2,"Y"))</f>
        <v/>
      </c>
      <c r="K475" s="18">
        <f>IF($F475="","",IF(UPPER($I475)="Y",Rates!$B$7,IF(J475&gt;=21,Rates!$B$4,IF(J475&gt;=18,Rates!$B$5,Rates!$B$6))))</f>
        <v/>
      </c>
      <c r="L475" s="17">
        <f>IF($F475="","",IF($E475&lt;K475,"Uplift needed","OK"))</f>
        <v/>
      </c>
      <c r="M475" s="17">
        <f>IF($F475="","",IF(AND(J475&lt;21,DATEDIF($F475,Rates!$B$3,"Y")&gt;=21),"Turns 21",IF(AND(J475&lt;18,DATEDIF($F475,Rates!$B$3,"Y")&gt;=18),"Turns 18","")))</f>
        <v/>
      </c>
      <c r="N475" s="18">
        <f>IF($F475="","",MAX($E475,K475))</f>
        <v/>
      </c>
      <c r="O475" s="19">
        <f>IF($F475="","",ROUND($C475*N475/$E475,2))</f>
        <v/>
      </c>
      <c r="P475" s="19">
        <f>IF($F475="","",ROUND($D475*N475/$E475,2))</f>
        <v/>
      </c>
      <c r="Q475" s="19">
        <f>IF($F475="","",ROUND(P475-$D475,2))</f>
        <v/>
      </c>
      <c r="R475" s="19">
        <f>IF($F475="","",ROUND(Rates!$B$8*(MAX(0,P475-Rates!$B$9)-MAX(0,$D475-Rates!$B$9)),2))</f>
        <v/>
      </c>
      <c r="S475" s="19">
        <f>IF($F475="","",ROUND(Rates!$B$10*IF(Rates!$B$11="Full",P475-$D475,MAX(0,MIN(P475,Rates!$B$13)-Rates!$B$12)-MAX(0,MIN($D475,Rates!$B$13)-Rates!$B$12)),2))</f>
        <v/>
      </c>
      <c r="T475" s="19">
        <f>IF($F475="","",ROUND(Q475+R475+S475,2))</f>
        <v/>
      </c>
    </row>
    <row r="476">
      <c r="A476" s="13" t="n"/>
      <c r="B476" s="13" t="n"/>
      <c r="C476" s="14" t="n"/>
      <c r="D476" s="14" t="n"/>
      <c r="E476" s="15" t="n"/>
      <c r="F476" s="16" t="n"/>
      <c r="G476" s="13" t="n"/>
      <c r="H476" s="13" t="n"/>
      <c r="I476" s="13" t="n"/>
      <c r="J476" s="17">
        <f>IF($F476="","",DATEDIF($F476,Rates!$B$2,"Y"))</f>
        <v/>
      </c>
      <c r="K476" s="18">
        <f>IF($F476="","",IF(UPPER($I476)="Y",Rates!$B$7,IF(J476&gt;=21,Rates!$B$4,IF(J476&gt;=18,Rates!$B$5,Rates!$B$6))))</f>
        <v/>
      </c>
      <c r="L476" s="17">
        <f>IF($F476="","",IF($E476&lt;K476,"Uplift needed","OK"))</f>
        <v/>
      </c>
      <c r="M476" s="17">
        <f>IF($F476="","",IF(AND(J476&lt;21,DATEDIF($F476,Rates!$B$3,"Y")&gt;=21),"Turns 21",IF(AND(J476&lt;18,DATEDIF($F476,Rates!$B$3,"Y")&gt;=18),"Turns 18","")))</f>
        <v/>
      </c>
      <c r="N476" s="18">
        <f>IF($F476="","",MAX($E476,K476))</f>
        <v/>
      </c>
      <c r="O476" s="19">
        <f>IF($F476="","",ROUND($C476*N476/$E476,2))</f>
        <v/>
      </c>
      <c r="P476" s="19">
        <f>IF($F476="","",ROUND($D476*N476/$E476,2))</f>
        <v/>
      </c>
      <c r="Q476" s="19">
        <f>IF($F476="","",ROUND(P476-$D476,2))</f>
        <v/>
      </c>
      <c r="R476" s="19">
        <f>IF($F476="","",ROUND(Rates!$B$8*(MAX(0,P476-Rates!$B$9)-MAX(0,$D476-Rates!$B$9)),2))</f>
        <v/>
      </c>
      <c r="S476" s="19">
        <f>IF($F476="","",ROUND(Rates!$B$10*IF(Rates!$B$11="Full",P476-$D476,MAX(0,MIN(P476,Rates!$B$13)-Rates!$B$12)-MAX(0,MIN($D476,Rates!$B$13)-Rates!$B$12)),2))</f>
        <v/>
      </c>
      <c r="T476" s="19">
        <f>IF($F476="","",ROUND(Q476+R476+S476,2))</f>
        <v/>
      </c>
    </row>
    <row r="477">
      <c r="A477" s="13" t="n"/>
      <c r="B477" s="13" t="n"/>
      <c r="C477" s="14" t="n"/>
      <c r="D477" s="14" t="n"/>
      <c r="E477" s="15" t="n"/>
      <c r="F477" s="16" t="n"/>
      <c r="G477" s="13" t="n"/>
      <c r="H477" s="13" t="n"/>
      <c r="I477" s="13" t="n"/>
      <c r="J477" s="17">
        <f>IF($F477="","",DATEDIF($F477,Rates!$B$2,"Y"))</f>
        <v/>
      </c>
      <c r="K477" s="18">
        <f>IF($F477="","",IF(UPPER($I477)="Y",Rates!$B$7,IF(J477&gt;=21,Rates!$B$4,IF(J477&gt;=18,Rates!$B$5,Rates!$B$6))))</f>
        <v/>
      </c>
      <c r="L477" s="17">
        <f>IF($F477="","",IF($E477&lt;K477,"Uplift needed","OK"))</f>
        <v/>
      </c>
      <c r="M477" s="17">
        <f>IF($F477="","",IF(AND(J477&lt;21,DATEDIF($F477,Rates!$B$3,"Y")&gt;=21),"Turns 21",IF(AND(J477&lt;18,DATEDIF($F477,Rates!$B$3,"Y")&gt;=18),"Turns 18","")))</f>
        <v/>
      </c>
      <c r="N477" s="18">
        <f>IF($F477="","",MAX($E477,K477))</f>
        <v/>
      </c>
      <c r="O477" s="19">
        <f>IF($F477="","",ROUND($C477*N477/$E477,2))</f>
        <v/>
      </c>
      <c r="P477" s="19">
        <f>IF($F477="","",ROUND($D477*N477/$E477,2))</f>
        <v/>
      </c>
      <c r="Q477" s="19">
        <f>IF($F477="","",ROUND(P477-$D477,2))</f>
        <v/>
      </c>
      <c r="R477" s="19">
        <f>IF($F477="","",ROUND(Rates!$B$8*(MAX(0,P477-Rates!$B$9)-MAX(0,$D477-Rates!$B$9)),2))</f>
        <v/>
      </c>
      <c r="S477" s="19">
        <f>IF($F477="","",ROUND(Rates!$B$10*IF(Rates!$B$11="Full",P477-$D477,MAX(0,MIN(P477,Rates!$B$13)-Rates!$B$12)-MAX(0,MIN($D477,Rates!$B$13)-Rates!$B$12)),2))</f>
        <v/>
      </c>
      <c r="T477" s="19">
        <f>IF($F477="","",ROUND(Q477+R477+S477,2))</f>
        <v/>
      </c>
    </row>
    <row r="478">
      <c r="A478" s="13" t="n"/>
      <c r="B478" s="13" t="n"/>
      <c r="C478" s="14" t="n"/>
      <c r="D478" s="14" t="n"/>
      <c r="E478" s="15" t="n"/>
      <c r="F478" s="16" t="n"/>
      <c r="G478" s="13" t="n"/>
      <c r="H478" s="13" t="n"/>
      <c r="I478" s="13" t="n"/>
      <c r="J478" s="17">
        <f>IF($F478="","",DATEDIF($F478,Rates!$B$2,"Y"))</f>
        <v/>
      </c>
      <c r="K478" s="18">
        <f>IF($F478="","",IF(UPPER($I478)="Y",Rates!$B$7,IF(J478&gt;=21,Rates!$B$4,IF(J478&gt;=18,Rates!$B$5,Rates!$B$6))))</f>
        <v/>
      </c>
      <c r="L478" s="17">
        <f>IF($F478="","",IF($E478&lt;K478,"Uplift needed","OK"))</f>
        <v/>
      </c>
      <c r="M478" s="17">
        <f>IF($F478="","",IF(AND(J478&lt;21,DATEDIF($F478,Rates!$B$3,"Y")&gt;=21),"Turns 21",IF(AND(J478&lt;18,DATEDIF($F478,Rates!$B$3,"Y")&gt;=18),"Turns 18","")))</f>
        <v/>
      </c>
      <c r="N478" s="18">
        <f>IF($F478="","",MAX($E478,K478))</f>
        <v/>
      </c>
      <c r="O478" s="19">
        <f>IF($F478="","",ROUND($C478*N478/$E478,2))</f>
        <v/>
      </c>
      <c r="P478" s="19">
        <f>IF($F478="","",ROUND($D478*N478/$E478,2))</f>
        <v/>
      </c>
      <c r="Q478" s="19">
        <f>IF($F478="","",ROUND(P478-$D478,2))</f>
        <v/>
      </c>
      <c r="R478" s="19">
        <f>IF($F478="","",ROUND(Rates!$B$8*(MAX(0,P478-Rates!$B$9)-MAX(0,$D478-Rates!$B$9)),2))</f>
        <v/>
      </c>
      <c r="S478" s="19">
        <f>IF($F478="","",ROUND(Rates!$B$10*IF(Rates!$B$11="Full",P478-$D478,MAX(0,MIN(P478,Rates!$B$13)-Rates!$B$12)-MAX(0,MIN($D478,Rates!$B$13)-Rates!$B$12)),2))</f>
        <v/>
      </c>
      <c r="T478" s="19">
        <f>IF($F478="","",ROUND(Q478+R478+S478,2))</f>
        <v/>
      </c>
    </row>
    <row r="479">
      <c r="A479" s="13" t="n"/>
      <c r="B479" s="13" t="n"/>
      <c r="C479" s="14" t="n"/>
      <c r="D479" s="14" t="n"/>
      <c r="E479" s="15" t="n"/>
      <c r="F479" s="16" t="n"/>
      <c r="G479" s="13" t="n"/>
      <c r="H479" s="13" t="n"/>
      <c r="I479" s="13" t="n"/>
      <c r="J479" s="17">
        <f>IF($F479="","",DATEDIF($F479,Rates!$B$2,"Y"))</f>
        <v/>
      </c>
      <c r="K479" s="18">
        <f>IF($F479="","",IF(UPPER($I479)="Y",Rates!$B$7,IF(J479&gt;=21,Rates!$B$4,IF(J479&gt;=18,Rates!$B$5,Rates!$B$6))))</f>
        <v/>
      </c>
      <c r="L479" s="17">
        <f>IF($F479="","",IF($E479&lt;K479,"Uplift needed","OK"))</f>
        <v/>
      </c>
      <c r="M479" s="17">
        <f>IF($F479="","",IF(AND(J479&lt;21,DATEDIF($F479,Rates!$B$3,"Y")&gt;=21),"Turns 21",IF(AND(J479&lt;18,DATEDIF($F479,Rates!$B$3,"Y")&gt;=18),"Turns 18","")))</f>
        <v/>
      </c>
      <c r="N479" s="18">
        <f>IF($F479="","",MAX($E479,K479))</f>
        <v/>
      </c>
      <c r="O479" s="19">
        <f>IF($F479="","",ROUND($C479*N479/$E479,2))</f>
        <v/>
      </c>
      <c r="P479" s="19">
        <f>IF($F479="","",ROUND($D479*N479/$E479,2))</f>
        <v/>
      </c>
      <c r="Q479" s="19">
        <f>IF($F479="","",ROUND(P479-$D479,2))</f>
        <v/>
      </c>
      <c r="R479" s="19">
        <f>IF($F479="","",ROUND(Rates!$B$8*(MAX(0,P479-Rates!$B$9)-MAX(0,$D479-Rates!$B$9)),2))</f>
        <v/>
      </c>
      <c r="S479" s="19">
        <f>IF($F479="","",ROUND(Rates!$B$10*IF(Rates!$B$11="Full",P479-$D479,MAX(0,MIN(P479,Rates!$B$13)-Rates!$B$12)-MAX(0,MIN($D479,Rates!$B$13)-Rates!$B$12)),2))</f>
        <v/>
      </c>
      <c r="T479" s="19">
        <f>IF($F479="","",ROUND(Q479+R479+S479,2))</f>
        <v/>
      </c>
    </row>
    <row r="480">
      <c r="A480" s="13" t="n"/>
      <c r="B480" s="13" t="n"/>
      <c r="C480" s="14" t="n"/>
      <c r="D480" s="14" t="n"/>
      <c r="E480" s="15" t="n"/>
      <c r="F480" s="16" t="n"/>
      <c r="G480" s="13" t="n"/>
      <c r="H480" s="13" t="n"/>
      <c r="I480" s="13" t="n"/>
      <c r="J480" s="17">
        <f>IF($F480="","",DATEDIF($F480,Rates!$B$2,"Y"))</f>
        <v/>
      </c>
      <c r="K480" s="18">
        <f>IF($F480="","",IF(UPPER($I480)="Y",Rates!$B$7,IF(J480&gt;=21,Rates!$B$4,IF(J480&gt;=18,Rates!$B$5,Rates!$B$6))))</f>
        <v/>
      </c>
      <c r="L480" s="17">
        <f>IF($F480="","",IF($E480&lt;K480,"Uplift needed","OK"))</f>
        <v/>
      </c>
      <c r="M480" s="17">
        <f>IF($F480="","",IF(AND(J480&lt;21,DATEDIF($F480,Rates!$B$3,"Y")&gt;=21),"Turns 21",IF(AND(J480&lt;18,DATEDIF($F480,Rates!$B$3,"Y")&gt;=18),"Turns 18","")))</f>
        <v/>
      </c>
      <c r="N480" s="18">
        <f>IF($F480="","",MAX($E480,K480))</f>
        <v/>
      </c>
      <c r="O480" s="19">
        <f>IF($F480="","",ROUND($C480*N480/$E480,2))</f>
        <v/>
      </c>
      <c r="P480" s="19">
        <f>IF($F480="","",ROUND($D480*N480/$E480,2))</f>
        <v/>
      </c>
      <c r="Q480" s="19">
        <f>IF($F480="","",ROUND(P480-$D480,2))</f>
        <v/>
      </c>
      <c r="R480" s="19">
        <f>IF($F480="","",ROUND(Rates!$B$8*(MAX(0,P480-Rates!$B$9)-MAX(0,$D480-Rates!$B$9)),2))</f>
        <v/>
      </c>
      <c r="S480" s="19">
        <f>IF($F480="","",ROUND(Rates!$B$10*IF(Rates!$B$11="Full",P480-$D480,MAX(0,MIN(P480,Rates!$B$13)-Rates!$B$12)-MAX(0,MIN($D480,Rates!$B$13)-Rates!$B$12)),2))</f>
        <v/>
      </c>
      <c r="T480" s="19">
        <f>IF($F480="","",ROUND(Q480+R480+S480,2))</f>
        <v/>
      </c>
    </row>
    <row r="481">
      <c r="A481" s="13" t="n"/>
      <c r="B481" s="13" t="n"/>
      <c r="C481" s="14" t="n"/>
      <c r="D481" s="14" t="n"/>
      <c r="E481" s="15" t="n"/>
      <c r="F481" s="16" t="n"/>
      <c r="G481" s="13" t="n"/>
      <c r="H481" s="13" t="n"/>
      <c r="I481" s="13" t="n"/>
      <c r="J481" s="17">
        <f>IF($F481="","",DATEDIF($F481,Rates!$B$2,"Y"))</f>
        <v/>
      </c>
      <c r="K481" s="18">
        <f>IF($F481="","",IF(UPPER($I481)="Y",Rates!$B$7,IF(J481&gt;=21,Rates!$B$4,IF(J481&gt;=18,Rates!$B$5,Rates!$B$6))))</f>
        <v/>
      </c>
      <c r="L481" s="17">
        <f>IF($F481="","",IF($E481&lt;K481,"Uplift needed","OK"))</f>
        <v/>
      </c>
      <c r="M481" s="17">
        <f>IF($F481="","",IF(AND(J481&lt;21,DATEDIF($F481,Rates!$B$3,"Y")&gt;=21),"Turns 21",IF(AND(J481&lt;18,DATEDIF($F481,Rates!$B$3,"Y")&gt;=18),"Turns 18","")))</f>
        <v/>
      </c>
      <c r="N481" s="18">
        <f>IF($F481="","",MAX($E481,K481))</f>
        <v/>
      </c>
      <c r="O481" s="19">
        <f>IF($F481="","",ROUND($C481*N481/$E481,2))</f>
        <v/>
      </c>
      <c r="P481" s="19">
        <f>IF($F481="","",ROUND($D481*N481/$E481,2))</f>
        <v/>
      </c>
      <c r="Q481" s="19">
        <f>IF($F481="","",ROUND(P481-$D481,2))</f>
        <v/>
      </c>
      <c r="R481" s="19">
        <f>IF($F481="","",ROUND(Rates!$B$8*(MAX(0,P481-Rates!$B$9)-MAX(0,$D481-Rates!$B$9)),2))</f>
        <v/>
      </c>
      <c r="S481" s="19">
        <f>IF($F481="","",ROUND(Rates!$B$10*IF(Rates!$B$11="Full",P481-$D481,MAX(0,MIN(P481,Rates!$B$13)-Rates!$B$12)-MAX(0,MIN($D481,Rates!$B$13)-Rates!$B$12)),2))</f>
        <v/>
      </c>
      <c r="T481" s="19">
        <f>IF($F481="","",ROUND(Q481+R481+S481,2))</f>
        <v/>
      </c>
    </row>
    <row r="482">
      <c r="A482" s="13" t="n"/>
      <c r="B482" s="13" t="n"/>
      <c r="C482" s="14" t="n"/>
      <c r="D482" s="14" t="n"/>
      <c r="E482" s="15" t="n"/>
      <c r="F482" s="16" t="n"/>
      <c r="G482" s="13" t="n"/>
      <c r="H482" s="13" t="n"/>
      <c r="I482" s="13" t="n"/>
      <c r="J482" s="17">
        <f>IF($F482="","",DATEDIF($F482,Rates!$B$2,"Y"))</f>
        <v/>
      </c>
      <c r="K482" s="18">
        <f>IF($F482="","",IF(UPPER($I482)="Y",Rates!$B$7,IF(J482&gt;=21,Rates!$B$4,IF(J482&gt;=18,Rates!$B$5,Rates!$B$6))))</f>
        <v/>
      </c>
      <c r="L482" s="17">
        <f>IF($F482="","",IF($E482&lt;K482,"Uplift needed","OK"))</f>
        <v/>
      </c>
      <c r="M482" s="17">
        <f>IF($F482="","",IF(AND(J482&lt;21,DATEDIF($F482,Rates!$B$3,"Y")&gt;=21),"Turns 21",IF(AND(J482&lt;18,DATEDIF($F482,Rates!$B$3,"Y")&gt;=18),"Turns 18","")))</f>
        <v/>
      </c>
      <c r="N482" s="18">
        <f>IF($F482="","",MAX($E482,K482))</f>
        <v/>
      </c>
      <c r="O482" s="19">
        <f>IF($F482="","",ROUND($C482*N482/$E482,2))</f>
        <v/>
      </c>
      <c r="P482" s="19">
        <f>IF($F482="","",ROUND($D482*N482/$E482,2))</f>
        <v/>
      </c>
      <c r="Q482" s="19">
        <f>IF($F482="","",ROUND(P482-$D482,2))</f>
        <v/>
      </c>
      <c r="R482" s="19">
        <f>IF($F482="","",ROUND(Rates!$B$8*(MAX(0,P482-Rates!$B$9)-MAX(0,$D482-Rates!$B$9)),2))</f>
        <v/>
      </c>
      <c r="S482" s="19">
        <f>IF($F482="","",ROUND(Rates!$B$10*IF(Rates!$B$11="Full",P482-$D482,MAX(0,MIN(P482,Rates!$B$13)-Rates!$B$12)-MAX(0,MIN($D482,Rates!$B$13)-Rates!$B$12)),2))</f>
        <v/>
      </c>
      <c r="T482" s="19">
        <f>IF($F482="","",ROUND(Q482+R482+S482,2))</f>
        <v/>
      </c>
    </row>
    <row r="483">
      <c r="A483" s="13" t="n"/>
      <c r="B483" s="13" t="n"/>
      <c r="C483" s="14" t="n"/>
      <c r="D483" s="14" t="n"/>
      <c r="E483" s="15" t="n"/>
      <c r="F483" s="16" t="n"/>
      <c r="G483" s="13" t="n"/>
      <c r="H483" s="13" t="n"/>
      <c r="I483" s="13" t="n"/>
      <c r="J483" s="17">
        <f>IF($F483="","",DATEDIF($F483,Rates!$B$2,"Y"))</f>
        <v/>
      </c>
      <c r="K483" s="18">
        <f>IF($F483="","",IF(UPPER($I483)="Y",Rates!$B$7,IF(J483&gt;=21,Rates!$B$4,IF(J483&gt;=18,Rates!$B$5,Rates!$B$6))))</f>
        <v/>
      </c>
      <c r="L483" s="17">
        <f>IF($F483="","",IF($E483&lt;K483,"Uplift needed","OK"))</f>
        <v/>
      </c>
      <c r="M483" s="17">
        <f>IF($F483="","",IF(AND(J483&lt;21,DATEDIF($F483,Rates!$B$3,"Y")&gt;=21),"Turns 21",IF(AND(J483&lt;18,DATEDIF($F483,Rates!$B$3,"Y")&gt;=18),"Turns 18","")))</f>
        <v/>
      </c>
      <c r="N483" s="18">
        <f>IF($F483="","",MAX($E483,K483))</f>
        <v/>
      </c>
      <c r="O483" s="19">
        <f>IF($F483="","",ROUND($C483*N483/$E483,2))</f>
        <v/>
      </c>
      <c r="P483" s="19">
        <f>IF($F483="","",ROUND($D483*N483/$E483,2))</f>
        <v/>
      </c>
      <c r="Q483" s="19">
        <f>IF($F483="","",ROUND(P483-$D483,2))</f>
        <v/>
      </c>
      <c r="R483" s="19">
        <f>IF($F483="","",ROUND(Rates!$B$8*(MAX(0,P483-Rates!$B$9)-MAX(0,$D483-Rates!$B$9)),2))</f>
        <v/>
      </c>
      <c r="S483" s="19">
        <f>IF($F483="","",ROUND(Rates!$B$10*IF(Rates!$B$11="Full",P483-$D483,MAX(0,MIN(P483,Rates!$B$13)-Rates!$B$12)-MAX(0,MIN($D483,Rates!$B$13)-Rates!$B$12)),2))</f>
        <v/>
      </c>
      <c r="T483" s="19">
        <f>IF($F483="","",ROUND(Q483+R483+S483,2))</f>
        <v/>
      </c>
    </row>
    <row r="484">
      <c r="A484" s="13" t="n"/>
      <c r="B484" s="13" t="n"/>
      <c r="C484" s="14" t="n"/>
      <c r="D484" s="14" t="n"/>
      <c r="E484" s="15" t="n"/>
      <c r="F484" s="16" t="n"/>
      <c r="G484" s="13" t="n"/>
      <c r="H484" s="13" t="n"/>
      <c r="I484" s="13" t="n"/>
      <c r="J484" s="17">
        <f>IF($F484="","",DATEDIF($F484,Rates!$B$2,"Y"))</f>
        <v/>
      </c>
      <c r="K484" s="18">
        <f>IF($F484="","",IF(UPPER($I484)="Y",Rates!$B$7,IF(J484&gt;=21,Rates!$B$4,IF(J484&gt;=18,Rates!$B$5,Rates!$B$6))))</f>
        <v/>
      </c>
      <c r="L484" s="17">
        <f>IF($F484="","",IF($E484&lt;K484,"Uplift needed","OK"))</f>
        <v/>
      </c>
      <c r="M484" s="17">
        <f>IF($F484="","",IF(AND(J484&lt;21,DATEDIF($F484,Rates!$B$3,"Y")&gt;=21),"Turns 21",IF(AND(J484&lt;18,DATEDIF($F484,Rates!$B$3,"Y")&gt;=18),"Turns 18","")))</f>
        <v/>
      </c>
      <c r="N484" s="18">
        <f>IF($F484="","",MAX($E484,K484))</f>
        <v/>
      </c>
      <c r="O484" s="19">
        <f>IF($F484="","",ROUND($C484*N484/$E484,2))</f>
        <v/>
      </c>
      <c r="P484" s="19">
        <f>IF($F484="","",ROUND($D484*N484/$E484,2))</f>
        <v/>
      </c>
      <c r="Q484" s="19">
        <f>IF($F484="","",ROUND(P484-$D484,2))</f>
        <v/>
      </c>
      <c r="R484" s="19">
        <f>IF($F484="","",ROUND(Rates!$B$8*(MAX(0,P484-Rates!$B$9)-MAX(0,$D484-Rates!$B$9)),2))</f>
        <v/>
      </c>
      <c r="S484" s="19">
        <f>IF($F484="","",ROUND(Rates!$B$10*IF(Rates!$B$11="Full",P484-$D484,MAX(0,MIN(P484,Rates!$B$13)-Rates!$B$12)-MAX(0,MIN($D484,Rates!$B$13)-Rates!$B$12)),2))</f>
        <v/>
      </c>
      <c r="T484" s="19">
        <f>IF($F484="","",ROUND(Q484+R484+S484,2))</f>
        <v/>
      </c>
    </row>
    <row r="485">
      <c r="A485" s="13" t="n"/>
      <c r="B485" s="13" t="n"/>
      <c r="C485" s="14" t="n"/>
      <c r="D485" s="14" t="n"/>
      <c r="E485" s="15" t="n"/>
      <c r="F485" s="16" t="n"/>
      <c r="G485" s="13" t="n"/>
      <c r="H485" s="13" t="n"/>
      <c r="I485" s="13" t="n"/>
      <c r="J485" s="17">
        <f>IF($F485="","",DATEDIF($F485,Rates!$B$2,"Y"))</f>
        <v/>
      </c>
      <c r="K485" s="18">
        <f>IF($F485="","",IF(UPPER($I485)="Y",Rates!$B$7,IF(J485&gt;=21,Rates!$B$4,IF(J485&gt;=18,Rates!$B$5,Rates!$B$6))))</f>
        <v/>
      </c>
      <c r="L485" s="17">
        <f>IF($F485="","",IF($E485&lt;K485,"Uplift needed","OK"))</f>
        <v/>
      </c>
      <c r="M485" s="17">
        <f>IF($F485="","",IF(AND(J485&lt;21,DATEDIF($F485,Rates!$B$3,"Y")&gt;=21),"Turns 21",IF(AND(J485&lt;18,DATEDIF($F485,Rates!$B$3,"Y")&gt;=18),"Turns 18","")))</f>
        <v/>
      </c>
      <c r="N485" s="18">
        <f>IF($F485="","",MAX($E485,K485))</f>
        <v/>
      </c>
      <c r="O485" s="19">
        <f>IF($F485="","",ROUND($C485*N485/$E485,2))</f>
        <v/>
      </c>
      <c r="P485" s="19">
        <f>IF($F485="","",ROUND($D485*N485/$E485,2))</f>
        <v/>
      </c>
      <c r="Q485" s="19">
        <f>IF($F485="","",ROUND(P485-$D485,2))</f>
        <v/>
      </c>
      <c r="R485" s="19">
        <f>IF($F485="","",ROUND(Rates!$B$8*(MAX(0,P485-Rates!$B$9)-MAX(0,$D485-Rates!$B$9)),2))</f>
        <v/>
      </c>
      <c r="S485" s="19">
        <f>IF($F485="","",ROUND(Rates!$B$10*IF(Rates!$B$11="Full",P485-$D485,MAX(0,MIN(P485,Rates!$B$13)-Rates!$B$12)-MAX(0,MIN($D485,Rates!$B$13)-Rates!$B$12)),2))</f>
        <v/>
      </c>
      <c r="T485" s="19">
        <f>IF($F485="","",ROUND(Q485+R485+S485,2))</f>
        <v/>
      </c>
    </row>
    <row r="486">
      <c r="A486" s="13" t="n"/>
      <c r="B486" s="13" t="n"/>
      <c r="C486" s="14" t="n"/>
      <c r="D486" s="14" t="n"/>
      <c r="E486" s="15" t="n"/>
      <c r="F486" s="16" t="n"/>
      <c r="G486" s="13" t="n"/>
      <c r="H486" s="13" t="n"/>
      <c r="I486" s="13" t="n"/>
      <c r="J486" s="17">
        <f>IF($F486="","",DATEDIF($F486,Rates!$B$2,"Y"))</f>
        <v/>
      </c>
      <c r="K486" s="18">
        <f>IF($F486="","",IF(UPPER($I486)="Y",Rates!$B$7,IF(J486&gt;=21,Rates!$B$4,IF(J486&gt;=18,Rates!$B$5,Rates!$B$6))))</f>
        <v/>
      </c>
      <c r="L486" s="17">
        <f>IF($F486="","",IF($E486&lt;K486,"Uplift needed","OK"))</f>
        <v/>
      </c>
      <c r="M486" s="17">
        <f>IF($F486="","",IF(AND(J486&lt;21,DATEDIF($F486,Rates!$B$3,"Y")&gt;=21),"Turns 21",IF(AND(J486&lt;18,DATEDIF($F486,Rates!$B$3,"Y")&gt;=18),"Turns 18","")))</f>
        <v/>
      </c>
      <c r="N486" s="18">
        <f>IF($F486="","",MAX($E486,K486))</f>
        <v/>
      </c>
      <c r="O486" s="19">
        <f>IF($F486="","",ROUND($C486*N486/$E486,2))</f>
        <v/>
      </c>
      <c r="P486" s="19">
        <f>IF($F486="","",ROUND($D486*N486/$E486,2))</f>
        <v/>
      </c>
      <c r="Q486" s="19">
        <f>IF($F486="","",ROUND(P486-$D486,2))</f>
        <v/>
      </c>
      <c r="R486" s="19">
        <f>IF($F486="","",ROUND(Rates!$B$8*(MAX(0,P486-Rates!$B$9)-MAX(0,$D486-Rates!$B$9)),2))</f>
        <v/>
      </c>
      <c r="S486" s="19">
        <f>IF($F486="","",ROUND(Rates!$B$10*IF(Rates!$B$11="Full",P486-$D486,MAX(0,MIN(P486,Rates!$B$13)-Rates!$B$12)-MAX(0,MIN($D486,Rates!$B$13)-Rates!$B$12)),2))</f>
        <v/>
      </c>
      <c r="T486" s="19">
        <f>IF($F486="","",ROUND(Q486+R486+S486,2))</f>
        <v/>
      </c>
    </row>
    <row r="487">
      <c r="A487" s="13" t="n"/>
      <c r="B487" s="13" t="n"/>
      <c r="C487" s="14" t="n"/>
      <c r="D487" s="14" t="n"/>
      <c r="E487" s="15" t="n"/>
      <c r="F487" s="16" t="n"/>
      <c r="G487" s="13" t="n"/>
      <c r="H487" s="13" t="n"/>
      <c r="I487" s="13" t="n"/>
      <c r="J487" s="17">
        <f>IF($F487="","",DATEDIF($F487,Rates!$B$2,"Y"))</f>
        <v/>
      </c>
      <c r="K487" s="18">
        <f>IF($F487="","",IF(UPPER($I487)="Y",Rates!$B$7,IF(J487&gt;=21,Rates!$B$4,IF(J487&gt;=18,Rates!$B$5,Rates!$B$6))))</f>
        <v/>
      </c>
      <c r="L487" s="17">
        <f>IF($F487="","",IF($E487&lt;K487,"Uplift needed","OK"))</f>
        <v/>
      </c>
      <c r="M487" s="17">
        <f>IF($F487="","",IF(AND(J487&lt;21,DATEDIF($F487,Rates!$B$3,"Y")&gt;=21),"Turns 21",IF(AND(J487&lt;18,DATEDIF($F487,Rates!$B$3,"Y")&gt;=18),"Turns 18","")))</f>
        <v/>
      </c>
      <c r="N487" s="18">
        <f>IF($F487="","",MAX($E487,K487))</f>
        <v/>
      </c>
      <c r="O487" s="19">
        <f>IF($F487="","",ROUND($C487*N487/$E487,2))</f>
        <v/>
      </c>
      <c r="P487" s="19">
        <f>IF($F487="","",ROUND($D487*N487/$E487,2))</f>
        <v/>
      </c>
      <c r="Q487" s="19">
        <f>IF($F487="","",ROUND(P487-$D487,2))</f>
        <v/>
      </c>
      <c r="R487" s="19">
        <f>IF($F487="","",ROUND(Rates!$B$8*(MAX(0,P487-Rates!$B$9)-MAX(0,$D487-Rates!$B$9)),2))</f>
        <v/>
      </c>
      <c r="S487" s="19">
        <f>IF($F487="","",ROUND(Rates!$B$10*IF(Rates!$B$11="Full",P487-$D487,MAX(0,MIN(P487,Rates!$B$13)-Rates!$B$12)-MAX(0,MIN($D487,Rates!$B$13)-Rates!$B$12)),2))</f>
        <v/>
      </c>
      <c r="T487" s="19">
        <f>IF($F487="","",ROUND(Q487+R487+S487,2))</f>
        <v/>
      </c>
    </row>
    <row r="488">
      <c r="A488" s="13" t="n"/>
      <c r="B488" s="13" t="n"/>
      <c r="C488" s="14" t="n"/>
      <c r="D488" s="14" t="n"/>
      <c r="E488" s="15" t="n"/>
      <c r="F488" s="16" t="n"/>
      <c r="G488" s="13" t="n"/>
      <c r="H488" s="13" t="n"/>
      <c r="I488" s="13" t="n"/>
      <c r="J488" s="17">
        <f>IF($F488="","",DATEDIF($F488,Rates!$B$2,"Y"))</f>
        <v/>
      </c>
      <c r="K488" s="18">
        <f>IF($F488="","",IF(UPPER($I488)="Y",Rates!$B$7,IF(J488&gt;=21,Rates!$B$4,IF(J488&gt;=18,Rates!$B$5,Rates!$B$6))))</f>
        <v/>
      </c>
      <c r="L488" s="17">
        <f>IF($F488="","",IF($E488&lt;K488,"Uplift needed","OK"))</f>
        <v/>
      </c>
      <c r="M488" s="17">
        <f>IF($F488="","",IF(AND(J488&lt;21,DATEDIF($F488,Rates!$B$3,"Y")&gt;=21),"Turns 21",IF(AND(J488&lt;18,DATEDIF($F488,Rates!$B$3,"Y")&gt;=18),"Turns 18","")))</f>
        <v/>
      </c>
      <c r="N488" s="18">
        <f>IF($F488="","",MAX($E488,K488))</f>
        <v/>
      </c>
      <c r="O488" s="19">
        <f>IF($F488="","",ROUND($C488*N488/$E488,2))</f>
        <v/>
      </c>
      <c r="P488" s="19">
        <f>IF($F488="","",ROUND($D488*N488/$E488,2))</f>
        <v/>
      </c>
      <c r="Q488" s="19">
        <f>IF($F488="","",ROUND(P488-$D488,2))</f>
        <v/>
      </c>
      <c r="R488" s="19">
        <f>IF($F488="","",ROUND(Rates!$B$8*(MAX(0,P488-Rates!$B$9)-MAX(0,$D488-Rates!$B$9)),2))</f>
        <v/>
      </c>
      <c r="S488" s="19">
        <f>IF($F488="","",ROUND(Rates!$B$10*IF(Rates!$B$11="Full",P488-$D488,MAX(0,MIN(P488,Rates!$B$13)-Rates!$B$12)-MAX(0,MIN($D488,Rates!$B$13)-Rates!$B$12)),2))</f>
        <v/>
      </c>
      <c r="T488" s="19">
        <f>IF($F488="","",ROUND(Q488+R488+S488,2))</f>
        <v/>
      </c>
    </row>
    <row r="489">
      <c r="A489" s="13" t="n"/>
      <c r="B489" s="13" t="n"/>
      <c r="C489" s="14" t="n"/>
      <c r="D489" s="14" t="n"/>
      <c r="E489" s="15" t="n"/>
      <c r="F489" s="16" t="n"/>
      <c r="G489" s="13" t="n"/>
      <c r="H489" s="13" t="n"/>
      <c r="I489" s="13" t="n"/>
      <c r="J489" s="17">
        <f>IF($F489="","",DATEDIF($F489,Rates!$B$2,"Y"))</f>
        <v/>
      </c>
      <c r="K489" s="18">
        <f>IF($F489="","",IF(UPPER($I489)="Y",Rates!$B$7,IF(J489&gt;=21,Rates!$B$4,IF(J489&gt;=18,Rates!$B$5,Rates!$B$6))))</f>
        <v/>
      </c>
      <c r="L489" s="17">
        <f>IF($F489="","",IF($E489&lt;K489,"Uplift needed","OK"))</f>
        <v/>
      </c>
      <c r="M489" s="17">
        <f>IF($F489="","",IF(AND(J489&lt;21,DATEDIF($F489,Rates!$B$3,"Y")&gt;=21),"Turns 21",IF(AND(J489&lt;18,DATEDIF($F489,Rates!$B$3,"Y")&gt;=18),"Turns 18","")))</f>
        <v/>
      </c>
      <c r="N489" s="18">
        <f>IF($F489="","",MAX($E489,K489))</f>
        <v/>
      </c>
      <c r="O489" s="19">
        <f>IF($F489="","",ROUND($C489*N489/$E489,2))</f>
        <v/>
      </c>
      <c r="P489" s="19">
        <f>IF($F489="","",ROUND($D489*N489/$E489,2))</f>
        <v/>
      </c>
      <c r="Q489" s="19">
        <f>IF($F489="","",ROUND(P489-$D489,2))</f>
        <v/>
      </c>
      <c r="R489" s="19">
        <f>IF($F489="","",ROUND(Rates!$B$8*(MAX(0,P489-Rates!$B$9)-MAX(0,$D489-Rates!$B$9)),2))</f>
        <v/>
      </c>
      <c r="S489" s="19">
        <f>IF($F489="","",ROUND(Rates!$B$10*IF(Rates!$B$11="Full",P489-$D489,MAX(0,MIN(P489,Rates!$B$13)-Rates!$B$12)-MAX(0,MIN($D489,Rates!$B$13)-Rates!$B$12)),2))</f>
        <v/>
      </c>
      <c r="T489" s="19">
        <f>IF($F489="","",ROUND(Q489+R489+S489,2))</f>
        <v/>
      </c>
    </row>
    <row r="490">
      <c r="A490" s="13" t="n"/>
      <c r="B490" s="13" t="n"/>
      <c r="C490" s="14" t="n"/>
      <c r="D490" s="14" t="n"/>
      <c r="E490" s="15" t="n"/>
      <c r="F490" s="16" t="n"/>
      <c r="G490" s="13" t="n"/>
      <c r="H490" s="13" t="n"/>
      <c r="I490" s="13" t="n"/>
      <c r="J490" s="17">
        <f>IF($F490="","",DATEDIF($F490,Rates!$B$2,"Y"))</f>
        <v/>
      </c>
      <c r="K490" s="18">
        <f>IF($F490="","",IF(UPPER($I490)="Y",Rates!$B$7,IF(J490&gt;=21,Rates!$B$4,IF(J490&gt;=18,Rates!$B$5,Rates!$B$6))))</f>
        <v/>
      </c>
      <c r="L490" s="17">
        <f>IF($F490="","",IF($E490&lt;K490,"Uplift needed","OK"))</f>
        <v/>
      </c>
      <c r="M490" s="17">
        <f>IF($F490="","",IF(AND(J490&lt;21,DATEDIF($F490,Rates!$B$3,"Y")&gt;=21),"Turns 21",IF(AND(J490&lt;18,DATEDIF($F490,Rates!$B$3,"Y")&gt;=18),"Turns 18","")))</f>
        <v/>
      </c>
      <c r="N490" s="18">
        <f>IF($F490="","",MAX($E490,K490))</f>
        <v/>
      </c>
      <c r="O490" s="19">
        <f>IF($F490="","",ROUND($C490*N490/$E490,2))</f>
        <v/>
      </c>
      <c r="P490" s="19">
        <f>IF($F490="","",ROUND($D490*N490/$E490,2))</f>
        <v/>
      </c>
      <c r="Q490" s="19">
        <f>IF($F490="","",ROUND(P490-$D490,2))</f>
        <v/>
      </c>
      <c r="R490" s="19">
        <f>IF($F490="","",ROUND(Rates!$B$8*(MAX(0,P490-Rates!$B$9)-MAX(0,$D490-Rates!$B$9)),2))</f>
        <v/>
      </c>
      <c r="S490" s="19">
        <f>IF($F490="","",ROUND(Rates!$B$10*IF(Rates!$B$11="Full",P490-$D490,MAX(0,MIN(P490,Rates!$B$13)-Rates!$B$12)-MAX(0,MIN($D490,Rates!$B$13)-Rates!$B$12)),2))</f>
        <v/>
      </c>
      <c r="T490" s="19">
        <f>IF($F490="","",ROUND(Q490+R490+S490,2))</f>
        <v/>
      </c>
    </row>
    <row r="491">
      <c r="A491" s="13" t="n"/>
      <c r="B491" s="13" t="n"/>
      <c r="C491" s="14" t="n"/>
      <c r="D491" s="14" t="n"/>
      <c r="E491" s="15" t="n"/>
      <c r="F491" s="16" t="n"/>
      <c r="G491" s="13" t="n"/>
      <c r="H491" s="13" t="n"/>
      <c r="I491" s="13" t="n"/>
      <c r="J491" s="17">
        <f>IF($F491="","",DATEDIF($F491,Rates!$B$2,"Y"))</f>
        <v/>
      </c>
      <c r="K491" s="18">
        <f>IF($F491="","",IF(UPPER($I491)="Y",Rates!$B$7,IF(J491&gt;=21,Rates!$B$4,IF(J491&gt;=18,Rates!$B$5,Rates!$B$6))))</f>
        <v/>
      </c>
      <c r="L491" s="17">
        <f>IF($F491="","",IF($E491&lt;K491,"Uplift needed","OK"))</f>
        <v/>
      </c>
      <c r="M491" s="17">
        <f>IF($F491="","",IF(AND(J491&lt;21,DATEDIF($F491,Rates!$B$3,"Y")&gt;=21),"Turns 21",IF(AND(J491&lt;18,DATEDIF($F491,Rates!$B$3,"Y")&gt;=18),"Turns 18","")))</f>
        <v/>
      </c>
      <c r="N491" s="18">
        <f>IF($F491="","",MAX($E491,K491))</f>
        <v/>
      </c>
      <c r="O491" s="19">
        <f>IF($F491="","",ROUND($C491*N491/$E491,2))</f>
        <v/>
      </c>
      <c r="P491" s="19">
        <f>IF($F491="","",ROUND($D491*N491/$E491,2))</f>
        <v/>
      </c>
      <c r="Q491" s="19">
        <f>IF($F491="","",ROUND(P491-$D491,2))</f>
        <v/>
      </c>
      <c r="R491" s="19">
        <f>IF($F491="","",ROUND(Rates!$B$8*(MAX(0,P491-Rates!$B$9)-MAX(0,$D491-Rates!$B$9)),2))</f>
        <v/>
      </c>
      <c r="S491" s="19">
        <f>IF($F491="","",ROUND(Rates!$B$10*IF(Rates!$B$11="Full",P491-$D491,MAX(0,MIN(P491,Rates!$B$13)-Rates!$B$12)-MAX(0,MIN($D491,Rates!$B$13)-Rates!$B$12)),2))</f>
        <v/>
      </c>
      <c r="T491" s="19">
        <f>IF($F491="","",ROUND(Q491+R491+S491,2))</f>
        <v/>
      </c>
    </row>
    <row r="492">
      <c r="A492" s="13" t="n"/>
      <c r="B492" s="13" t="n"/>
      <c r="C492" s="14" t="n"/>
      <c r="D492" s="14" t="n"/>
      <c r="E492" s="15" t="n"/>
      <c r="F492" s="16" t="n"/>
      <c r="G492" s="13" t="n"/>
      <c r="H492" s="13" t="n"/>
      <c r="I492" s="13" t="n"/>
      <c r="J492" s="17">
        <f>IF($F492="","",DATEDIF($F492,Rates!$B$2,"Y"))</f>
        <v/>
      </c>
      <c r="K492" s="18">
        <f>IF($F492="","",IF(UPPER($I492)="Y",Rates!$B$7,IF(J492&gt;=21,Rates!$B$4,IF(J492&gt;=18,Rates!$B$5,Rates!$B$6))))</f>
        <v/>
      </c>
      <c r="L492" s="17">
        <f>IF($F492="","",IF($E492&lt;K492,"Uplift needed","OK"))</f>
        <v/>
      </c>
      <c r="M492" s="17">
        <f>IF($F492="","",IF(AND(J492&lt;21,DATEDIF($F492,Rates!$B$3,"Y")&gt;=21),"Turns 21",IF(AND(J492&lt;18,DATEDIF($F492,Rates!$B$3,"Y")&gt;=18),"Turns 18","")))</f>
        <v/>
      </c>
      <c r="N492" s="18">
        <f>IF($F492="","",MAX($E492,K492))</f>
        <v/>
      </c>
      <c r="O492" s="19">
        <f>IF($F492="","",ROUND($C492*N492/$E492,2))</f>
        <v/>
      </c>
      <c r="P492" s="19">
        <f>IF($F492="","",ROUND($D492*N492/$E492,2))</f>
        <v/>
      </c>
      <c r="Q492" s="19">
        <f>IF($F492="","",ROUND(P492-$D492,2))</f>
        <v/>
      </c>
      <c r="R492" s="19">
        <f>IF($F492="","",ROUND(Rates!$B$8*(MAX(0,P492-Rates!$B$9)-MAX(0,$D492-Rates!$B$9)),2))</f>
        <v/>
      </c>
      <c r="S492" s="19">
        <f>IF($F492="","",ROUND(Rates!$B$10*IF(Rates!$B$11="Full",P492-$D492,MAX(0,MIN(P492,Rates!$B$13)-Rates!$B$12)-MAX(0,MIN($D492,Rates!$B$13)-Rates!$B$12)),2))</f>
        <v/>
      </c>
      <c r="T492" s="19">
        <f>IF($F492="","",ROUND(Q492+R492+S492,2))</f>
        <v/>
      </c>
    </row>
    <row r="493">
      <c r="A493" s="13" t="n"/>
      <c r="B493" s="13" t="n"/>
      <c r="C493" s="14" t="n"/>
      <c r="D493" s="14" t="n"/>
      <c r="E493" s="15" t="n"/>
      <c r="F493" s="16" t="n"/>
      <c r="G493" s="13" t="n"/>
      <c r="H493" s="13" t="n"/>
      <c r="I493" s="13" t="n"/>
      <c r="J493" s="17">
        <f>IF($F493="","",DATEDIF($F493,Rates!$B$2,"Y"))</f>
        <v/>
      </c>
      <c r="K493" s="18">
        <f>IF($F493="","",IF(UPPER($I493)="Y",Rates!$B$7,IF(J493&gt;=21,Rates!$B$4,IF(J493&gt;=18,Rates!$B$5,Rates!$B$6))))</f>
        <v/>
      </c>
      <c r="L493" s="17">
        <f>IF($F493="","",IF($E493&lt;K493,"Uplift needed","OK"))</f>
        <v/>
      </c>
      <c r="M493" s="17">
        <f>IF($F493="","",IF(AND(J493&lt;21,DATEDIF($F493,Rates!$B$3,"Y")&gt;=21),"Turns 21",IF(AND(J493&lt;18,DATEDIF($F493,Rates!$B$3,"Y")&gt;=18),"Turns 18","")))</f>
        <v/>
      </c>
      <c r="N493" s="18">
        <f>IF($F493="","",MAX($E493,K493))</f>
        <v/>
      </c>
      <c r="O493" s="19">
        <f>IF($F493="","",ROUND($C493*N493/$E493,2))</f>
        <v/>
      </c>
      <c r="P493" s="19">
        <f>IF($F493="","",ROUND($D493*N493/$E493,2))</f>
        <v/>
      </c>
      <c r="Q493" s="19">
        <f>IF($F493="","",ROUND(P493-$D493,2))</f>
        <v/>
      </c>
      <c r="R493" s="19">
        <f>IF($F493="","",ROUND(Rates!$B$8*(MAX(0,P493-Rates!$B$9)-MAX(0,$D493-Rates!$B$9)),2))</f>
        <v/>
      </c>
      <c r="S493" s="19">
        <f>IF($F493="","",ROUND(Rates!$B$10*IF(Rates!$B$11="Full",P493-$D493,MAX(0,MIN(P493,Rates!$B$13)-Rates!$B$12)-MAX(0,MIN($D493,Rates!$B$13)-Rates!$B$12)),2))</f>
        <v/>
      </c>
      <c r="T493" s="19">
        <f>IF($F493="","",ROUND(Q493+R493+S493,2))</f>
        <v/>
      </c>
    </row>
    <row r="494">
      <c r="A494" s="13" t="n"/>
      <c r="B494" s="13" t="n"/>
      <c r="C494" s="14" t="n"/>
      <c r="D494" s="14" t="n"/>
      <c r="E494" s="15" t="n"/>
      <c r="F494" s="16" t="n"/>
      <c r="G494" s="13" t="n"/>
      <c r="H494" s="13" t="n"/>
      <c r="I494" s="13" t="n"/>
      <c r="J494" s="17">
        <f>IF($F494="","",DATEDIF($F494,Rates!$B$2,"Y"))</f>
        <v/>
      </c>
      <c r="K494" s="18">
        <f>IF($F494="","",IF(UPPER($I494)="Y",Rates!$B$7,IF(J494&gt;=21,Rates!$B$4,IF(J494&gt;=18,Rates!$B$5,Rates!$B$6))))</f>
        <v/>
      </c>
      <c r="L494" s="17">
        <f>IF($F494="","",IF($E494&lt;K494,"Uplift needed","OK"))</f>
        <v/>
      </c>
      <c r="M494" s="17">
        <f>IF($F494="","",IF(AND(J494&lt;21,DATEDIF($F494,Rates!$B$3,"Y")&gt;=21),"Turns 21",IF(AND(J494&lt;18,DATEDIF($F494,Rates!$B$3,"Y")&gt;=18),"Turns 18","")))</f>
        <v/>
      </c>
      <c r="N494" s="18">
        <f>IF($F494="","",MAX($E494,K494))</f>
        <v/>
      </c>
      <c r="O494" s="19">
        <f>IF($F494="","",ROUND($C494*N494/$E494,2))</f>
        <v/>
      </c>
      <c r="P494" s="19">
        <f>IF($F494="","",ROUND($D494*N494/$E494,2))</f>
        <v/>
      </c>
      <c r="Q494" s="19">
        <f>IF($F494="","",ROUND(P494-$D494,2))</f>
        <v/>
      </c>
      <c r="R494" s="19">
        <f>IF($F494="","",ROUND(Rates!$B$8*(MAX(0,P494-Rates!$B$9)-MAX(0,$D494-Rates!$B$9)),2))</f>
        <v/>
      </c>
      <c r="S494" s="19">
        <f>IF($F494="","",ROUND(Rates!$B$10*IF(Rates!$B$11="Full",P494-$D494,MAX(0,MIN(P494,Rates!$B$13)-Rates!$B$12)-MAX(0,MIN($D494,Rates!$B$13)-Rates!$B$12)),2))</f>
        <v/>
      </c>
      <c r="T494" s="19">
        <f>IF($F494="","",ROUND(Q494+R494+S494,2))</f>
        <v/>
      </c>
    </row>
    <row r="495">
      <c r="A495" s="13" t="n"/>
      <c r="B495" s="13" t="n"/>
      <c r="C495" s="14" t="n"/>
      <c r="D495" s="14" t="n"/>
      <c r="E495" s="15" t="n"/>
      <c r="F495" s="16" t="n"/>
      <c r="G495" s="13" t="n"/>
      <c r="H495" s="13" t="n"/>
      <c r="I495" s="13" t="n"/>
      <c r="J495" s="17">
        <f>IF($F495="","",DATEDIF($F495,Rates!$B$2,"Y"))</f>
        <v/>
      </c>
      <c r="K495" s="18">
        <f>IF($F495="","",IF(UPPER($I495)="Y",Rates!$B$7,IF(J495&gt;=21,Rates!$B$4,IF(J495&gt;=18,Rates!$B$5,Rates!$B$6))))</f>
        <v/>
      </c>
      <c r="L495" s="17">
        <f>IF($F495="","",IF($E495&lt;K495,"Uplift needed","OK"))</f>
        <v/>
      </c>
      <c r="M495" s="17">
        <f>IF($F495="","",IF(AND(J495&lt;21,DATEDIF($F495,Rates!$B$3,"Y")&gt;=21),"Turns 21",IF(AND(J495&lt;18,DATEDIF($F495,Rates!$B$3,"Y")&gt;=18),"Turns 18","")))</f>
        <v/>
      </c>
      <c r="N495" s="18">
        <f>IF($F495="","",MAX($E495,K495))</f>
        <v/>
      </c>
      <c r="O495" s="19">
        <f>IF($F495="","",ROUND($C495*N495/$E495,2))</f>
        <v/>
      </c>
      <c r="P495" s="19">
        <f>IF($F495="","",ROUND($D495*N495/$E495,2))</f>
        <v/>
      </c>
      <c r="Q495" s="19">
        <f>IF($F495="","",ROUND(P495-$D495,2))</f>
        <v/>
      </c>
      <c r="R495" s="19">
        <f>IF($F495="","",ROUND(Rates!$B$8*(MAX(0,P495-Rates!$B$9)-MAX(0,$D495-Rates!$B$9)),2))</f>
        <v/>
      </c>
      <c r="S495" s="19">
        <f>IF($F495="","",ROUND(Rates!$B$10*IF(Rates!$B$11="Full",P495-$D495,MAX(0,MIN(P495,Rates!$B$13)-Rates!$B$12)-MAX(0,MIN($D495,Rates!$B$13)-Rates!$B$12)),2))</f>
        <v/>
      </c>
      <c r="T495" s="19">
        <f>IF($F495="","",ROUND(Q495+R495+S495,2))</f>
        <v/>
      </c>
    </row>
    <row r="496">
      <c r="A496" s="13" t="n"/>
      <c r="B496" s="13" t="n"/>
      <c r="C496" s="14" t="n"/>
      <c r="D496" s="14" t="n"/>
      <c r="E496" s="15" t="n"/>
      <c r="F496" s="16" t="n"/>
      <c r="G496" s="13" t="n"/>
      <c r="H496" s="13" t="n"/>
      <c r="I496" s="13" t="n"/>
      <c r="J496" s="17">
        <f>IF($F496="","",DATEDIF($F496,Rates!$B$2,"Y"))</f>
        <v/>
      </c>
      <c r="K496" s="18">
        <f>IF($F496="","",IF(UPPER($I496)="Y",Rates!$B$7,IF(J496&gt;=21,Rates!$B$4,IF(J496&gt;=18,Rates!$B$5,Rates!$B$6))))</f>
        <v/>
      </c>
      <c r="L496" s="17">
        <f>IF($F496="","",IF($E496&lt;K496,"Uplift needed","OK"))</f>
        <v/>
      </c>
      <c r="M496" s="17">
        <f>IF($F496="","",IF(AND(J496&lt;21,DATEDIF($F496,Rates!$B$3,"Y")&gt;=21),"Turns 21",IF(AND(J496&lt;18,DATEDIF($F496,Rates!$B$3,"Y")&gt;=18),"Turns 18","")))</f>
        <v/>
      </c>
      <c r="N496" s="18">
        <f>IF($F496="","",MAX($E496,K496))</f>
        <v/>
      </c>
      <c r="O496" s="19">
        <f>IF($F496="","",ROUND($C496*N496/$E496,2))</f>
        <v/>
      </c>
      <c r="P496" s="19">
        <f>IF($F496="","",ROUND($D496*N496/$E496,2))</f>
        <v/>
      </c>
      <c r="Q496" s="19">
        <f>IF($F496="","",ROUND(P496-$D496,2))</f>
        <v/>
      </c>
      <c r="R496" s="19">
        <f>IF($F496="","",ROUND(Rates!$B$8*(MAX(0,P496-Rates!$B$9)-MAX(0,$D496-Rates!$B$9)),2))</f>
        <v/>
      </c>
      <c r="S496" s="19">
        <f>IF($F496="","",ROUND(Rates!$B$10*IF(Rates!$B$11="Full",P496-$D496,MAX(0,MIN(P496,Rates!$B$13)-Rates!$B$12)-MAX(0,MIN($D496,Rates!$B$13)-Rates!$B$12)),2))</f>
        <v/>
      </c>
      <c r="T496" s="19">
        <f>IF($F496="","",ROUND(Q496+R496+S496,2))</f>
        <v/>
      </c>
    </row>
    <row r="497">
      <c r="A497" s="13" t="n"/>
      <c r="B497" s="13" t="n"/>
      <c r="C497" s="14" t="n"/>
      <c r="D497" s="14" t="n"/>
      <c r="E497" s="15" t="n"/>
      <c r="F497" s="16" t="n"/>
      <c r="G497" s="13" t="n"/>
      <c r="H497" s="13" t="n"/>
      <c r="I497" s="13" t="n"/>
      <c r="J497" s="17">
        <f>IF($F497="","",DATEDIF($F497,Rates!$B$2,"Y"))</f>
        <v/>
      </c>
      <c r="K497" s="18">
        <f>IF($F497="","",IF(UPPER($I497)="Y",Rates!$B$7,IF(J497&gt;=21,Rates!$B$4,IF(J497&gt;=18,Rates!$B$5,Rates!$B$6))))</f>
        <v/>
      </c>
      <c r="L497" s="17">
        <f>IF($F497="","",IF($E497&lt;K497,"Uplift needed","OK"))</f>
        <v/>
      </c>
      <c r="M497" s="17">
        <f>IF($F497="","",IF(AND(J497&lt;21,DATEDIF($F497,Rates!$B$3,"Y")&gt;=21),"Turns 21",IF(AND(J497&lt;18,DATEDIF($F497,Rates!$B$3,"Y")&gt;=18),"Turns 18","")))</f>
        <v/>
      </c>
      <c r="N497" s="18">
        <f>IF($F497="","",MAX($E497,K497))</f>
        <v/>
      </c>
      <c r="O497" s="19">
        <f>IF($F497="","",ROUND($C497*N497/$E497,2))</f>
        <v/>
      </c>
      <c r="P497" s="19">
        <f>IF($F497="","",ROUND($D497*N497/$E497,2))</f>
        <v/>
      </c>
      <c r="Q497" s="19">
        <f>IF($F497="","",ROUND(P497-$D497,2))</f>
        <v/>
      </c>
      <c r="R497" s="19">
        <f>IF($F497="","",ROUND(Rates!$B$8*(MAX(0,P497-Rates!$B$9)-MAX(0,$D497-Rates!$B$9)),2))</f>
        <v/>
      </c>
      <c r="S497" s="19">
        <f>IF($F497="","",ROUND(Rates!$B$10*IF(Rates!$B$11="Full",P497-$D497,MAX(0,MIN(P497,Rates!$B$13)-Rates!$B$12)-MAX(0,MIN($D497,Rates!$B$13)-Rates!$B$12)),2))</f>
        <v/>
      </c>
      <c r="T497" s="19">
        <f>IF($F497="","",ROUND(Q497+R497+S497,2))</f>
        <v/>
      </c>
    </row>
    <row r="498">
      <c r="A498" s="13" t="n"/>
      <c r="B498" s="13" t="n"/>
      <c r="C498" s="14" t="n"/>
      <c r="D498" s="14" t="n"/>
      <c r="E498" s="15" t="n"/>
      <c r="F498" s="16" t="n"/>
      <c r="G498" s="13" t="n"/>
      <c r="H498" s="13" t="n"/>
      <c r="I498" s="13" t="n"/>
      <c r="J498" s="17">
        <f>IF($F498="","",DATEDIF($F498,Rates!$B$2,"Y"))</f>
        <v/>
      </c>
      <c r="K498" s="18">
        <f>IF($F498="","",IF(UPPER($I498)="Y",Rates!$B$7,IF(J498&gt;=21,Rates!$B$4,IF(J498&gt;=18,Rates!$B$5,Rates!$B$6))))</f>
        <v/>
      </c>
      <c r="L498" s="17">
        <f>IF($F498="","",IF($E498&lt;K498,"Uplift needed","OK"))</f>
        <v/>
      </c>
      <c r="M498" s="17">
        <f>IF($F498="","",IF(AND(J498&lt;21,DATEDIF($F498,Rates!$B$3,"Y")&gt;=21),"Turns 21",IF(AND(J498&lt;18,DATEDIF($F498,Rates!$B$3,"Y")&gt;=18),"Turns 18","")))</f>
        <v/>
      </c>
      <c r="N498" s="18">
        <f>IF($F498="","",MAX($E498,K498))</f>
        <v/>
      </c>
      <c r="O498" s="19">
        <f>IF($F498="","",ROUND($C498*N498/$E498,2))</f>
        <v/>
      </c>
      <c r="P498" s="19">
        <f>IF($F498="","",ROUND($D498*N498/$E498,2))</f>
        <v/>
      </c>
      <c r="Q498" s="19">
        <f>IF($F498="","",ROUND(P498-$D498,2))</f>
        <v/>
      </c>
      <c r="R498" s="19">
        <f>IF($F498="","",ROUND(Rates!$B$8*(MAX(0,P498-Rates!$B$9)-MAX(0,$D498-Rates!$B$9)),2))</f>
        <v/>
      </c>
      <c r="S498" s="19">
        <f>IF($F498="","",ROUND(Rates!$B$10*IF(Rates!$B$11="Full",P498-$D498,MAX(0,MIN(P498,Rates!$B$13)-Rates!$B$12)-MAX(0,MIN($D498,Rates!$B$13)-Rates!$B$12)),2))</f>
        <v/>
      </c>
      <c r="T498" s="19">
        <f>IF($F498="","",ROUND(Q498+R498+S498,2))</f>
        <v/>
      </c>
    </row>
    <row r="499">
      <c r="A499" s="13" t="n"/>
      <c r="B499" s="13" t="n"/>
      <c r="C499" s="14" t="n"/>
      <c r="D499" s="14" t="n"/>
      <c r="E499" s="15" t="n"/>
      <c r="F499" s="16" t="n"/>
      <c r="G499" s="13" t="n"/>
      <c r="H499" s="13" t="n"/>
      <c r="I499" s="13" t="n"/>
      <c r="J499" s="17">
        <f>IF($F499="","",DATEDIF($F499,Rates!$B$2,"Y"))</f>
        <v/>
      </c>
      <c r="K499" s="18">
        <f>IF($F499="","",IF(UPPER($I499)="Y",Rates!$B$7,IF(J499&gt;=21,Rates!$B$4,IF(J499&gt;=18,Rates!$B$5,Rates!$B$6))))</f>
        <v/>
      </c>
      <c r="L499" s="17">
        <f>IF($F499="","",IF($E499&lt;K499,"Uplift needed","OK"))</f>
        <v/>
      </c>
      <c r="M499" s="17">
        <f>IF($F499="","",IF(AND(J499&lt;21,DATEDIF($F499,Rates!$B$3,"Y")&gt;=21),"Turns 21",IF(AND(J499&lt;18,DATEDIF($F499,Rates!$B$3,"Y")&gt;=18),"Turns 18","")))</f>
        <v/>
      </c>
      <c r="N499" s="18">
        <f>IF($F499="","",MAX($E499,K499))</f>
        <v/>
      </c>
      <c r="O499" s="19">
        <f>IF($F499="","",ROUND($C499*N499/$E499,2))</f>
        <v/>
      </c>
      <c r="P499" s="19">
        <f>IF($F499="","",ROUND($D499*N499/$E499,2))</f>
        <v/>
      </c>
      <c r="Q499" s="19">
        <f>IF($F499="","",ROUND(P499-$D499,2))</f>
        <v/>
      </c>
      <c r="R499" s="19">
        <f>IF($F499="","",ROUND(Rates!$B$8*(MAX(0,P499-Rates!$B$9)-MAX(0,$D499-Rates!$B$9)),2))</f>
        <v/>
      </c>
      <c r="S499" s="19">
        <f>IF($F499="","",ROUND(Rates!$B$10*IF(Rates!$B$11="Full",P499-$D499,MAX(0,MIN(P499,Rates!$B$13)-Rates!$B$12)-MAX(0,MIN($D499,Rates!$B$13)-Rates!$B$12)),2))</f>
        <v/>
      </c>
      <c r="T499" s="19">
        <f>IF($F499="","",ROUND(Q499+R499+S499,2))</f>
        <v/>
      </c>
    </row>
    <row r="500">
      <c r="A500" s="13" t="n"/>
      <c r="B500" s="13" t="n"/>
      <c r="C500" s="14" t="n"/>
      <c r="D500" s="14" t="n"/>
      <c r="E500" s="15" t="n"/>
      <c r="F500" s="16" t="n"/>
      <c r="G500" s="13" t="n"/>
      <c r="H500" s="13" t="n"/>
      <c r="I500" s="13" t="n"/>
      <c r="J500" s="17">
        <f>IF($F500="","",DATEDIF($F500,Rates!$B$2,"Y"))</f>
        <v/>
      </c>
      <c r="K500" s="18">
        <f>IF($F500="","",IF(UPPER($I500)="Y",Rates!$B$7,IF(J500&gt;=21,Rates!$B$4,IF(J500&gt;=18,Rates!$B$5,Rates!$B$6))))</f>
        <v/>
      </c>
      <c r="L500" s="17">
        <f>IF($F500="","",IF($E500&lt;K500,"Uplift needed","OK"))</f>
        <v/>
      </c>
      <c r="M500" s="17">
        <f>IF($F500="","",IF(AND(J500&lt;21,DATEDIF($F500,Rates!$B$3,"Y")&gt;=21),"Turns 21",IF(AND(J500&lt;18,DATEDIF($F500,Rates!$B$3,"Y")&gt;=18),"Turns 18","")))</f>
        <v/>
      </c>
      <c r="N500" s="18">
        <f>IF($F500="","",MAX($E500,K500))</f>
        <v/>
      </c>
      <c r="O500" s="19">
        <f>IF($F500="","",ROUND($C500*N500/$E500,2))</f>
        <v/>
      </c>
      <c r="P500" s="19">
        <f>IF($F500="","",ROUND($D500*N500/$E500,2))</f>
        <v/>
      </c>
      <c r="Q500" s="19">
        <f>IF($F500="","",ROUND(P500-$D500,2))</f>
        <v/>
      </c>
      <c r="R500" s="19">
        <f>IF($F500="","",ROUND(Rates!$B$8*(MAX(0,P500-Rates!$B$9)-MAX(0,$D500-Rates!$B$9)),2))</f>
        <v/>
      </c>
      <c r="S500" s="19">
        <f>IF($F500="","",ROUND(Rates!$B$10*IF(Rates!$B$11="Full",P500-$D500,MAX(0,MIN(P500,Rates!$B$13)-Rates!$B$12)-MAX(0,MIN($D500,Rates!$B$13)-Rates!$B$12)),2))</f>
        <v/>
      </c>
      <c r="T500" s="19">
        <f>IF($F500="","",ROUND(Q500+R500+S500,2))</f>
        <v/>
      </c>
    </row>
    <row r="501">
      <c r="A501" s="13" t="n"/>
      <c r="B501" s="13" t="n"/>
      <c r="C501" s="14" t="n"/>
      <c r="D501" s="14" t="n"/>
      <c r="E501" s="15" t="n"/>
      <c r="F501" s="16" t="n"/>
      <c r="G501" s="13" t="n"/>
      <c r="H501" s="13" t="n"/>
      <c r="I501" s="13" t="n"/>
      <c r="J501" s="17">
        <f>IF($F501="","",DATEDIF($F501,Rates!$B$2,"Y"))</f>
        <v/>
      </c>
      <c r="K501" s="18">
        <f>IF($F501="","",IF(UPPER($I501)="Y",Rates!$B$7,IF(J501&gt;=21,Rates!$B$4,IF(J501&gt;=18,Rates!$B$5,Rates!$B$6))))</f>
        <v/>
      </c>
      <c r="L501" s="17">
        <f>IF($F501="","",IF($E501&lt;K501,"Uplift needed","OK"))</f>
        <v/>
      </c>
      <c r="M501" s="17">
        <f>IF($F501="","",IF(AND(J501&lt;21,DATEDIF($F501,Rates!$B$3,"Y")&gt;=21),"Turns 21",IF(AND(J501&lt;18,DATEDIF($F501,Rates!$B$3,"Y")&gt;=18),"Turns 18","")))</f>
        <v/>
      </c>
      <c r="N501" s="18">
        <f>IF($F501="","",MAX($E501,K501))</f>
        <v/>
      </c>
      <c r="O501" s="19">
        <f>IF($F501="","",ROUND($C501*N501/$E501,2))</f>
        <v/>
      </c>
      <c r="P501" s="19">
        <f>IF($F501="","",ROUND($D501*N501/$E501,2))</f>
        <v/>
      </c>
      <c r="Q501" s="19">
        <f>IF($F501="","",ROUND(P501-$D501,2))</f>
        <v/>
      </c>
      <c r="R501" s="19">
        <f>IF($F501="","",ROUND(Rates!$B$8*(MAX(0,P501-Rates!$B$9)-MAX(0,$D501-Rates!$B$9)),2))</f>
        <v/>
      </c>
      <c r="S501" s="19">
        <f>IF($F501="","",ROUND(Rates!$B$10*IF(Rates!$B$11="Full",P501-$D501,MAX(0,MIN(P501,Rates!$B$13)-Rates!$B$12)-MAX(0,MIN($D501,Rates!$B$13)-Rates!$B$12)),2))</f>
        <v/>
      </c>
      <c r="T501" s="19">
        <f>IF($F501="","",ROUND(Q501+R501+S501,2))</f>
        <v/>
      </c>
    </row>
  </sheetData>
  <autoFilter ref="A1:T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2026-10-28T14:51:58Z</dcterms:created>
  <dcterms:modified xmlns:dcterms="http://purl.org/dc/terms/" xmlns:xsi="http://www.w3.org/2001/XMLSchema-instance" xsi:type="dcterms:W3CDTF">2026-10-28T14:51:58Z</dcterms:modified>
</cp:coreProperties>
</file>
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vestigation List" sheetId="2" state="visible" r:id="rId2"/>
    <sheet name="Zero Hours" sheetId="3" state="visible" r:id="rId3"/>
  </sheets>
  <definedNames>
    <definedName name="_xlnm._FilterDatabase" localSheetId="1" hidden="1">'Investigation List'!$A$3:$L$12</definedName>
    <definedName name="_xlnm._FilterDatabase" localSheetId="2" hidden="1">'Zero Hours'!$A$3:$F$7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"/>
      <b val="1"/>
      <color rgb="00FFFFFF"/>
      <sz val="16"/>
    </font>
    <font>
      <name val="Aptos"/>
      <i val="1"/>
      <color rgb="00595959"/>
      <sz val="9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000000"/>
      <sz val="10"/>
    </font>
    <font>
      <name val="Aptos"/>
      <b val="1"/>
      <color rgb="003D315D"/>
      <sz val="11"/>
    </font>
    <font>
      <name val="Aptos"/>
      <b val="1"/>
      <color rgb="003D315D"/>
      <sz val="12"/>
    </font>
  </fonts>
  <fills count="5">
    <fill>
      <patternFill/>
    </fill>
    <fill>
      <patternFill patternType="gray125"/>
    </fill>
    <fill>
      <patternFill patternType="solid">
        <fgColor rgb="00F7F7F7"/>
      </patternFill>
    </fill>
    <fill>
      <patternFill patternType="solid">
        <fgColor rgb="003D315D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3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2" borderId="0" pivotButton="0" quotePrefix="0" xfId="0"/>
    <xf numFmtId="0" fontId="4" fillId="2" borderId="0" pivotButton="0" quotePrefix="0" xfId="0"/>
    <xf numFmtId="3" fontId="7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3" fontId="0" fillId="2" borderId="1" applyAlignment="1" pivotButton="0" quotePrefix="0" xfId="0">
      <alignment horizontal="center"/>
    </xf>
    <xf numFmtId="0" fontId="2" fillId="2" borderId="0" pivotButton="0" quotePrefix="0" xfId="0"/>
    <xf numFmtId="0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left"/>
    </xf>
    <xf numFmtId="4" fontId="4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ptos"/>
        <b val="1"/>
        <color rgb="00C00000"/>
      </font>
      <fill>
        <patternFill patternType="solid">
          <fgColor rgb="00FBE1EC"/>
        </patternFill>
      </fill>
    </dxf>
    <dxf>
      <font>
        <name val="Aptos"/>
        <b val="1"/>
        <color rgb="00FFFFFF"/>
      </font>
      <fill>
        <patternFill patternType="solid">
          <fgColor rgb="00DF569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315D"/>
    <outlinePr summaryBelow="1" summaryRight="1"/>
    <pageSetUpPr/>
  </sheetPr>
  <dimension ref="A1:J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6" customWidth="1" min="3" max="3"/>
    <col width="12" customWidth="1" min="4" max="4"/>
  </cols>
  <sheetData>
    <row r="1">
      <c r="A1" s="1" t="inlineStr">
        <is>
          <t>Investigation List - Summary</t>
        </is>
      </c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3" t="inlineStr">
        <is>
          <t>Key Metrics</t>
        </is>
      </c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4" t="inlineStr">
        <is>
          <t>Total review items</t>
        </is>
      </c>
      <c r="C5" s="2" t="n"/>
      <c r="D5" s="5">
        <f>COUNTA('Investigation List'!$B$4:$B$12)</f>
        <v/>
      </c>
      <c r="E5" s="2" t="n"/>
      <c r="F5" s="2" t="n"/>
      <c r="G5" s="2" t="n"/>
      <c r="H5" s="2" t="n"/>
      <c r="I5" s="2" t="n"/>
      <c r="J5" s="2" t="n"/>
    </row>
    <row r="6">
      <c r="A6" s="2" t="n"/>
      <c r="B6" s="4" t="inlineStr">
        <is>
          <t>High priority</t>
        </is>
      </c>
      <c r="C6" s="2" t="n"/>
      <c r="D6" s="5">
        <f>COUNTIF('Investigation List'!$A$4:$A$12,"High")</f>
        <v/>
      </c>
      <c r="E6" s="2" t="n"/>
      <c r="F6" s="2" t="n"/>
      <c r="G6" s="2" t="n"/>
      <c r="H6" s="2" t="n"/>
      <c r="I6" s="2" t="n"/>
      <c r="J6" s="2" t="n"/>
    </row>
    <row r="7">
      <c r="A7" s="2" t="n"/>
      <c r="B7" s="4" t="inlineStr">
        <is>
          <t>Medium priority</t>
        </is>
      </c>
      <c r="C7" s="2" t="n"/>
      <c r="D7" s="5">
        <f>COUNTIF('Investigation List'!$A$4:$A$12,"Medium")</f>
        <v/>
      </c>
      <c r="E7" s="2" t="n"/>
      <c r="F7" s="2" t="n"/>
      <c r="G7" s="2" t="n"/>
      <c r="H7" s="2" t="n"/>
      <c r="I7" s="2" t="n"/>
      <c r="J7" s="2" t="n"/>
    </row>
    <row r="8">
      <c r="A8" s="2" t="n"/>
      <c r="B8" s="4" t="inlineStr">
        <is>
          <t>Low priority</t>
        </is>
      </c>
      <c r="C8" s="2" t="n"/>
      <c r="D8" s="5">
        <f>COUNTIF('Investigation List'!$A$4:$A$12,"Low")</f>
        <v/>
      </c>
      <c r="E8" s="2" t="n"/>
      <c r="F8" s="2" t="n"/>
      <c r="G8" s="2" t="n"/>
      <c r="H8" s="2" t="n"/>
      <c r="I8" s="2" t="n"/>
      <c r="J8" s="2" t="n"/>
    </row>
    <row r="9">
      <c r="A9" s="2" t="n"/>
      <c r="B9" s="4" t="inlineStr">
        <is>
          <t>Zero hours (visibility only)</t>
        </is>
      </c>
      <c r="C9" s="2" t="n"/>
      <c r="D9" s="5">
        <f>COUNTA('Zero Hours'!$A$4:$A$8)</f>
        <v/>
      </c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3" t="inlineStr">
        <is>
          <t>Breakdown by cause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2" t="n"/>
      <c r="B12" s="6" t="inlineStr">
        <is>
          <t>Cause (Element)</t>
        </is>
      </c>
      <c r="C12" s="6" t="n"/>
      <c r="D12" s="6" t="inlineStr">
        <is>
          <t>Count</t>
        </is>
      </c>
      <c r="E12" s="2" t="n"/>
      <c r="F12" s="2" t="n"/>
      <c r="G12" s="2" t="n"/>
      <c r="H12" s="2" t="n"/>
      <c r="I12" s="2" t="n"/>
      <c r="J12" s="2" t="n"/>
    </row>
    <row r="13">
      <c r="A13" s="2" t="n"/>
      <c r="B13" s="4" t="inlineStr">
        <is>
          <t>Basic Salary</t>
        </is>
      </c>
      <c r="C13" s="2" t="n"/>
      <c r="D13" s="7">
        <f>COUNTIF('Investigation List'!$G$4:$G$12,B13)</f>
        <v/>
      </c>
      <c r="E13" s="2" t="n"/>
      <c r="F13" s="2" t="n"/>
      <c r="G13" s="2" t="n"/>
      <c r="H13" s="2" t="n"/>
      <c r="I13" s="2" t="n"/>
      <c r="J13" s="2" t="n"/>
    </row>
    <row r="14">
      <c r="A14" s="2" t="n"/>
      <c r="B14" s="4" t="inlineStr">
        <is>
          <t>Mileage Expenses</t>
        </is>
      </c>
      <c r="C14" s="2" t="n"/>
      <c r="D14" s="7">
        <f>COUNTIF('Investigation List'!$G$4:$G$12,B14)</f>
        <v/>
      </c>
      <c r="E14" s="2" t="n"/>
      <c r="F14" s="2" t="n"/>
      <c r="G14" s="2" t="n"/>
      <c r="H14" s="2" t="n"/>
      <c r="I14" s="2" t="n"/>
      <c r="J14" s="2" t="n"/>
    </row>
    <row r="15">
      <c r="A15" s="2" t="n"/>
      <c r="B15" s="4" t="inlineStr">
        <is>
          <t>On Call Allowance</t>
        </is>
      </c>
      <c r="C15" s="2" t="n"/>
      <c r="D15" s="7">
        <f>COUNTIF('Investigation List'!$G$4:$G$12,B15)</f>
        <v/>
      </c>
      <c r="E15" s="2" t="n"/>
      <c r="F15" s="2" t="n"/>
      <c r="G15" s="2" t="n"/>
      <c r="H15" s="2" t="n"/>
      <c r="I15" s="2" t="n"/>
      <c r="J15" s="2" t="n"/>
    </row>
    <row r="16">
      <c r="A16" s="2" t="n"/>
      <c r="B16" s="4" t="inlineStr">
        <is>
          <t>Unsocial Hours Premium</t>
        </is>
      </c>
      <c r="C16" s="2" t="n"/>
      <c r="D16" s="7">
        <f>COUNTIF('Investigation List'!$G$4:$G$12,B16)</f>
        <v/>
      </c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D315D"/>
    <outlinePr summaryBelow="1" summaryRight="1"/>
    <pageSetUpPr/>
  </sheetPr>
  <dimension ref="A1:O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22" customWidth="1" min="4" max="4"/>
    <col width="12" customWidth="1" min="5" max="5"/>
    <col width="11" customWidth="1" min="6" max="6"/>
    <col width="22" customWidth="1" min="7" max="7"/>
    <col width="14" customWidth="1" min="8" max="8"/>
    <col width="14" customWidth="1" min="9" max="9"/>
    <col width="13" customWidth="1" min="10" max="10"/>
    <col width="20" customWidth="1" min="11" max="11"/>
    <col width="20" customWidth="1" min="12" max="12"/>
  </cols>
  <sheetData>
    <row r="1">
      <c r="A1" s="1" t="inlineStr">
        <is>
          <t>Investigation List</t>
        </is>
      </c>
      <c r="N1" s="2" t="n"/>
      <c r="O1" s="2" t="n"/>
    </row>
    <row r="2">
      <c r="A2" s="8" t="inlineStr">
        <is>
          <t>Sorted by priority then £ movement. Gold columns are the only cells to type into.</t>
        </is>
      </c>
      <c r="N2" s="2" t="n"/>
      <c r="O2" s="2" t="n"/>
    </row>
    <row r="3" ht="22" customHeight="1">
      <c r="A3" s="6" t="inlineStr">
        <is>
          <t>Priority</t>
        </is>
      </c>
      <c r="B3" s="6" t="inlineStr">
        <is>
          <t>Payroll Number</t>
        </is>
      </c>
      <c r="C3" s="6" t="inlineStr">
        <is>
          <t>Practice</t>
        </is>
      </c>
      <c r="D3" s="6" t="inlineStr">
        <is>
          <t>Status</t>
        </is>
      </c>
      <c r="E3" s="6" t="inlineStr">
        <is>
          <t>Difference £</t>
        </is>
      </c>
      <c r="F3" s="6" t="inlineStr">
        <is>
          <t>Difference %</t>
        </is>
      </c>
      <c r="G3" s="6" t="inlineStr">
        <is>
          <t>Cause (Element)</t>
        </is>
      </c>
      <c r="H3" s="6" t="inlineStr">
        <is>
          <t>Element Prior £</t>
        </is>
      </c>
      <c r="I3" s="6" t="inlineStr">
        <is>
          <t>Element Current £</t>
        </is>
      </c>
      <c r="J3" s="6" t="inlineStr">
        <is>
          <t>Element Diff £</t>
        </is>
      </c>
      <c r="K3" s="6" t="inlineStr">
        <is>
          <t>Investigated by</t>
        </is>
      </c>
      <c r="L3" s="6" t="inlineStr">
        <is>
          <t>Outcome</t>
        </is>
      </c>
      <c r="M3" s="2" t="n"/>
      <c r="N3" s="2" t="n"/>
      <c r="O3" s="2" t="n"/>
    </row>
    <row r="4">
      <c r="A4" s="9" t="inlineStr">
        <is>
          <t>High</t>
        </is>
      </c>
      <c r="B4" s="10" t="inlineStr">
        <is>
          <t>P73092</t>
        </is>
      </c>
      <c r="C4" s="10" t="inlineStr">
        <is>
          <t>Kings Road Dental Practice</t>
        </is>
      </c>
      <c r="D4" s="10" t="inlineStr">
        <is>
          <t>Explained: Starter</t>
        </is>
      </c>
      <c r="E4" s="11" t="n">
        <v>2515.59</v>
      </c>
      <c r="F4" s="12" t="n"/>
      <c r="G4" s="10" t="inlineStr">
        <is>
          <t>Basic Salary</t>
        </is>
      </c>
      <c r="H4" s="11" t="n">
        <v>0</v>
      </c>
      <c r="I4" s="11" t="n">
        <v>3270.27</v>
      </c>
      <c r="J4" s="11" t="n">
        <v>3270.27</v>
      </c>
      <c r="K4" s="13" t="n"/>
      <c r="L4" s="13" t="n"/>
      <c r="M4" s="2" t="n"/>
      <c r="N4" s="2" t="n"/>
      <c r="O4" s="2" t="n"/>
    </row>
    <row r="5">
      <c r="A5" s="9" t="inlineStr">
        <is>
          <t>High</t>
        </is>
      </c>
      <c r="B5" s="10" t="inlineStr">
        <is>
          <t>P84847</t>
        </is>
      </c>
      <c r="C5" s="10" t="inlineStr">
        <is>
          <t>Kings Road Dental Practice</t>
        </is>
      </c>
      <c r="D5" s="10" t="inlineStr">
        <is>
          <t>Review required</t>
        </is>
      </c>
      <c r="E5" s="11" t="n">
        <v>2246.16</v>
      </c>
      <c r="F5" s="12" t="n">
        <v>0.8249994490600965</v>
      </c>
      <c r="G5" s="10" t="inlineStr">
        <is>
          <t>Mileage Expenses</t>
        </is>
      </c>
      <c r="H5" s="11" t="n">
        <v>408.39</v>
      </c>
      <c r="I5" s="11" t="n">
        <v>3403.27</v>
      </c>
      <c r="J5" s="11" t="n">
        <v>2994.88</v>
      </c>
      <c r="K5" s="13" t="n"/>
      <c r="L5" s="13" t="n"/>
      <c r="M5" s="2" t="n"/>
      <c r="N5" s="2" t="n"/>
      <c r="O5" s="2" t="n"/>
    </row>
    <row r="6">
      <c r="A6" s="9" t="inlineStr">
        <is>
          <t>High</t>
        </is>
      </c>
      <c r="B6" s="10" t="inlineStr">
        <is>
          <t>P97538</t>
        </is>
      </c>
      <c r="C6" s="10" t="inlineStr">
        <is>
          <t>Elm Park Dental Practice</t>
        </is>
      </c>
      <c r="D6" s="10" t="inlineStr">
        <is>
          <t>Review required</t>
        </is>
      </c>
      <c r="E6" s="11" t="n">
        <v>-2223.15</v>
      </c>
      <c r="F6" s="12" t="n">
        <v>-1</v>
      </c>
      <c r="G6" s="10" t="inlineStr">
        <is>
          <t>Basic Salary</t>
        </is>
      </c>
      <c r="H6" s="11" t="n">
        <v>2890.1</v>
      </c>
      <c r="I6" s="11" t="n">
        <v>0</v>
      </c>
      <c r="J6" s="11" t="n">
        <v>-2890.1</v>
      </c>
      <c r="K6" s="13" t="n"/>
      <c r="L6" s="13" t="n"/>
      <c r="M6" s="2" t="n"/>
      <c r="N6" s="2" t="n"/>
      <c r="O6" s="2" t="n"/>
    </row>
    <row r="7">
      <c r="A7" s="9" t="inlineStr">
        <is>
          <t>High</t>
        </is>
      </c>
      <c r="B7" s="10" t="inlineStr">
        <is>
          <t>P81200</t>
        </is>
      </c>
      <c r="C7" s="10" t="inlineStr">
        <is>
          <t>Kings Road Dental Practice</t>
        </is>
      </c>
      <c r="D7" s="10" t="inlineStr">
        <is>
          <t>Review required</t>
        </is>
      </c>
      <c r="E7" s="11" t="n">
        <v>-2150.55</v>
      </c>
      <c r="F7" s="12" t="n">
        <v>-1</v>
      </c>
      <c r="G7" s="10" t="inlineStr">
        <is>
          <t>Basic Salary</t>
        </is>
      </c>
      <c r="H7" s="11" t="n">
        <v>2795.71</v>
      </c>
      <c r="I7" s="11" t="n">
        <v>0</v>
      </c>
      <c r="J7" s="11" t="n">
        <v>-2795.71</v>
      </c>
      <c r="K7" s="13" t="n"/>
      <c r="L7" s="13" t="n"/>
      <c r="M7" s="2" t="n"/>
      <c r="N7" s="2" t="n"/>
      <c r="O7" s="2" t="n"/>
    </row>
    <row r="8">
      <c r="A8" s="9" t="inlineStr">
        <is>
          <t>High</t>
        </is>
      </c>
      <c r="B8" s="10" t="inlineStr">
        <is>
          <t>P16630</t>
        </is>
      </c>
      <c r="C8" s="10" t="inlineStr">
        <is>
          <t>Hakim Group Head Office</t>
        </is>
      </c>
      <c r="D8" s="10" t="inlineStr">
        <is>
          <t>Explained: Starter</t>
        </is>
      </c>
      <c r="E8" s="11" t="n">
        <v>1806.4</v>
      </c>
      <c r="F8" s="12" t="n"/>
      <c r="G8" s="10" t="inlineStr">
        <is>
          <t>Basic Salary</t>
        </is>
      </c>
      <c r="H8" s="11" t="n">
        <v>0</v>
      </c>
      <c r="I8" s="11" t="n">
        <v>2348.32</v>
      </c>
      <c r="J8" s="11" t="n">
        <v>2348.32</v>
      </c>
      <c r="K8" s="13" t="n"/>
      <c r="L8" s="13" t="n"/>
      <c r="M8" s="2" t="n"/>
      <c r="N8" s="2" t="n"/>
      <c r="O8" s="2" t="n"/>
    </row>
    <row r="9">
      <c r="A9" s="9" t="inlineStr">
        <is>
          <t>High</t>
        </is>
      </c>
      <c r="B9" s="10" t="inlineStr">
        <is>
          <t>P22224</t>
        </is>
      </c>
      <c r="C9" s="10" t="inlineStr">
        <is>
          <t>Hakim Group Head Office</t>
        </is>
      </c>
      <c r="D9" s="10" t="inlineStr">
        <is>
          <t>Explained: Starter</t>
        </is>
      </c>
      <c r="E9" s="11" t="n">
        <v>1774.79</v>
      </c>
      <c r="F9" s="12" t="n"/>
      <c r="G9" s="10" t="inlineStr">
        <is>
          <t>Basic Salary</t>
        </is>
      </c>
      <c r="H9" s="11" t="n">
        <v>0</v>
      </c>
      <c r="I9" s="11" t="n">
        <v>2307.22</v>
      </c>
      <c r="J9" s="11" t="n">
        <v>2307.22</v>
      </c>
      <c r="K9" s="13" t="n"/>
      <c r="L9" s="13" t="n"/>
      <c r="M9" s="2" t="n"/>
      <c r="N9" s="2" t="n"/>
      <c r="O9" s="2" t="n"/>
    </row>
    <row r="10">
      <c r="A10" s="9" t="inlineStr">
        <is>
          <t>Medium</t>
        </is>
      </c>
      <c r="B10" s="10" t="inlineStr">
        <is>
          <t>P94696</t>
        </is>
      </c>
      <c r="C10" s="10" t="inlineStr">
        <is>
          <t>Oakfield Dental Practice</t>
        </is>
      </c>
      <c r="D10" s="10" t="inlineStr">
        <is>
          <t>Review required</t>
        </is>
      </c>
      <c r="E10" s="11" t="n">
        <v>1083.62</v>
      </c>
      <c r="F10" s="12" t="n">
        <v>0.4500008305509875</v>
      </c>
      <c r="G10" s="10" t="inlineStr">
        <is>
          <t>On Call Allowance</t>
        </is>
      </c>
      <c r="H10" s="11" t="n">
        <v>361.21</v>
      </c>
      <c r="I10" s="11" t="n">
        <v>1806.03</v>
      </c>
      <c r="J10" s="11" t="n">
        <v>1444.82</v>
      </c>
      <c r="K10" s="13" t="n"/>
      <c r="L10" s="13" t="n"/>
      <c r="M10" s="2" t="n"/>
      <c r="N10" s="2" t="n"/>
      <c r="O10" s="2" t="n"/>
    </row>
    <row r="11">
      <c r="A11" s="9" t="inlineStr">
        <is>
          <t>Medium</t>
        </is>
      </c>
      <c r="B11" s="10" t="inlineStr">
        <is>
          <t>P56438</t>
        </is>
      </c>
      <c r="C11" s="10" t="inlineStr">
        <is>
          <t>Oakfield Dental Practice</t>
        </is>
      </c>
      <c r="D11" s="10" t="inlineStr">
        <is>
          <t>Review required</t>
        </is>
      </c>
      <c r="E11" s="11" t="n">
        <v>627.58</v>
      </c>
      <c r="F11" s="12" t="n">
        <v>0.2625001045683835</v>
      </c>
      <c r="G11" s="10" t="inlineStr">
        <is>
          <t>Unsocial Hours Premium</t>
        </is>
      </c>
      <c r="H11" s="11" t="n">
        <v>358.62</v>
      </c>
      <c r="I11" s="11" t="n">
        <v>1195.39</v>
      </c>
      <c r="J11" s="11" t="n">
        <v>836.77</v>
      </c>
      <c r="K11" s="13" t="n"/>
      <c r="L11" s="13" t="n"/>
      <c r="M11" s="2" t="n"/>
      <c r="N11" s="2" t="n"/>
      <c r="O11" s="2" t="n"/>
    </row>
    <row r="12">
      <c r="A12" s="9" t="inlineStr">
        <is>
          <t>Low</t>
        </is>
      </c>
      <c r="B12" s="10" t="inlineStr">
        <is>
          <t>P73624</t>
        </is>
      </c>
      <c r="C12" s="10" t="inlineStr">
        <is>
          <t>Hakim Group Head Office</t>
        </is>
      </c>
      <c r="D12" s="10" t="inlineStr">
        <is>
          <t>Review required</t>
        </is>
      </c>
      <c r="E12" s="11" t="n">
        <v>-253.86</v>
      </c>
      <c r="F12" s="12" t="n">
        <v>-0.1312500969408067</v>
      </c>
      <c r="G12" s="10" t="inlineStr">
        <is>
          <t>Basic Salary</t>
        </is>
      </c>
      <c r="H12" s="11" t="n">
        <v>967.09</v>
      </c>
      <c r="I12" s="11" t="n">
        <v>628.61</v>
      </c>
      <c r="J12" s="11" t="n">
        <v>-338.48</v>
      </c>
      <c r="K12" s="13" t="n"/>
      <c r="L12" s="13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</sheetData>
  <autoFilter ref="A3:L12"/>
  <mergeCells count="2">
    <mergeCell ref="A2:M2"/>
    <mergeCell ref="A1:M1"/>
  </mergeCells>
  <conditionalFormatting sqref="A4:L12">
    <cfRule type="expression" priority="1" dxfId="0">
      <formula>$A4="Review required"</formula>
    </cfRule>
  </conditionalFormatting>
  <conditionalFormatting sqref="A4:A12">
    <cfRule type="cellIs" priority="2" operator="equal" dxfId="1">
      <formula>"High"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315D"/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2" customWidth="1" min="5" max="5"/>
    <col width="11" customWidth="1" min="6" max="6"/>
  </cols>
  <sheetData>
    <row r="1">
      <c r="A1" s="1" t="inlineStr">
        <is>
          <t>Zero Hours Contracts</t>
        </is>
      </c>
      <c r="G1" s="2" t="n"/>
      <c r="H1" s="2" t="n"/>
    </row>
    <row r="2">
      <c r="A2" s="8" t="inlineStr">
        <is>
          <t>Listed for visibility only - not part of the investigation count.</t>
        </is>
      </c>
      <c r="G2" s="2" t="n"/>
      <c r="H2" s="2" t="n"/>
    </row>
    <row r="3" ht="22" customHeight="1">
      <c r="A3" s="6" t="inlineStr">
        <is>
          <t>Payroll Number</t>
        </is>
      </c>
      <c r="B3" s="6" t="inlineStr">
        <is>
          <t>Practice</t>
        </is>
      </c>
      <c r="C3" s="6" t="inlineStr">
        <is>
          <t>Prior Net</t>
        </is>
      </c>
      <c r="D3" s="6" t="inlineStr">
        <is>
          <t>Current Net</t>
        </is>
      </c>
      <c r="E3" s="6" t="inlineStr">
        <is>
          <t>Difference £</t>
        </is>
      </c>
      <c r="F3" s="6" t="inlineStr">
        <is>
          <t>Difference %</t>
        </is>
      </c>
      <c r="G3" s="2" t="n"/>
      <c r="H3" s="2" t="n"/>
    </row>
    <row r="4">
      <c r="A4" s="10" t="inlineStr">
        <is>
          <t>P34356</t>
        </is>
      </c>
      <c r="B4" s="10" t="inlineStr">
        <is>
          <t>Kings Road Dental Practice</t>
        </is>
      </c>
      <c r="C4" s="11" t="n">
        <v>181.28</v>
      </c>
      <c r="D4" s="11" t="n">
        <v>210.61</v>
      </c>
      <c r="E4" s="11" t="n">
        <v>29.33</v>
      </c>
      <c r="F4" s="12" t="n">
        <v>0.1617939099735216</v>
      </c>
      <c r="G4" s="2" t="n"/>
      <c r="H4" s="2" t="n"/>
    </row>
    <row r="5">
      <c r="A5" s="10" t="inlineStr">
        <is>
          <t>P40828</t>
        </is>
      </c>
      <c r="B5" s="10" t="inlineStr">
        <is>
          <t>Riverside Dental Practice</t>
        </is>
      </c>
      <c r="C5" s="11" t="n">
        <v>477.27</v>
      </c>
      <c r="D5" s="11" t="n">
        <v>674.3</v>
      </c>
      <c r="E5" s="11" t="n">
        <v>197.03</v>
      </c>
      <c r="F5" s="12" t="n">
        <v>0.4128271209168815</v>
      </c>
      <c r="G5" s="2" t="n"/>
      <c r="H5" s="2" t="n"/>
    </row>
    <row r="6">
      <c r="A6" s="10" t="inlineStr">
        <is>
          <t>P42271</t>
        </is>
      </c>
      <c r="B6" s="10" t="inlineStr">
        <is>
          <t>Oakfield Dental Practice</t>
        </is>
      </c>
      <c r="C6" s="11" t="n">
        <v>215.94</v>
      </c>
      <c r="D6" s="11" t="n">
        <v>374.74</v>
      </c>
      <c r="E6" s="11" t="n">
        <v>158.8</v>
      </c>
      <c r="F6" s="12" t="n">
        <v>0.735389460035195</v>
      </c>
      <c r="G6" s="2" t="n"/>
      <c r="H6" s="2" t="n"/>
    </row>
    <row r="7">
      <c r="A7" s="10" t="inlineStr">
        <is>
          <t>P86503</t>
        </is>
      </c>
      <c r="B7" s="10" t="inlineStr">
        <is>
          <t>Riverside Dental Practice</t>
        </is>
      </c>
      <c r="C7" s="11" t="n">
        <v>490.66</v>
      </c>
      <c r="D7" s="11" t="n">
        <v>504.81</v>
      </c>
      <c r="E7" s="11" t="n">
        <v>14.15</v>
      </c>
      <c r="F7" s="12" t="n">
        <v>0.0288387070476501</v>
      </c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autoFilter ref="A3:F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2026-08-23T10:05:27Z</dcterms:created>
  <dcterms:modified xsi:type="dcterms:W3CDTF">2026-08-23T10:05:27Z</dcterms:modified>
</cp:coreProperties>
</file>
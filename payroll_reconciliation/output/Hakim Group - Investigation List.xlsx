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vestigation List" sheetId="2" state="visible" r:id="rId4"/>
    <sheet name="Zero Hours" sheetId="3" state="visible" r:id="rId5"/>
  </sheets>
  <definedNames>
    <definedName function="false" hidden="true" localSheetId="1" name="_xlnm._FilterDatabase" vbProcedure="false">'Investigation List'!$A$3:$L$12</definedName>
    <definedName function="false" hidden="true" localSheetId="2" name="_xlnm._FilterDatabase" vbProcedure="false">'Zero Hours'!$A$3:$F$7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<sst xmlns="http://schemas.openxmlformats.org/spreadsheetml/2006/main" count="89" uniqueCount="54">
  <si>
    <t xml:space="preserve">Investigation List - Summary</t>
  </si>
  <si>
    <t xml:space="preserve">Key Metrics</t>
  </si>
  <si>
    <t xml:space="preserve">Total review items</t>
  </si>
  <si>
    <t xml:space="preserve">High priority</t>
  </si>
  <si>
    <t xml:space="preserve">Medium priority</t>
  </si>
  <si>
    <t xml:space="preserve">Low priority</t>
  </si>
  <si>
    <t xml:space="preserve">Zero hours (visibility only)</t>
  </si>
  <si>
    <t xml:space="preserve">Breakdown by cause</t>
  </si>
  <si>
    <t xml:space="preserve">Cause (Element)</t>
  </si>
  <si>
    <t xml:space="preserve">Count</t>
  </si>
  <si>
    <t xml:space="preserve">Basic Salary</t>
  </si>
  <si>
    <t xml:space="preserve">Mileage Expenses</t>
  </si>
  <si>
    <t xml:space="preserve">On Call Allowance</t>
  </si>
  <si>
    <t xml:space="preserve">Unsocial Hours Premium</t>
  </si>
  <si>
    <t xml:space="preserve">Investigation List</t>
  </si>
  <si>
    <t xml:space="preserve">Sorted by priority then £ movement. Gold columns are the only cells to type into.</t>
  </si>
  <si>
    <t xml:space="preserve">Priority</t>
  </si>
  <si>
    <t xml:space="preserve">Payroll Number</t>
  </si>
  <si>
    <t xml:space="preserve">Practice</t>
  </si>
  <si>
    <t xml:space="preserve">Status</t>
  </si>
  <si>
    <t xml:space="preserve">Difference £</t>
  </si>
  <si>
    <t xml:space="preserve">Difference %</t>
  </si>
  <si>
    <t xml:space="preserve">Element Prior £</t>
  </si>
  <si>
    <t xml:space="preserve">Element Current £</t>
  </si>
  <si>
    <t xml:space="preserve">Element Diff £</t>
  </si>
  <si>
    <t xml:space="preserve">Investigated by</t>
  </si>
  <si>
    <t xml:space="preserve">Outcome</t>
  </si>
  <si>
    <t xml:space="preserve">High</t>
  </si>
  <si>
    <t xml:space="preserve">P73092</t>
  </si>
  <si>
    <t xml:space="preserve">Kings Road Dental Practice</t>
  </si>
  <si>
    <t xml:space="preserve">Explained: Starter</t>
  </si>
  <si>
    <t xml:space="preserve">P84847</t>
  </si>
  <si>
    <t xml:space="preserve">Review required</t>
  </si>
  <si>
    <t xml:space="preserve">P97538</t>
  </si>
  <si>
    <t xml:space="preserve">Elm Park Dental Practice</t>
  </si>
  <si>
    <t xml:space="preserve">P81200</t>
  </si>
  <si>
    <t xml:space="preserve">P16630</t>
  </si>
  <si>
    <t xml:space="preserve">Hakim Group Head Office</t>
  </si>
  <si>
    <t xml:space="preserve">P22224</t>
  </si>
  <si>
    <t xml:space="preserve">Medium</t>
  </si>
  <si>
    <t xml:space="preserve">P94696</t>
  </si>
  <si>
    <t xml:space="preserve">Oakfield Dental Practice</t>
  </si>
  <si>
    <t xml:space="preserve">P56438</t>
  </si>
  <si>
    <t xml:space="preserve">Low</t>
  </si>
  <si>
    <t xml:space="preserve">P73624</t>
  </si>
  <si>
    <t xml:space="preserve">Zero Hours Contracts</t>
  </si>
  <si>
    <t xml:space="preserve">Listed for visibility only - not part of the investigation count.</t>
  </si>
  <si>
    <t xml:space="preserve">Prior Net</t>
  </si>
  <si>
    <t xml:space="preserve">Current Net</t>
  </si>
  <si>
    <t xml:space="preserve">P34356</t>
  </si>
  <si>
    <t xml:space="preserve">P40828</t>
  </si>
  <si>
    <t xml:space="preserve">Riverside Dental Practice</t>
  </si>
  <si>
    <t xml:space="preserve">P42271</t>
  </si>
  <si>
    <t xml:space="preserve">P86503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</si>
</sst>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"/>
      <family val="0"/>
      <charset val="1"/>
    </font>
    <font>
      <b val="true"/>
      <sz val="11"/>
      <color rgb="FF3D315D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2"/>
      <color rgb="FF3D315D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9"/>
      <color rgb="FF595959"/>
      <name val="Aptos"/>
      <family val="0"/>
      <charset val="1"/>
    </font>
    <font>
      <b val="true"/>
      <sz val="10"/>
      <color rgb="FF000000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D315D"/>
        <bgColor rgb="FF333399"/>
      </patternFill>
    </fill>
    <fill>
      <patternFill patternType="solid">
        <fgColor rgb="FFF7F7F7"/>
        <bgColor rgb="FFFFFFFF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D315D"/>
          <bgColor rgb="FF000000"/>
        </patternFill>
      </fill>
    </dxf>
    <dxf>
      <fill>
        <patternFill patternType="solid">
          <fgColor rgb="FFDF5694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ont>
        <name val="Aptos"/>
        <charset val="1"/>
        <family val="0"/>
        <b val="1"/>
        <color rgb="FFC00000"/>
      </font>
      <fill>
        <patternFill>
          <bgColor rgb="FFFBE1EC"/>
        </patternFill>
      </fill>
    </dxf>
    <dxf>
      <font>
        <name val="Aptos"/>
        <charset val="1"/>
        <family val="0"/>
        <b val="1"/>
        <color rgb="FFFFFFFF"/>
      </font>
      <fill>
        <patternFill>
          <bgColor rgb="FFDF569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7F7"/>
      <rgbColor rgb="FFCCFFFF"/>
      <rgbColor rgb="FF660066"/>
      <rgbColor rgb="FFDF5694"/>
      <rgbColor rgb="FF0066CC"/>
      <rgbColor rgb="FFFB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15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15D"/>
    <pageSetUpPr fitToPage="false"/>
  </sheetPr>
  <dimension ref="A1:J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3" t="s">
        <v>1</v>
      </c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2"/>
      <c r="B5" s="4" t="s">
        <v>2</v>
      </c>
      <c r="C5" s="2"/>
      <c r="D5" s="5" t="n">
        <f aca="false">COUNTA('Investigation List'!$B$4:$B$12)</f>
        <v>9</v>
      </c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2"/>
      <c r="B6" s="4" t="s">
        <v>3</v>
      </c>
      <c r="C6" s="2"/>
      <c r="D6" s="5" t="n">
        <f aca="false">COUNTIF('Investigation List'!$A$4:$A$12,"High")</f>
        <v>6</v>
      </c>
      <c r="E6" s="2"/>
      <c r="F6" s="2"/>
      <c r="G6" s="2"/>
      <c r="H6" s="2"/>
      <c r="I6" s="2"/>
      <c r="J6" s="2"/>
    </row>
    <row r="7" customFormat="false" ht="15" hidden="false" customHeight="false" outlineLevel="0" collapsed="false">
      <c r="A7" s="2"/>
      <c r="B7" s="4" t="s">
        <v>4</v>
      </c>
      <c r="C7" s="2"/>
      <c r="D7" s="5" t="n">
        <f aca="false">COUNTIF('Investigation List'!$A$4:$A$12,"Medium")</f>
        <v>2</v>
      </c>
      <c r="E7" s="2"/>
      <c r="F7" s="2"/>
      <c r="G7" s="2"/>
      <c r="H7" s="2"/>
      <c r="I7" s="2"/>
      <c r="J7" s="2"/>
    </row>
    <row r="8" customFormat="false" ht="15" hidden="false" customHeight="false" outlineLevel="0" collapsed="false">
      <c r="A8" s="2"/>
      <c r="B8" s="4" t="s">
        <v>5</v>
      </c>
      <c r="C8" s="2"/>
      <c r="D8" s="5" t="n">
        <f aca="false">COUNTIF('Investigation List'!$A$4:$A$12,"Low")</f>
        <v>1</v>
      </c>
      <c r="E8" s="2"/>
      <c r="F8" s="2"/>
      <c r="G8" s="2"/>
      <c r="H8" s="2"/>
      <c r="I8" s="2"/>
      <c r="J8" s="2"/>
    </row>
    <row r="9" customFormat="false" ht="15" hidden="false" customHeight="false" outlineLevel="0" collapsed="false">
      <c r="A9" s="2"/>
      <c r="B9" s="4" t="s">
        <v>6</v>
      </c>
      <c r="C9" s="2"/>
      <c r="D9" s="5" t="n">
        <f aca="false">COUNTA('Zero Hours'!$A$4:$A$8)</f>
        <v>4</v>
      </c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5" hidden="false" customHeight="false" outlineLevel="0" collapsed="false">
      <c r="A11" s="2"/>
      <c r="B11" s="3" t="s">
        <v>7</v>
      </c>
      <c r="C11" s="2"/>
      <c r="D11" s="2"/>
      <c r="E11" s="2"/>
      <c r="F11" s="2"/>
      <c r="G11" s="2"/>
      <c r="H11" s="2"/>
      <c r="I11" s="2"/>
      <c r="J11" s="2"/>
    </row>
    <row r="12" customFormat="false" ht="21.75" hidden="false" customHeight="true" outlineLevel="0" collapsed="false">
      <c r="A12" s="2"/>
      <c r="B12" s="6" t="s">
        <v>8</v>
      </c>
      <c r="C12" s="6"/>
      <c r="D12" s="6" t="s">
        <v>9</v>
      </c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2"/>
      <c r="B13" s="4" t="s">
        <v>10</v>
      </c>
      <c r="C13" s="2"/>
      <c r="D13" s="7" t="n">
        <f aca="false">COUNTIF('Investigation List'!$G$4:$G$12,B13)</f>
        <v>6</v>
      </c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2"/>
      <c r="B14" s="4" t="s">
        <v>11</v>
      </c>
      <c r="C14" s="2"/>
      <c r="D14" s="7" t="n">
        <f aca="false">COUNTIF('Investigation List'!$G$4:$G$12,B14)</f>
        <v>1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2"/>
      <c r="B15" s="4" t="s">
        <v>12</v>
      </c>
      <c r="C15" s="2"/>
      <c r="D15" s="7" t="n">
        <f aca="false">COUNTIF('Investigation List'!$G$4:$G$12,B15)</f>
        <v>1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2"/>
      <c r="B16" s="4" t="s">
        <v>13</v>
      </c>
      <c r="C16" s="2"/>
      <c r="D16" s="7" t="n">
        <f aca="false">COUNTIF('Investigation List'!$G$4:$G$12,B16)</f>
        <v>1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15D"/>
    <pageSetUpPr fitToPage="fals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2" min="11" style="0" width="20"/>
  </cols>
  <sheetData>
    <row r="1" customFormat="false" ht="19.7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</row>
    <row r="2" customFormat="false" ht="15" hidden="false" customHeight="false" outlineLevel="0" collapsed="false">
      <c r="A2" s="8" t="s">
        <v>15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2"/>
      <c r="O2" s="2"/>
    </row>
    <row r="3" customFormat="false" ht="21.75" hidden="false" customHeight="tru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8</v>
      </c>
      <c r="H3" s="6" t="s">
        <v>22</v>
      </c>
      <c r="I3" s="6" t="s">
        <v>23</v>
      </c>
      <c r="J3" s="6" t="s">
        <v>24</v>
      </c>
      <c r="K3" s="6" t="s">
        <v>25</v>
      </c>
      <c r="L3" s="6" t="s">
        <v>26</v>
      </c>
      <c r="M3" s="2"/>
      <c r="N3" s="2"/>
      <c r="O3" s="2"/>
    </row>
    <row r="4" customFormat="false" ht="15" hidden="false" customHeight="false" outlineLevel="0" collapsed="false">
      <c r="A4" s="9" t="s">
        <v>27</v>
      </c>
      <c r="B4" s="10" t="s">
        <v>28</v>
      </c>
      <c r="C4" s="10" t="s">
        <v>29</v>
      </c>
      <c r="D4" s="10" t="s">
        <v>30</v>
      </c>
      <c r="E4" s="11" t="n">
        <v>2515.59</v>
      </c>
      <c r="F4" s="12"/>
      <c r="G4" s="10" t="s">
        <v>10</v>
      </c>
      <c r="H4" s="11" t="n">
        <v>0</v>
      </c>
      <c r="I4" s="11" t="n">
        <v>3270.27</v>
      </c>
      <c r="J4" s="11" t="n">
        <v>3270.27</v>
      </c>
      <c r="K4" s="13"/>
      <c r="L4" s="13"/>
      <c r="M4" s="2"/>
      <c r="N4" s="2"/>
      <c r="O4" s="2"/>
    </row>
    <row r="5" customFormat="false" ht="15" hidden="false" customHeight="false" outlineLevel="0" collapsed="false">
      <c r="A5" s="9" t="s">
        <v>27</v>
      </c>
      <c r="B5" s="10" t="s">
        <v>31</v>
      </c>
      <c r="C5" s="10" t="s">
        <v>29</v>
      </c>
      <c r="D5" s="10" t="s">
        <v>32</v>
      </c>
      <c r="E5" s="11" t="n">
        <v>2246.16</v>
      </c>
      <c r="F5" s="12" t="n">
        <v>0.824999449060097</v>
      </c>
      <c r="G5" s="10" t="s">
        <v>11</v>
      </c>
      <c r="H5" s="11" t="n">
        <v>408.39</v>
      </c>
      <c r="I5" s="11" t="n">
        <v>3403.27</v>
      </c>
      <c r="J5" s="11" t="n">
        <v>2994.88</v>
      </c>
      <c r="K5" s="13"/>
      <c r="L5" s="13"/>
      <c r="M5" s="2"/>
      <c r="N5" s="2"/>
      <c r="O5" s="2"/>
    </row>
    <row r="6" customFormat="false" ht="15" hidden="false" customHeight="false" outlineLevel="0" collapsed="false">
      <c r="A6" s="9" t="s">
        <v>27</v>
      </c>
      <c r="B6" s="10" t="s">
        <v>33</v>
      </c>
      <c r="C6" s="10" t="s">
        <v>34</v>
      </c>
      <c r="D6" s="10" t="s">
        <v>32</v>
      </c>
      <c r="E6" s="11" t="n">
        <v>-2223.15</v>
      </c>
      <c r="F6" s="12" t="n">
        <v>-1</v>
      </c>
      <c r="G6" s="10" t="s">
        <v>10</v>
      </c>
      <c r="H6" s="11" t="n">
        <v>2890.1</v>
      </c>
      <c r="I6" s="11" t="n">
        <v>0</v>
      </c>
      <c r="J6" s="11" t="n">
        <v>-2890.1</v>
      </c>
      <c r="K6" s="13"/>
      <c r="L6" s="13"/>
      <c r="M6" s="2"/>
      <c r="N6" s="2"/>
      <c r="O6" s="2"/>
    </row>
    <row r="7" customFormat="false" ht="15" hidden="false" customHeight="false" outlineLevel="0" collapsed="false">
      <c r="A7" s="9" t="s">
        <v>27</v>
      </c>
      <c r="B7" s="10" t="s">
        <v>35</v>
      </c>
      <c r="C7" s="10" t="s">
        <v>29</v>
      </c>
      <c r="D7" s="10" t="s">
        <v>32</v>
      </c>
      <c r="E7" s="11" t="n">
        <v>-2150.55</v>
      </c>
      <c r="F7" s="12" t="n">
        <v>-1</v>
      </c>
      <c r="G7" s="10" t="s">
        <v>10</v>
      </c>
      <c r="H7" s="11" t="n">
        <v>2795.71</v>
      </c>
      <c r="I7" s="11" t="n">
        <v>0</v>
      </c>
      <c r="J7" s="11" t="n">
        <v>-2795.71</v>
      </c>
      <c r="K7" s="13"/>
      <c r="L7" s="13"/>
      <c r="M7" s="2"/>
      <c r="N7" s="2"/>
      <c r="O7" s="2"/>
    </row>
    <row r="8" customFormat="false" ht="15" hidden="false" customHeight="false" outlineLevel="0" collapsed="false">
      <c r="A8" s="9" t="s">
        <v>27</v>
      </c>
      <c r="B8" s="10" t="s">
        <v>36</v>
      </c>
      <c r="C8" s="10" t="s">
        <v>37</v>
      </c>
      <c r="D8" s="10" t="s">
        <v>30</v>
      </c>
      <c r="E8" s="11" t="n">
        <v>1806.4</v>
      </c>
      <c r="F8" s="12"/>
      <c r="G8" s="10" t="s">
        <v>10</v>
      </c>
      <c r="H8" s="11" t="n">
        <v>0</v>
      </c>
      <c r="I8" s="11" t="n">
        <v>2348.32</v>
      </c>
      <c r="J8" s="11" t="n">
        <v>2348.32</v>
      </c>
      <c r="K8" s="13"/>
      <c r="L8" s="13"/>
      <c r="M8" s="2"/>
      <c r="N8" s="2"/>
      <c r="O8" s="2"/>
    </row>
    <row r="9" customFormat="false" ht="15" hidden="false" customHeight="false" outlineLevel="0" collapsed="false">
      <c r="A9" s="9" t="s">
        <v>27</v>
      </c>
      <c r="B9" s="10" t="s">
        <v>38</v>
      </c>
      <c r="C9" s="10" t="s">
        <v>37</v>
      </c>
      <c r="D9" s="10" t="s">
        <v>30</v>
      </c>
      <c r="E9" s="11" t="n">
        <v>1774.79</v>
      </c>
      <c r="F9" s="12"/>
      <c r="G9" s="10" t="s">
        <v>10</v>
      </c>
      <c r="H9" s="11" t="n">
        <v>0</v>
      </c>
      <c r="I9" s="11" t="n">
        <v>2307.22</v>
      </c>
      <c r="J9" s="11" t="n">
        <v>2307.22</v>
      </c>
      <c r="K9" s="13"/>
      <c r="L9" s="13"/>
      <c r="M9" s="2"/>
      <c r="N9" s="2"/>
      <c r="O9" s="2"/>
    </row>
    <row r="10" customFormat="false" ht="15" hidden="false" customHeight="false" outlineLevel="0" collapsed="false">
      <c r="A10" s="9" t="s">
        <v>39</v>
      </c>
      <c r="B10" s="10" t="s">
        <v>40</v>
      </c>
      <c r="C10" s="10" t="s">
        <v>41</v>
      </c>
      <c r="D10" s="10" t="s">
        <v>32</v>
      </c>
      <c r="E10" s="11" t="n">
        <v>1083.62</v>
      </c>
      <c r="F10" s="12" t="n">
        <v>0.450000830550988</v>
      </c>
      <c r="G10" s="10" t="s">
        <v>12</v>
      </c>
      <c r="H10" s="11" t="n">
        <v>361.21</v>
      </c>
      <c r="I10" s="11" t="n">
        <v>1806.03</v>
      </c>
      <c r="J10" s="11" t="n">
        <v>1444.82</v>
      </c>
      <c r="K10" s="13"/>
      <c r="L10" s="13"/>
      <c r="M10" s="2"/>
      <c r="N10" s="2"/>
      <c r="O10" s="2"/>
    </row>
    <row r="11" customFormat="false" ht="15" hidden="false" customHeight="false" outlineLevel="0" collapsed="false">
      <c r="A11" s="9" t="s">
        <v>39</v>
      </c>
      <c r="B11" s="10" t="s">
        <v>42</v>
      </c>
      <c r="C11" s="10" t="s">
        <v>41</v>
      </c>
      <c r="D11" s="10" t="s">
        <v>32</v>
      </c>
      <c r="E11" s="11" t="n">
        <v>627.58</v>
      </c>
      <c r="F11" s="12" t="n">
        <v>0.262500104568384</v>
      </c>
      <c r="G11" s="10" t="s">
        <v>13</v>
      </c>
      <c r="H11" s="11" t="n">
        <v>358.62</v>
      </c>
      <c r="I11" s="11" t="n">
        <v>1195.39</v>
      </c>
      <c r="J11" s="11" t="n">
        <v>836.77</v>
      </c>
      <c r="K11" s="13"/>
      <c r="L11" s="13"/>
      <c r="M11" s="2"/>
      <c r="N11" s="2"/>
      <c r="O11" s="2"/>
    </row>
    <row r="12" customFormat="false" ht="15" hidden="false" customHeight="false" outlineLevel="0" collapsed="false">
      <c r="A12" s="9" t="s">
        <v>43</v>
      </c>
      <c r="B12" s="10" t="s">
        <v>44</v>
      </c>
      <c r="C12" s="10" t="s">
        <v>37</v>
      </c>
      <c r="D12" s="10" t="s">
        <v>32</v>
      </c>
      <c r="E12" s="11" t="n">
        <v>-253.86</v>
      </c>
      <c r="F12" s="12" t="n">
        <v>-0.131250096940807</v>
      </c>
      <c r="G12" s="10" t="s">
        <v>10</v>
      </c>
      <c r="H12" s="11" t="n">
        <v>967.09</v>
      </c>
      <c r="I12" s="11" t="n">
        <v>628.61</v>
      </c>
      <c r="J12" s="11" t="n">
        <v>-338.48</v>
      </c>
      <c r="K12" s="13"/>
      <c r="L12" s="13"/>
      <c r="M12" s="2"/>
      <c r="N12" s="2"/>
      <c r="O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</sheetData>
  <autoFilter ref="A3:L12"/>
  <mergeCells count="2">
    <mergeCell ref="A1:M1"/>
    <mergeCell ref="A2:M2"/>
  </mergeCells>
  <conditionalFormatting sqref="A4:L12">
    <cfRule type="expression" priority="2" aboveAverage="0" equalAverage="0" bottom="0" percent="0" rank="0" text="" dxfId="6">
      <formula>$A4="Review required"</formula>
    </cfRule>
  </conditionalFormatting>
  <conditionalFormatting sqref="A4:A12">
    <cfRule type="cellIs" priority="3" operator="equal" aboveAverage="0" equalAverage="0" bottom="0" percent="0" rank="0" text="" dxfId="7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15D"/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5" min="3" style="0" width="12"/>
    <col collapsed="false" customWidth="true" hidden="false" outlineLevel="0" max="6" min="6" style="0" width="11"/>
  </cols>
  <sheetData>
    <row r="1" customFormat="false" ht="19.7" hidden="false" customHeight="false" outlineLevel="0" collapsed="false">
      <c r="A1" s="1" t="s">
        <v>45</v>
      </c>
      <c r="B1" s="1"/>
      <c r="C1" s="1"/>
      <c r="D1" s="1"/>
      <c r="E1" s="1"/>
      <c r="F1" s="1"/>
      <c r="G1" s="2"/>
      <c r="H1" s="2"/>
    </row>
    <row r="2" customFormat="false" ht="15" hidden="false" customHeight="false" outlineLevel="0" collapsed="false">
      <c r="A2" s="8" t="s">
        <v>46</v>
      </c>
      <c r="B2" s="8"/>
      <c r="C2" s="8"/>
      <c r="D2" s="8"/>
      <c r="E2" s="8"/>
      <c r="F2" s="8"/>
      <c r="G2" s="2"/>
      <c r="H2" s="2"/>
    </row>
    <row r="3" customFormat="false" ht="21.75" hidden="false" customHeight="true" outlineLevel="0" collapsed="false">
      <c r="A3" s="6" t="s">
        <v>17</v>
      </c>
      <c r="B3" s="6" t="s">
        <v>18</v>
      </c>
      <c r="C3" s="6" t="s">
        <v>47</v>
      </c>
      <c r="D3" s="6" t="s">
        <v>48</v>
      </c>
      <c r="E3" s="6" t="s">
        <v>20</v>
      </c>
      <c r="F3" s="6" t="s">
        <v>21</v>
      </c>
      <c r="G3" s="2"/>
      <c r="H3" s="2"/>
    </row>
    <row r="4" customFormat="false" ht="15" hidden="false" customHeight="false" outlineLevel="0" collapsed="false">
      <c r="A4" s="10" t="s">
        <v>49</v>
      </c>
      <c r="B4" s="10" t="s">
        <v>29</v>
      </c>
      <c r="C4" s="11" t="n">
        <v>181.28</v>
      </c>
      <c r="D4" s="11" t="n">
        <v>210.61</v>
      </c>
      <c r="E4" s="11" t="n">
        <v>29.33</v>
      </c>
      <c r="F4" s="12" t="n">
        <v>0.161793909973522</v>
      </c>
      <c r="G4" s="2"/>
      <c r="H4" s="2"/>
    </row>
    <row r="5" customFormat="false" ht="15" hidden="false" customHeight="false" outlineLevel="0" collapsed="false">
      <c r="A5" s="10" t="s">
        <v>50</v>
      </c>
      <c r="B5" s="10" t="s">
        <v>51</v>
      </c>
      <c r="C5" s="11" t="n">
        <v>477.27</v>
      </c>
      <c r="D5" s="11" t="n">
        <v>674.3</v>
      </c>
      <c r="E5" s="11" t="n">
        <v>197.03</v>
      </c>
      <c r="F5" s="12" t="n">
        <v>0.412827120916882</v>
      </c>
      <c r="G5" s="2"/>
      <c r="H5" s="2"/>
    </row>
    <row r="6" customFormat="false" ht="15" hidden="false" customHeight="false" outlineLevel="0" collapsed="false">
      <c r="A6" s="10" t="s">
        <v>52</v>
      </c>
      <c r="B6" s="10" t="s">
        <v>41</v>
      </c>
      <c r="C6" s="11" t="n">
        <v>215.94</v>
      </c>
      <c r="D6" s="11" t="n">
        <v>374.74</v>
      </c>
      <c r="E6" s="11" t="n">
        <v>158.8</v>
      </c>
      <c r="F6" s="12" t="n">
        <v>0.735389460035195</v>
      </c>
      <c r="G6" s="2"/>
      <c r="H6" s="2"/>
    </row>
    <row r="7" customFormat="false" ht="15" hidden="false" customHeight="false" outlineLevel="0" collapsed="false">
      <c r="A7" s="10" t="s">
        <v>53</v>
      </c>
      <c r="B7" s="10" t="s">
        <v>51</v>
      </c>
      <c r="C7" s="11" t="n">
        <v>490.66</v>
      </c>
      <c r="D7" s="11" t="n">
        <v>504.81</v>
      </c>
      <c r="E7" s="11" t="n">
        <v>14.15</v>
      </c>
      <c r="F7" s="12" t="n">
        <v>0.0288387070476501</v>
      </c>
      <c r="G7" s="2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</sheetData>
  <autoFilter ref="A3:F7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2026-08-23T10:28:27Z</dcterms:created>
  <dc:creator>openpyxl</dc:creator>
  <dc:description/>
  <dc:language>en-US</dc:language>
  <cp:lastModifiedBy/>
  <dcterms:modified xsi:type="dcterms:W3CDTF">2026-08-23T10:28:27Z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
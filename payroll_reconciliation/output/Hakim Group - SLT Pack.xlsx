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Employees" sheetId="2" state="visible" r:id="rId2"/>
    <sheet name="Expenses" sheetId="3" state="visible" r:id="rId3"/>
  </sheets>
  <definedNames>
    <definedName name="_xlnm._FilterDatabase" localSheetId="1" hidden="1">'All Employees'!$A$3:$G$63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£#,##0"/>
    <numFmt numFmtId="166" formatCode="+£#,##0;-£#,##0"/>
    <numFmt numFmtId="167" formatCode="£#,##0.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6"/>
    </font>
    <font>
      <name val="Aptos"/>
      <i val="1"/>
      <color rgb="00595959"/>
      <sz val="9"/>
    </font>
    <font>
      <name val="Aptos"/>
      <b val="1"/>
      <color rgb="00FFFFFF"/>
      <sz val="11"/>
    </font>
    <font>
      <name val="Aptos"/>
      <color rgb="00000000"/>
      <sz val="10"/>
    </font>
    <font>
      <name val="Aptos"/>
      <color rgb="00FFFFFF"/>
      <sz val="10"/>
    </font>
    <font>
      <name val="Aptos"/>
      <b val="1"/>
      <color rgb="00FFFFFF"/>
      <sz val="20"/>
    </font>
    <font>
      <name val="Aptos"/>
      <b val="1"/>
      <color rgb="003D315D"/>
      <sz val="11"/>
    </font>
    <font>
      <name val="Aptos"/>
      <i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7F7F7"/>
      </patternFill>
    </fill>
    <fill>
      <patternFill patternType="solid">
        <fgColor rgb="003D315D"/>
      </patternFill>
    </fill>
    <fill>
      <patternFill patternType="solid">
        <fgColor rgb="0066609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3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5" fillId="4" borderId="0" applyAlignment="1" pivotButton="0" quotePrefix="0" xfId="0">
      <alignment horizontal="center" vertical="center" wrapText="1"/>
    </xf>
    <xf numFmtId="3" fontId="6" fillId="3" borderId="0" applyAlignment="1" pivotButton="0" quotePrefix="0" xfId="0">
      <alignment horizontal="center" vertical="center"/>
    </xf>
    <xf numFmtId="165" fontId="6" fillId="3" borderId="0" applyAlignment="1" pivotButton="0" quotePrefix="0" xfId="0">
      <alignment horizontal="center" vertical="center"/>
    </xf>
    <xf numFmtId="166" fontId="6" fillId="3" borderId="0" applyAlignment="1" pivotButton="0" quotePrefix="0" xfId="0">
      <alignment horizontal="center" vertical="center"/>
    </xf>
    <xf numFmtId="0" fontId="7" fillId="2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2" borderId="0" pivotButton="0" quotePrefix="0" xfId="0"/>
    <xf numFmtId="3" fontId="0" fillId="2" borderId="1" pivotButton="0" quotePrefix="0" xfId="0"/>
    <xf numFmtId="0" fontId="4" fillId="2" borderId="1" pivotButton="0" quotePrefix="0" xfId="0"/>
    <xf numFmtId="167" fontId="4" fillId="2" borderId="1" pivotButton="0" quotePrefix="0" xfId="0"/>
    <xf numFmtId="0" fontId="8" fillId="4" borderId="0" applyAlignment="1" pivotButton="0" quotePrefix="0" xfId="0">
      <alignment horizontal="left" vertical="center" wrapText="1" indent="1"/>
    </xf>
    <xf numFmtId="0" fontId="2" fillId="2" borderId="0" pivotButton="0" quotePrefix="0" xfId="0"/>
    <xf numFmtId="0" fontId="4" fillId="2" borderId="1" applyAlignment="1" pivotButton="0" quotePrefix="0" xfId="0">
      <alignment horizontal="left"/>
    </xf>
    <xf numFmtId="4" fontId="4" fillId="2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/>
    </xf>
    <xf numFmtId="167" fontId="0" fillId="2" borderId="1" pivotButton="0" quotePrefix="0" xfId="0"/>
    <xf numFmtId="0" fontId="0" fillId="2" borderId="1" pivotButton="0" quotePrefix="0" xfId="0"/>
  </cellXfs>
  <cellStyles count="1">
    <cellStyle name="Normal" xfId="0" builtinId="0" hidden="0"/>
  </cellStyles>
  <dxfs count="1">
    <dxf>
      <font>
        <name val="Aptos"/>
        <b val="1"/>
        <color rgb="00C00000"/>
      </font>
      <fill>
        <patternFill patternType="solid">
          <fgColor rgb="00FBE1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breakdown</a:t>
            </a:r>
          </a:p>
        </rich>
      </tx>
    </title>
    <plotArea>
      <doughnutChart>
        <varyColors val="1"/>
        <ser>
          <idx val="0"/>
          <order val="0"/>
          <tx>
            <strRef>
              <f>'Dashboard'!B11</f>
            </strRef>
          </tx>
          <spPr>
            <a:ln>
              <a:prstDash val="solid"/>
            </a:ln>
          </spPr>
          <cat>
            <numRef>
              <f>'Dashboard'!$A$12:$A$15</f>
            </numRef>
          </cat>
          <val>
            <numRef>
              <f>'Dashboard'!$B$12:$B$15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Review causes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'Dashboard'!J11</f>
            </strRef>
          </tx>
          <spPr>
            <a:ln>
              <a:prstDash val="solid"/>
            </a:ln>
          </spPr>
          <cat>
            <numRef>
              <f>'Dashboard'!$I$12:$I$15</f>
            </numRef>
          </cat>
          <val>
            <numRef>
              <f>'Dashboard'!$J$12:$J$15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Expenses by practice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'Expenses'!B5</f>
            </strRef>
          </tx>
          <spPr>
            <a:ln>
              <a:prstDash val="solid"/>
            </a:ln>
          </spPr>
          <cat>
            <numRef>
              <f>'Expenses'!$A$6</f>
            </numRef>
          </cat>
          <val>
            <numRef>
              <f>'Expenses'!$B$6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Expenses by staff type</a:t>
            </a:r>
          </a:p>
        </rich>
      </tx>
    </title>
    <plotArea>
      <doughnutChart>
        <varyColors val="1"/>
        <ser>
          <idx val="0"/>
          <order val="0"/>
          <tx>
            <strRef>
              <f>'Expenses'!B10</f>
            </strRef>
          </tx>
          <spPr>
            <a:ln>
              <a:prstDash val="solid"/>
            </a:ln>
          </spPr>
          <cat>
            <numRef>
              <f>'Expenses'!$A$11</f>
            </numRef>
          </cat>
          <val>
            <numRef>
              <f>'Expenses'!$B$11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9</row>
      <rowOff>0</rowOff>
    </from>
    <ext cx="36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9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8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3D315D"/>
    <outlinePr summaryBelow="1" summaryRight="1"/>
    <pageSetUpPr/>
  </sheetPr>
  <dimension ref="A1:P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Hakim Group  |  Payroll SLT Pack</t>
        </is>
      </c>
    </row>
    <row r="2"/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 ht="30" customHeight="1">
      <c r="A4" s="3" t="inlineStr">
        <is>
          <t>Employees compared</t>
        </is>
      </c>
      <c r="C4" s="3" t="inlineStr">
        <is>
          <t>Prior net pay</t>
        </is>
      </c>
      <c r="E4" s="3" t="inlineStr">
        <is>
          <t>Current net pay</t>
        </is>
      </c>
      <c r="G4" s="3" t="inlineStr">
        <is>
          <t>Net movement</t>
        </is>
      </c>
      <c r="I4" s="3" t="inlineStr">
        <is>
          <t>Over tolerance</t>
        </is>
      </c>
      <c r="K4" s="3" t="inlineStr">
        <is>
          <t>Review required</t>
        </is>
      </c>
      <c r="M4" s="2" t="n"/>
      <c r="N4" s="2" t="n"/>
      <c r="O4" s="2" t="n"/>
      <c r="P4" s="2" t="n"/>
    </row>
    <row r="5" ht="30" customHeight="1">
      <c r="A5" s="4">
        <f>56</f>
        <v/>
      </c>
      <c r="C5" s="5">
        <f>113714.44</f>
        <v/>
      </c>
      <c r="E5" s="5">
        <f>114467.26</f>
        <v/>
      </c>
      <c r="G5" s="6">
        <f>752.82</f>
        <v/>
      </c>
      <c r="I5" s="4">
        <f>18</f>
        <v/>
      </c>
      <c r="K5" s="4">
        <f>9</f>
        <v/>
      </c>
      <c r="M5" s="2" t="n"/>
      <c r="N5" s="2" t="n"/>
      <c r="O5" s="2" t="n"/>
      <c r="P5" s="2" t="n"/>
    </row>
    <row r="6">
      <c r="M6" s="2" t="n"/>
      <c r="N6" s="2" t="n"/>
      <c r="O6" s="2" t="n"/>
      <c r="P6" s="2" t="n"/>
    </row>
    <row r="7">
      <c r="M7" s="2" t="n"/>
      <c r="N7" s="2" t="n"/>
      <c r="O7" s="2" t="n"/>
      <c r="P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7" t="inlineStr">
        <is>
          <t>Status breakdown</t>
        </is>
      </c>
      <c r="B10" s="2" t="n"/>
      <c r="C10" s="2" t="n"/>
      <c r="D10" s="2" t="n"/>
      <c r="E10" s="2" t="n"/>
      <c r="F10" s="2" t="n"/>
      <c r="G10" s="2" t="n"/>
      <c r="H10" s="2" t="n"/>
      <c r="I10" s="7" t="inlineStr">
        <is>
          <t>Review causes</t>
        </is>
      </c>
      <c r="J10" s="2" t="n"/>
      <c r="K10" s="2" t="n"/>
      <c r="L10" s="2" t="n"/>
      <c r="M10" s="2" t="n"/>
      <c r="N10" s="2" t="n"/>
      <c r="O10" s="2" t="n"/>
      <c r="P10" s="2" t="n"/>
    </row>
    <row r="11" ht="22" customHeight="1">
      <c r="A11" s="8" t="inlineStr">
        <is>
          <t>Status</t>
        </is>
      </c>
      <c r="B11" s="8" t="inlineStr">
        <is>
          <t>Count</t>
        </is>
      </c>
      <c r="C11" s="2" t="n"/>
      <c r="D11" s="2" t="n"/>
      <c r="E11" s="2" t="n"/>
      <c r="F11" s="2" t="n"/>
      <c r="G11" s="2" t="n"/>
      <c r="H11" s="2" t="n"/>
      <c r="I11" s="8" t="inlineStr">
        <is>
          <t>Cause</t>
        </is>
      </c>
      <c r="J11" s="8" t="inlineStr">
        <is>
          <t>Count</t>
        </is>
      </c>
      <c r="K11" s="2" t="n"/>
      <c r="L11" s="2" t="n"/>
      <c r="M11" s="2" t="n"/>
      <c r="N11" s="2" t="n"/>
      <c r="O11" s="2" t="n"/>
      <c r="P11" s="2" t="n"/>
    </row>
    <row r="12">
      <c r="A12" s="9" t="inlineStr">
        <is>
          <t>Review required</t>
        </is>
      </c>
      <c r="B12" s="10" t="n">
        <v>9</v>
      </c>
      <c r="C12" s="2" t="n"/>
      <c r="D12" s="2" t="n"/>
      <c r="E12" s="2" t="n"/>
      <c r="F12" s="2" t="n"/>
      <c r="G12" s="2" t="n"/>
      <c r="H12" s="2" t="n"/>
      <c r="I12" s="9" t="inlineStr">
        <is>
          <t>Basic Salary</t>
        </is>
      </c>
      <c r="J12" s="10" t="n">
        <v>6</v>
      </c>
      <c r="K12" s="2" t="n"/>
      <c r="L12" s="2" t="n"/>
      <c r="M12" s="2" t="n"/>
      <c r="N12" s="2" t="n"/>
      <c r="O12" s="2" t="n"/>
      <c r="P12" s="2" t="n"/>
    </row>
    <row r="13">
      <c r="A13" s="9" t="inlineStr">
        <is>
          <t>Explained (starter/leaver/transfer)</t>
        </is>
      </c>
      <c r="B13" s="10" t="n">
        <v>12</v>
      </c>
      <c r="C13" s="2" t="n"/>
      <c r="D13" s="2" t="n"/>
      <c r="E13" s="2" t="n"/>
      <c r="F13" s="2" t="n"/>
      <c r="G13" s="2" t="n"/>
      <c r="H13" s="2" t="n"/>
      <c r="I13" s="9" t="inlineStr">
        <is>
          <t>Mileage Expenses</t>
        </is>
      </c>
      <c r="J13" s="10" t="n">
        <v>1</v>
      </c>
      <c r="K13" s="2" t="n"/>
      <c r="L13" s="2" t="n"/>
      <c r="M13" s="2" t="n"/>
      <c r="N13" s="2" t="n"/>
      <c r="O13" s="2" t="n"/>
      <c r="P13" s="2" t="n"/>
    </row>
    <row r="14">
      <c r="A14" s="9" t="inlineStr">
        <is>
          <t>OK - within tolerance</t>
        </is>
      </c>
      <c r="B14" s="10" t="n">
        <v>35</v>
      </c>
      <c r="C14" s="2" t="n"/>
      <c r="D14" s="2" t="n"/>
      <c r="E14" s="2" t="n"/>
      <c r="F14" s="2" t="n"/>
      <c r="G14" s="2" t="n"/>
      <c r="H14" s="2" t="n"/>
      <c r="I14" s="9" t="inlineStr">
        <is>
          <t>Unsocial Hours Premium</t>
        </is>
      </c>
      <c r="J14" s="10" t="n">
        <v>1</v>
      </c>
      <c r="K14" s="2" t="n"/>
      <c r="L14" s="2" t="n"/>
      <c r="M14" s="2" t="n"/>
      <c r="N14" s="2" t="n"/>
      <c r="O14" s="2" t="n"/>
      <c r="P14" s="2" t="n"/>
    </row>
    <row r="15">
      <c r="A15" s="9" t="inlineStr">
        <is>
          <t>Zero hours</t>
        </is>
      </c>
      <c r="B15" s="10" t="n">
        <v>4</v>
      </c>
      <c r="C15" s="2" t="n"/>
      <c r="D15" s="2" t="n"/>
      <c r="E15" s="2" t="n"/>
      <c r="F15" s="2" t="n"/>
      <c r="G15" s="2" t="n"/>
      <c r="H15" s="2" t="n"/>
      <c r="I15" s="9" t="inlineStr">
        <is>
          <t>On Call Allowance</t>
        </is>
      </c>
      <c r="J15" s="10" t="n">
        <v>1</v>
      </c>
      <c r="K15" s="2" t="n"/>
      <c r="L15" s="2" t="n"/>
      <c r="M15" s="2" t="n"/>
      <c r="N15" s="2" t="n"/>
      <c r="O15" s="2" t="n"/>
      <c r="P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7" t="inlineStr">
        <is>
          <t>Top review movements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 ht="22" customHeight="1">
      <c r="A19" s="8" t="inlineStr">
        <is>
          <t>Payroll Number</t>
        </is>
      </c>
      <c r="B19" s="8" t="inlineStr">
        <is>
          <t>Practice</t>
        </is>
      </c>
      <c r="C19" s="8" t="inlineStr">
        <is>
          <t>Difference £</t>
        </is>
      </c>
      <c r="D19" s="8" t="inlineStr">
        <is>
          <t>Priority</t>
        </is>
      </c>
      <c r="E19" s="8" t="inlineStr">
        <is>
          <t>Cause</t>
        </is>
      </c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11" t="inlineStr">
        <is>
          <t>P73092</t>
        </is>
      </c>
      <c r="B20" s="11" t="inlineStr">
        <is>
          <t>Kings Road Dental Practice</t>
        </is>
      </c>
      <c r="C20" s="12" t="n">
        <v>2515.59</v>
      </c>
      <c r="D20" s="11" t="inlineStr">
        <is>
          <t>High</t>
        </is>
      </c>
      <c r="E20" s="11" t="inlineStr">
        <is>
          <t>Basic Salary</t>
        </is>
      </c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11" t="inlineStr">
        <is>
          <t>P84847</t>
        </is>
      </c>
      <c r="B21" s="11" t="inlineStr">
        <is>
          <t>Kings Road Dental Practice</t>
        </is>
      </c>
      <c r="C21" s="12" t="n">
        <v>2246.16</v>
      </c>
      <c r="D21" s="11" t="inlineStr">
        <is>
          <t>High</t>
        </is>
      </c>
      <c r="E21" s="11" t="inlineStr">
        <is>
          <t>Mileage Expenses</t>
        </is>
      </c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11" t="inlineStr">
        <is>
          <t>P97538</t>
        </is>
      </c>
      <c r="B22" s="11" t="inlineStr">
        <is>
          <t>Elm Park Dental Practice</t>
        </is>
      </c>
      <c r="C22" s="12" t="n">
        <v>-2223.15</v>
      </c>
      <c r="D22" s="11" t="inlineStr">
        <is>
          <t>High</t>
        </is>
      </c>
      <c r="E22" s="11" t="inlineStr">
        <is>
          <t>Basic Salary</t>
        </is>
      </c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11" t="inlineStr">
        <is>
          <t>P81200</t>
        </is>
      </c>
      <c r="B23" s="11" t="inlineStr">
        <is>
          <t>Kings Road Dental Practice</t>
        </is>
      </c>
      <c r="C23" s="12" t="n">
        <v>-2150.55</v>
      </c>
      <c r="D23" s="11" t="inlineStr">
        <is>
          <t>High</t>
        </is>
      </c>
      <c r="E23" s="11" t="inlineStr">
        <is>
          <t>Basic Salary</t>
        </is>
      </c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11" t="inlineStr">
        <is>
          <t>P16630</t>
        </is>
      </c>
      <c r="B24" s="11" t="inlineStr">
        <is>
          <t>Hakim Group Head Office</t>
        </is>
      </c>
      <c r="C24" s="12" t="n">
        <v>1806.4</v>
      </c>
      <c r="D24" s="11" t="inlineStr">
        <is>
          <t>High</t>
        </is>
      </c>
      <c r="E24" s="11" t="inlineStr">
        <is>
          <t>Basic Salary</t>
        </is>
      </c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11" t="inlineStr">
        <is>
          <t>P22224</t>
        </is>
      </c>
      <c r="B25" s="11" t="inlineStr">
        <is>
          <t>Hakim Group Head Office</t>
        </is>
      </c>
      <c r="C25" s="12" t="n">
        <v>1774.79</v>
      </c>
      <c r="D25" s="11" t="inlineStr">
        <is>
          <t>High</t>
        </is>
      </c>
      <c r="E25" s="11" t="inlineStr">
        <is>
          <t>Basic Salary</t>
        </is>
      </c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11" t="inlineStr">
        <is>
          <t>P94696</t>
        </is>
      </c>
      <c r="B26" s="11" t="inlineStr">
        <is>
          <t>Oakfield Dental Practice</t>
        </is>
      </c>
      <c r="C26" s="12" t="n">
        <v>1083.62</v>
      </c>
      <c r="D26" s="11" t="inlineStr">
        <is>
          <t>Medium</t>
        </is>
      </c>
      <c r="E26" s="11" t="inlineStr">
        <is>
          <t>On Call Allowance</t>
        </is>
      </c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11" t="inlineStr">
        <is>
          <t>P56438</t>
        </is>
      </c>
      <c r="B27" s="11" t="inlineStr">
        <is>
          <t>Oakfield Dental Practice</t>
        </is>
      </c>
      <c r="C27" s="12" t="n">
        <v>627.58</v>
      </c>
      <c r="D27" s="11" t="inlineStr">
        <is>
          <t>Medium</t>
        </is>
      </c>
      <c r="E27" s="11" t="inlineStr">
        <is>
          <t>Unsocial Hours Premium</t>
        </is>
      </c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11" t="inlineStr">
        <is>
          <t>P73624</t>
        </is>
      </c>
      <c r="B28" s="11" t="inlineStr">
        <is>
          <t>Hakim Group Head Office</t>
        </is>
      </c>
      <c r="C28" s="12" t="n">
        <v>-253.86</v>
      </c>
      <c r="D28" s="11" t="inlineStr">
        <is>
          <t>Low</t>
        </is>
      </c>
      <c r="E28" s="11" t="inlineStr">
        <is>
          <t>Basic Salary</t>
        </is>
      </c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13" t="inlineStr">
        <is>
          <t>Assurance: 56 payroll records compared. Total Gross moved from £173,430 to £173,634. Employer NI £23,933 -&gt; £23,096, Employer Pension £8,672 -&gt; £8,368, Apprenticeship Levy £867 -&gt; £837. Prior records 54, current records 54 (headcount reconciles).</t>
        </is>
      </c>
    </row>
    <row r="32"/>
    <row r="33"/>
    <row r="34"/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</sheetData>
  <mergeCells count="14">
    <mergeCell ref="A4:B4"/>
    <mergeCell ref="G4:H4"/>
    <mergeCell ref="E4:F4"/>
    <mergeCell ref="I4:J4"/>
    <mergeCell ref="C5:D7"/>
    <mergeCell ref="G5:H7"/>
    <mergeCell ref="E5:F7"/>
    <mergeCell ref="K5:L7"/>
    <mergeCell ref="A1:P2"/>
    <mergeCell ref="A5:B7"/>
    <mergeCell ref="A31:P34"/>
    <mergeCell ref="K4:L4"/>
    <mergeCell ref="I5:J7"/>
    <mergeCell ref="C4:D4"/>
  </mergeCells>
  <conditionalFormatting sqref="A20:E28">
    <cfRule type="expression" priority="1" dxfId="0">
      <formula>$D20="Review required"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3D315D"/>
    <outlinePr summaryBelow="1" summaryRight="1"/>
    <pageSetUpPr/>
  </sheetPr>
  <dimension ref="A1:H6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2" customWidth="1" min="3" max="3"/>
    <col width="12" customWidth="1" min="4" max="4"/>
    <col width="12" customWidth="1" min="5" max="5"/>
    <col width="11" customWidth="1" min="6" max="6"/>
    <col width="44" customWidth="1" min="7" max="7"/>
  </cols>
  <sheetData>
    <row r="1">
      <c r="A1" s="1" t="inlineStr">
        <is>
          <t>All Employees - Payroll Numbers Only</t>
        </is>
      </c>
      <c r="H1" s="2" t="n"/>
    </row>
    <row r="2">
      <c r="A2" s="14" t="inlineStr">
        <is>
          <t>GDPR: no employee names are held in this pack. Sorted review-first.</t>
        </is>
      </c>
      <c r="H2" s="2" t="n"/>
    </row>
    <row r="3" ht="22" customHeight="1">
      <c r="A3" s="8" t="inlineStr">
        <is>
          <t>Payroll Number</t>
        </is>
      </c>
      <c r="B3" s="8" t="inlineStr">
        <is>
          <t>Practice</t>
        </is>
      </c>
      <c r="C3" s="8" t="inlineStr">
        <is>
          <t>Prior Net</t>
        </is>
      </c>
      <c r="D3" s="8" t="inlineStr">
        <is>
          <t>Current Net</t>
        </is>
      </c>
      <c r="E3" s="8" t="inlineStr">
        <is>
          <t>Difference £</t>
        </is>
      </c>
      <c r="F3" s="8" t="inlineStr">
        <is>
          <t>Difference %</t>
        </is>
      </c>
      <c r="G3" s="8" t="inlineStr">
        <is>
          <t>Reason</t>
        </is>
      </c>
      <c r="H3" s="2" t="n"/>
    </row>
    <row r="4">
      <c r="A4" s="15" t="inlineStr">
        <is>
          <t>P84847</t>
        </is>
      </c>
      <c r="B4" s="15" t="inlineStr">
        <is>
          <t>Kings Road Dental Practice</t>
        </is>
      </c>
      <c r="C4" s="16" t="n">
        <v>2722.62</v>
      </c>
      <c r="D4" s="16" t="n">
        <v>4968.78</v>
      </c>
      <c r="E4" s="16" t="n">
        <v>2246.16</v>
      </c>
      <c r="F4" s="17" t="n">
        <v>0.8249994490600965</v>
      </c>
      <c r="G4" s="15" t="inlineStr">
        <is>
          <t>Review required - main driver: Mileage Expenses</t>
        </is>
      </c>
      <c r="H4" s="2" t="n"/>
    </row>
    <row r="5">
      <c r="A5" s="15" t="inlineStr">
        <is>
          <t>P97538</t>
        </is>
      </c>
      <c r="B5" s="15" t="inlineStr">
        <is>
          <t>Elm Park Dental Practice</t>
        </is>
      </c>
      <c r="C5" s="16" t="n">
        <v>2223.15</v>
      </c>
      <c r="D5" s="16" t="n">
        <v>0</v>
      </c>
      <c r="E5" s="16" t="n">
        <v>-2223.15</v>
      </c>
      <c r="F5" s="17" t="n">
        <v>-1</v>
      </c>
      <c r="G5" s="15" t="inlineStr">
        <is>
          <t>Review required - main driver: Basic Salary</t>
        </is>
      </c>
      <c r="H5" s="2" t="n"/>
    </row>
    <row r="6">
      <c r="A6" s="15" t="inlineStr">
        <is>
          <t>P81200</t>
        </is>
      </c>
      <c r="B6" s="15" t="inlineStr">
        <is>
          <t>Kings Road Dental Practice</t>
        </is>
      </c>
      <c r="C6" s="16" t="n">
        <v>2150.55</v>
      </c>
      <c r="D6" s="16" t="n">
        <v>0</v>
      </c>
      <c r="E6" s="16" t="n">
        <v>-2150.55</v>
      </c>
      <c r="F6" s="17" t="n">
        <v>-1</v>
      </c>
      <c r="G6" s="15" t="inlineStr">
        <is>
          <t>Review required - main driver: Basic Salary</t>
        </is>
      </c>
      <c r="H6" s="2" t="n"/>
    </row>
    <row r="7">
      <c r="A7" s="15" t="inlineStr">
        <is>
          <t>P94696</t>
        </is>
      </c>
      <c r="B7" s="15" t="inlineStr">
        <is>
          <t>Oakfield Dental Practice</t>
        </is>
      </c>
      <c r="C7" s="16" t="n">
        <v>2408.04</v>
      </c>
      <c r="D7" s="16" t="n">
        <v>3491.66</v>
      </c>
      <c r="E7" s="16" t="n">
        <v>1083.62</v>
      </c>
      <c r="F7" s="17" t="n">
        <v>0.4500008305509875</v>
      </c>
      <c r="G7" s="15" t="inlineStr">
        <is>
          <t>Review required - main driver: On Call Allowance</t>
        </is>
      </c>
      <c r="H7" s="2" t="n"/>
    </row>
    <row r="8">
      <c r="A8" s="15" t="inlineStr">
        <is>
          <t>P56438</t>
        </is>
      </c>
      <c r="B8" s="15" t="inlineStr">
        <is>
          <t>Oakfield Dental Practice</t>
        </is>
      </c>
      <c r="C8" s="16" t="n">
        <v>2390.78</v>
      </c>
      <c r="D8" s="16" t="n">
        <v>3018.36</v>
      </c>
      <c r="E8" s="16" t="n">
        <v>627.58</v>
      </c>
      <c r="F8" s="17" t="n">
        <v>0.2625001045683835</v>
      </c>
      <c r="G8" s="15" t="inlineStr">
        <is>
          <t>Review required - main driver: Unsocial Hours Premium</t>
        </is>
      </c>
      <c r="H8" s="2" t="n"/>
    </row>
    <row r="9">
      <c r="A9" s="15" t="inlineStr">
        <is>
          <t>P73624</t>
        </is>
      </c>
      <c r="B9" s="15" t="inlineStr">
        <is>
          <t>Hakim Group Head Office</t>
        </is>
      </c>
      <c r="C9" s="16" t="n">
        <v>1934.17</v>
      </c>
      <c r="D9" s="16" t="n">
        <v>1680.31</v>
      </c>
      <c r="E9" s="16" t="n">
        <v>-253.86</v>
      </c>
      <c r="F9" s="17" t="n">
        <v>-0.1312500969408067</v>
      </c>
      <c r="G9" s="15" t="inlineStr">
        <is>
          <t>Review required - main driver: Basic Salary</t>
        </is>
      </c>
      <c r="H9" s="2" t="n"/>
    </row>
    <row r="10">
      <c r="A10" s="15" t="inlineStr">
        <is>
          <t>P19602</t>
        </is>
      </c>
      <c r="B10" s="15" t="inlineStr">
        <is>
          <t>Riverside Dental Practice</t>
        </is>
      </c>
      <c r="C10" s="16" t="n">
        <v>2596.88</v>
      </c>
      <c r="D10" s="16" t="n"/>
      <c r="E10" s="16" t="n">
        <v>-2596.88</v>
      </c>
      <c r="F10" s="17" t="n">
        <v>-1</v>
      </c>
      <c r="G10" s="15" t="inlineStr">
        <is>
          <t>Pay moved to a different payroll record for this person</t>
        </is>
      </c>
      <c r="H10" s="2" t="n"/>
    </row>
    <row r="11">
      <c r="A11" s="15" t="inlineStr">
        <is>
          <t>P80468</t>
        </is>
      </c>
      <c r="B11" s="15" t="inlineStr">
        <is>
          <t>Oakfield Dental Practice</t>
        </is>
      </c>
      <c r="C11" s="16" t="n"/>
      <c r="D11" s="16" t="n">
        <v>2596.88</v>
      </c>
      <c r="E11" s="16" t="n">
        <v>2596.88</v>
      </c>
      <c r="F11" s="17" t="n"/>
      <c r="G11" s="15" t="inlineStr">
        <is>
          <t>Pay moved to a different payroll record for this person</t>
        </is>
      </c>
      <c r="H11" s="2" t="n"/>
    </row>
    <row r="12">
      <c r="A12" s="15" t="inlineStr">
        <is>
          <t>P73092</t>
        </is>
      </c>
      <c r="B12" s="15" t="inlineStr">
        <is>
          <t>Kings Road Dental Practice</t>
        </is>
      </c>
      <c r="C12" s="16" t="n"/>
      <c r="D12" s="16" t="n">
        <v>2515.59</v>
      </c>
      <c r="E12" s="16" t="n">
        <v>2515.59</v>
      </c>
      <c r="F12" s="17" t="n"/>
      <c r="G12" s="15" t="inlineStr">
        <is>
          <t>New starter this period</t>
        </is>
      </c>
      <c r="H12" s="2" t="n"/>
    </row>
    <row r="13">
      <c r="A13" s="15" t="inlineStr">
        <is>
          <t>P79615</t>
        </is>
      </c>
      <c r="B13" s="15" t="inlineStr">
        <is>
          <t>Riverside Dental Practice</t>
        </is>
      </c>
      <c r="C13" s="16" t="n">
        <v>2411.33</v>
      </c>
      <c r="D13" s="16" t="n"/>
      <c r="E13" s="16" t="n">
        <v>-2411.33</v>
      </c>
      <c r="F13" s="17" t="n">
        <v>-1</v>
      </c>
      <c r="G13" s="15" t="inlineStr">
        <is>
          <t>Leaver this period</t>
        </is>
      </c>
      <c r="H13" s="2" t="n"/>
    </row>
    <row r="14">
      <c r="A14" s="15" t="inlineStr">
        <is>
          <t>P17492</t>
        </is>
      </c>
      <c r="B14" s="15" t="inlineStr">
        <is>
          <t>Kings Road Dental Practice</t>
        </is>
      </c>
      <c r="C14" s="16" t="n">
        <v>2222.77</v>
      </c>
      <c r="D14" s="16" t="n"/>
      <c r="E14" s="16" t="n">
        <v>-2222.77</v>
      </c>
      <c r="F14" s="17" t="n">
        <v>-1</v>
      </c>
      <c r="G14" s="15" t="inlineStr">
        <is>
          <t>Leaver this period</t>
        </is>
      </c>
      <c r="H14" s="2" t="n"/>
    </row>
    <row r="15">
      <c r="A15" s="15" t="inlineStr">
        <is>
          <t>P55745</t>
        </is>
      </c>
      <c r="B15" s="15" t="inlineStr">
        <is>
          <t>Kings Road Dental Practice</t>
        </is>
      </c>
      <c r="C15" s="16" t="n">
        <v>1905.97</v>
      </c>
      <c r="D15" s="16" t="n"/>
      <c r="E15" s="16" t="n">
        <v>-1905.97</v>
      </c>
      <c r="F15" s="17" t="n">
        <v>-1</v>
      </c>
      <c r="G15" s="15" t="inlineStr">
        <is>
          <t>Pay moved to a different payroll record for this person</t>
        </is>
      </c>
      <c r="H15" s="2" t="n"/>
    </row>
    <row r="16">
      <c r="A16" s="15" t="inlineStr">
        <is>
          <t>P19016</t>
        </is>
      </c>
      <c r="B16" s="15" t="inlineStr">
        <is>
          <t>Hakim Group Head Office</t>
        </is>
      </c>
      <c r="C16" s="16" t="n"/>
      <c r="D16" s="16" t="n">
        <v>1905.97</v>
      </c>
      <c r="E16" s="16" t="n">
        <v>1905.97</v>
      </c>
      <c r="F16" s="17" t="n"/>
      <c r="G16" s="15" t="inlineStr">
        <is>
          <t>Pay moved to a different payroll record for this person</t>
        </is>
      </c>
      <c r="H16" s="2" t="n"/>
    </row>
    <row r="17">
      <c r="A17" s="15" t="inlineStr">
        <is>
          <t>P16630</t>
        </is>
      </c>
      <c r="B17" s="15" t="inlineStr">
        <is>
          <t>Hakim Group Head Office</t>
        </is>
      </c>
      <c r="C17" s="16" t="n"/>
      <c r="D17" s="16" t="n">
        <v>1806.4</v>
      </c>
      <c r="E17" s="16" t="n">
        <v>1806.4</v>
      </c>
      <c r="F17" s="17" t="n"/>
      <c r="G17" s="15" t="inlineStr">
        <is>
          <t>New starter this period</t>
        </is>
      </c>
      <c r="H17" s="2" t="n"/>
    </row>
    <row r="18">
      <c r="A18" s="15" t="inlineStr">
        <is>
          <t>P22224</t>
        </is>
      </c>
      <c r="B18" s="15" t="inlineStr">
        <is>
          <t>Hakim Group Head Office</t>
        </is>
      </c>
      <c r="C18" s="16" t="n"/>
      <c r="D18" s="16" t="n">
        <v>1774.79</v>
      </c>
      <c r="E18" s="16" t="n">
        <v>1774.79</v>
      </c>
      <c r="F18" s="17" t="n"/>
      <c r="G18" s="15" t="inlineStr">
        <is>
          <t>New starter this period</t>
        </is>
      </c>
      <c r="H18" s="2" t="n"/>
    </row>
    <row r="19">
      <c r="A19" s="15" t="inlineStr">
        <is>
          <t>P69638</t>
        </is>
      </c>
      <c r="B19" s="15" t="inlineStr">
        <is>
          <t>Oakfield Dental Practice</t>
        </is>
      </c>
      <c r="C19" s="16" t="n">
        <v>1691.72</v>
      </c>
      <c r="D19" s="16" t="n"/>
      <c r="E19" s="16" t="n">
        <v>-1691.72</v>
      </c>
      <c r="F19" s="17" t="n">
        <v>-1</v>
      </c>
      <c r="G19" s="15" t="inlineStr">
        <is>
          <t>Leaver this period</t>
        </is>
      </c>
      <c r="H19" s="2" t="n"/>
    </row>
    <row r="20">
      <c r="A20" s="15" t="inlineStr">
        <is>
          <t>P48890</t>
        </is>
      </c>
      <c r="B20" s="15" t="inlineStr">
        <is>
          <t>Elm Park Dental Practice</t>
        </is>
      </c>
      <c r="C20" s="16" t="n">
        <v>1570.28</v>
      </c>
      <c r="D20" s="16" t="n"/>
      <c r="E20" s="16" t="n">
        <v>-1570.28</v>
      </c>
      <c r="F20" s="17" t="n">
        <v>-1</v>
      </c>
      <c r="G20" s="15" t="inlineStr">
        <is>
          <t>Leaver this period</t>
        </is>
      </c>
      <c r="H20" s="2" t="n"/>
    </row>
    <row r="21">
      <c r="A21" s="15" t="inlineStr">
        <is>
          <t>P31579</t>
        </is>
      </c>
      <c r="B21" s="15" t="inlineStr">
        <is>
          <t>Kings Road Dental Practice</t>
        </is>
      </c>
      <c r="C21" s="16" t="n"/>
      <c r="D21" s="16" t="n">
        <v>921.5700000000001</v>
      </c>
      <c r="E21" s="16" t="n">
        <v>921.5700000000001</v>
      </c>
      <c r="F21" s="17" t="n"/>
      <c r="G21" s="15" t="inlineStr">
        <is>
          <t>New starter this period</t>
        </is>
      </c>
      <c r="H21" s="2" t="n"/>
    </row>
    <row r="22">
      <c r="A22" s="15" t="inlineStr">
        <is>
          <t>P30926</t>
        </is>
      </c>
      <c r="B22" s="15" t="inlineStr">
        <is>
          <t>Oakfield Dental Practice</t>
        </is>
      </c>
      <c r="C22" s="16" t="n">
        <v>2856.97</v>
      </c>
      <c r="D22" s="16" t="n">
        <v>2400.16</v>
      </c>
      <c r="E22" s="16" t="n">
        <v>-456.81</v>
      </c>
      <c r="F22" s="17" t="n">
        <v>-0.159893173536999</v>
      </c>
      <c r="G22" s="15" t="inlineStr">
        <is>
          <t>Movement within tolerance - no action needed</t>
        </is>
      </c>
      <c r="H22" s="2" t="n"/>
    </row>
    <row r="23">
      <c r="A23" s="15" t="inlineStr">
        <is>
          <t>P79822</t>
        </is>
      </c>
      <c r="B23" s="15" t="inlineStr">
        <is>
          <t>Riverside Dental Practice</t>
        </is>
      </c>
      <c r="C23" s="16" t="n">
        <v>2868.84</v>
      </c>
      <c r="D23" s="16" t="n">
        <v>3313.13</v>
      </c>
      <c r="E23" s="16" t="n">
        <v>444.29</v>
      </c>
      <c r="F23" s="17" t="n">
        <v>0.1548674725673094</v>
      </c>
      <c r="G23" s="15" t="inlineStr">
        <is>
          <t>Movement within tolerance - no action needed</t>
        </is>
      </c>
      <c r="H23" s="2" t="n"/>
    </row>
    <row r="24">
      <c r="A24" s="15" t="inlineStr">
        <is>
          <t>P59823</t>
        </is>
      </c>
      <c r="B24" s="15" t="inlineStr">
        <is>
          <t>Kings Road Dental Practice</t>
        </is>
      </c>
      <c r="C24" s="16" t="n">
        <v>2939.57</v>
      </c>
      <c r="D24" s="16" t="n">
        <v>3288.62</v>
      </c>
      <c r="E24" s="16" t="n">
        <v>349.05</v>
      </c>
      <c r="F24" s="17" t="n">
        <v>0.1187418568021854</v>
      </c>
      <c r="G24" s="15" t="inlineStr">
        <is>
          <t>Movement within tolerance - no action needed</t>
        </is>
      </c>
      <c r="H24" s="2" t="n"/>
    </row>
    <row r="25">
      <c r="A25" s="15" t="inlineStr">
        <is>
          <t>P79163</t>
        </is>
      </c>
      <c r="B25" s="15" t="inlineStr">
        <is>
          <t>Kings Road Dental Practice</t>
        </is>
      </c>
      <c r="C25" s="16" t="n">
        <v>3104.33</v>
      </c>
      <c r="D25" s="16" t="n">
        <v>2767.51</v>
      </c>
      <c r="E25" s="16" t="n">
        <v>-336.82</v>
      </c>
      <c r="F25" s="17" t="n">
        <v>-0.1085000628154868</v>
      </c>
      <c r="G25" s="15" t="inlineStr">
        <is>
          <t>Movement within tolerance - no action needed</t>
        </is>
      </c>
      <c r="H25" s="2" t="n"/>
    </row>
    <row r="26">
      <c r="A26" s="15" t="inlineStr">
        <is>
          <t>P28131</t>
        </is>
      </c>
      <c r="B26" s="15" t="inlineStr">
        <is>
          <t>Oakfield Dental Practice</t>
        </is>
      </c>
      <c r="C26" s="16" t="n">
        <v>2051.59</v>
      </c>
      <c r="D26" s="16" t="n">
        <v>2382.17</v>
      </c>
      <c r="E26" s="16" t="n">
        <v>330.58</v>
      </c>
      <c r="F26" s="17" t="n">
        <v>0.1611335598243314</v>
      </c>
      <c r="G26" s="15" t="inlineStr">
        <is>
          <t>Movement within tolerance - no action needed</t>
        </is>
      </c>
      <c r="H26" s="2" t="n"/>
    </row>
    <row r="27">
      <c r="A27" s="15" t="inlineStr">
        <is>
          <t>P44522</t>
        </is>
      </c>
      <c r="B27" s="15" t="inlineStr">
        <is>
          <t>Riverside Dental Practice</t>
        </is>
      </c>
      <c r="C27" s="16" t="n">
        <v>2216.7</v>
      </c>
      <c r="D27" s="16" t="n">
        <v>2542.64</v>
      </c>
      <c r="E27" s="16" t="n">
        <v>325.94</v>
      </c>
      <c r="F27" s="17" t="n">
        <v>0.1470383904001444</v>
      </c>
      <c r="G27" s="15" t="inlineStr">
        <is>
          <t>Movement within tolerance - no action needed</t>
        </is>
      </c>
      <c r="H27" s="2" t="n"/>
    </row>
    <row r="28">
      <c r="A28" s="15" t="inlineStr">
        <is>
          <t>P60019</t>
        </is>
      </c>
      <c r="B28" s="15" t="inlineStr">
        <is>
          <t>Kings Road Dental Practice</t>
        </is>
      </c>
      <c r="C28" s="16" t="n">
        <v>2159.89</v>
      </c>
      <c r="D28" s="16" t="n">
        <v>1854.44</v>
      </c>
      <c r="E28" s="16" t="n">
        <v>-305.45</v>
      </c>
      <c r="F28" s="17" t="n">
        <v>-0.1414192389427239</v>
      </c>
      <c r="G28" s="15" t="inlineStr">
        <is>
          <t>Movement within tolerance - no action needed</t>
        </is>
      </c>
      <c r="H28" s="2" t="n"/>
    </row>
    <row r="29">
      <c r="A29" s="15" t="inlineStr">
        <is>
          <t>P84341</t>
        </is>
      </c>
      <c r="B29" s="15" t="inlineStr">
        <is>
          <t>Kings Road Dental Practice</t>
        </is>
      </c>
      <c r="C29" s="16" t="n">
        <v>2122.1</v>
      </c>
      <c r="D29" s="16" t="n">
        <v>1823.83</v>
      </c>
      <c r="E29" s="16" t="n">
        <v>-298.27</v>
      </c>
      <c r="F29" s="17" t="n">
        <v>-0.1405541680410914</v>
      </c>
      <c r="G29" s="15" t="inlineStr">
        <is>
          <t>Movement within tolerance - no action needed</t>
        </is>
      </c>
      <c r="H29" s="2" t="n"/>
    </row>
    <row r="30">
      <c r="A30" s="15" t="inlineStr">
        <is>
          <t>P19287</t>
        </is>
      </c>
      <c r="B30" s="15" t="inlineStr">
        <is>
          <t>Riverside Dental Practice</t>
        </is>
      </c>
      <c r="C30" s="16" t="n">
        <v>2631.56</v>
      </c>
      <c r="D30" s="16" t="n">
        <v>2927.62</v>
      </c>
      <c r="E30" s="16" t="n">
        <v>296.06</v>
      </c>
      <c r="F30" s="17" t="n">
        <v>0.1125036100259922</v>
      </c>
      <c r="G30" s="15" t="inlineStr">
        <is>
          <t>Movement within tolerance - no action needed</t>
        </is>
      </c>
      <c r="H30" s="2" t="n"/>
    </row>
    <row r="31">
      <c r="A31" s="15" t="inlineStr">
        <is>
          <t>P70142</t>
        </is>
      </c>
      <c r="B31" s="15" t="inlineStr">
        <is>
          <t>Elm Park Dental Practice</t>
        </is>
      </c>
      <c r="C31" s="16" t="n">
        <v>2112.14</v>
      </c>
      <c r="D31" s="16" t="n">
        <v>2395.83</v>
      </c>
      <c r="E31" s="16" t="n">
        <v>283.69</v>
      </c>
      <c r="F31" s="17" t="n">
        <v>0.1343140132756351</v>
      </c>
      <c r="G31" s="15" t="inlineStr">
        <is>
          <t>Movement within tolerance - no action needed</t>
        </is>
      </c>
      <c r="H31" s="2" t="n"/>
    </row>
    <row r="32">
      <c r="A32" s="15" t="inlineStr">
        <is>
          <t>P54587</t>
        </is>
      </c>
      <c r="B32" s="15" t="inlineStr">
        <is>
          <t>Riverside Dental Practice</t>
        </is>
      </c>
      <c r="C32" s="16" t="n">
        <v>2751.58</v>
      </c>
      <c r="D32" s="16" t="n">
        <v>2991.04</v>
      </c>
      <c r="E32" s="16" t="n">
        <v>239.46</v>
      </c>
      <c r="F32" s="17" t="n">
        <v>0.08702636303505623</v>
      </c>
      <c r="G32" s="15" t="inlineStr">
        <is>
          <t>Movement within tolerance - no action needed</t>
        </is>
      </c>
      <c r="H32" s="2" t="n"/>
    </row>
    <row r="33">
      <c r="A33" s="15" t="inlineStr">
        <is>
          <t>P34050</t>
        </is>
      </c>
      <c r="B33" s="15" t="inlineStr">
        <is>
          <t>Kings Road Dental Practice</t>
        </is>
      </c>
      <c r="C33" s="16" t="n">
        <v>1768.22</v>
      </c>
      <c r="D33" s="16" t="n">
        <v>2006.93</v>
      </c>
      <c r="E33" s="16" t="n">
        <v>238.71</v>
      </c>
      <c r="F33" s="17" t="n">
        <v>0.1350001696621461</v>
      </c>
      <c r="G33" s="15" t="inlineStr">
        <is>
          <t>Movement within tolerance - no action needed</t>
        </is>
      </c>
      <c r="H33" s="2" t="n"/>
    </row>
    <row r="34">
      <c r="A34" s="15" t="inlineStr">
        <is>
          <t>P23434</t>
        </is>
      </c>
      <c r="B34" s="15" t="inlineStr">
        <is>
          <t>Riverside Dental Practice</t>
        </is>
      </c>
      <c r="C34" s="16" t="n">
        <v>1840.81</v>
      </c>
      <c r="D34" s="16" t="n">
        <v>1625.82</v>
      </c>
      <c r="E34" s="16" t="n">
        <v>-214.99</v>
      </c>
      <c r="F34" s="17" t="n">
        <v>-0.1167909778847355</v>
      </c>
      <c r="G34" s="15" t="inlineStr">
        <is>
          <t>Movement within tolerance - no action needed</t>
        </is>
      </c>
      <c r="H34" s="2" t="n"/>
    </row>
    <row r="35">
      <c r="A35" s="15" t="inlineStr">
        <is>
          <t>P24322</t>
        </is>
      </c>
      <c r="B35" s="15" t="inlineStr">
        <is>
          <t>Riverside Dental Practice</t>
        </is>
      </c>
      <c r="C35" s="16" t="n">
        <v>2560.71</v>
      </c>
      <c r="D35" s="16" t="n">
        <v>2752.76</v>
      </c>
      <c r="E35" s="16" t="n">
        <v>192.05</v>
      </c>
      <c r="F35" s="17" t="n">
        <v>0.07499873082074894</v>
      </c>
      <c r="G35" s="15" t="inlineStr">
        <is>
          <t>Movement within tolerance - no action needed</t>
        </is>
      </c>
      <c r="H35" s="2" t="n"/>
    </row>
    <row r="36">
      <c r="A36" s="15" t="inlineStr">
        <is>
          <t>P81426</t>
        </is>
      </c>
      <c r="B36" s="15" t="inlineStr">
        <is>
          <t>Kings Road Dental Practice</t>
        </is>
      </c>
      <c r="C36" s="16" t="n">
        <v>2410.24</v>
      </c>
      <c r="D36" s="16" t="n">
        <v>2578.93</v>
      </c>
      <c r="E36" s="16" t="n">
        <v>168.69</v>
      </c>
      <c r="F36" s="17" t="n">
        <v>0.06998888077535848</v>
      </c>
      <c r="G36" s="15" t="inlineStr">
        <is>
          <t>Movement within tolerance - no action needed</t>
        </is>
      </c>
      <c r="H36" s="2" t="n"/>
    </row>
    <row r="37">
      <c r="A37" s="15" t="inlineStr">
        <is>
          <t>P84364</t>
        </is>
      </c>
      <c r="B37" s="15" t="inlineStr">
        <is>
          <t>Elm Park Dental Practice</t>
        </is>
      </c>
      <c r="C37" s="16" t="n">
        <v>1831.01</v>
      </c>
      <c r="D37" s="16" t="n">
        <v>1677.29</v>
      </c>
      <c r="E37" s="16" t="n">
        <v>-153.72</v>
      </c>
      <c r="F37" s="17" t="n">
        <v>-0.08395366491717686</v>
      </c>
      <c r="G37" s="15" t="inlineStr">
        <is>
          <t>Movement within tolerance - no action needed</t>
        </is>
      </c>
      <c r="H37" s="2" t="n"/>
    </row>
    <row r="38">
      <c r="A38" s="15" t="inlineStr">
        <is>
          <t>P19508</t>
        </is>
      </c>
      <c r="B38" s="15" t="inlineStr">
        <is>
          <t>Oakfield Dental Practice</t>
        </is>
      </c>
      <c r="C38" s="16" t="n">
        <v>2165.78</v>
      </c>
      <c r="D38" s="16" t="n">
        <v>2319.06</v>
      </c>
      <c r="E38" s="16" t="n">
        <v>153.28</v>
      </c>
      <c r="F38" s="17" t="n">
        <v>0.07077357811042673</v>
      </c>
      <c r="G38" s="15" t="inlineStr">
        <is>
          <t>Movement within tolerance - no action needed</t>
        </is>
      </c>
      <c r="H38" s="2" t="n"/>
    </row>
    <row r="39">
      <c r="A39" s="15" t="inlineStr">
        <is>
          <t>P23396</t>
        </is>
      </c>
      <c r="B39" s="15" t="inlineStr">
        <is>
          <t>Oakfield Dental Practice</t>
        </is>
      </c>
      <c r="C39" s="16" t="n">
        <v>1787.56</v>
      </c>
      <c r="D39" s="16" t="n">
        <v>1940.17</v>
      </c>
      <c r="E39" s="16" t="n">
        <v>152.61</v>
      </c>
      <c r="F39" s="17" t="n">
        <v>0.08537335809707088</v>
      </c>
      <c r="G39" s="15" t="inlineStr">
        <is>
          <t>Movement within tolerance - no action needed</t>
        </is>
      </c>
      <c r="H39" s="2" t="n"/>
    </row>
    <row r="40">
      <c r="A40" s="15" t="inlineStr">
        <is>
          <t>P82603</t>
        </is>
      </c>
      <c r="B40" s="15" t="inlineStr">
        <is>
          <t>Kings Road Dental Practice</t>
        </is>
      </c>
      <c r="C40" s="16" t="n">
        <v>1625.24</v>
      </c>
      <c r="D40" s="16" t="n">
        <v>1771.51</v>
      </c>
      <c r="E40" s="16" t="n">
        <v>146.27</v>
      </c>
      <c r="F40" s="17" t="n">
        <v>0.08999901553001403</v>
      </c>
      <c r="G40" s="15" t="inlineStr">
        <is>
          <t>Movement within tolerance - no action needed</t>
        </is>
      </c>
      <c r="H40" s="2" t="n"/>
    </row>
    <row r="41">
      <c r="A41" s="15" t="inlineStr">
        <is>
          <t>P80697</t>
        </is>
      </c>
      <c r="B41" s="15" t="inlineStr">
        <is>
          <t>Elm Park Dental Practice</t>
        </is>
      </c>
      <c r="C41" s="16" t="n">
        <v>1675.11</v>
      </c>
      <c r="D41" s="16" t="n">
        <v>1817.58</v>
      </c>
      <c r="E41" s="16" t="n">
        <v>142.47</v>
      </c>
      <c r="F41" s="17" t="n">
        <v>0.08505113097050343</v>
      </c>
      <c r="G41" s="15" t="inlineStr">
        <is>
          <t>Movement within tolerance - no action needed</t>
        </is>
      </c>
      <c r="H41" s="2" t="n"/>
    </row>
    <row r="42">
      <c r="A42" s="15" t="inlineStr">
        <is>
          <t>P92719</t>
        </is>
      </c>
      <c r="B42" s="15" t="inlineStr">
        <is>
          <t>Kings Road Dental Practice</t>
        </is>
      </c>
      <c r="C42" s="16" t="n">
        <v>1685.19</v>
      </c>
      <c r="D42" s="16" t="n">
        <v>1811.58</v>
      </c>
      <c r="E42" s="16" t="n">
        <v>126.39</v>
      </c>
      <c r="F42" s="17" t="n">
        <v>0.07500044505367347</v>
      </c>
      <c r="G42" s="15" t="inlineStr">
        <is>
          <t>Movement within tolerance - no action needed</t>
        </is>
      </c>
      <c r="H42" s="2" t="n"/>
    </row>
    <row r="43">
      <c r="A43" s="15" t="inlineStr">
        <is>
          <t>P92397</t>
        </is>
      </c>
      <c r="B43" s="15" t="inlineStr">
        <is>
          <t>Oakfield Dental Practice</t>
        </is>
      </c>
      <c r="C43" s="16" t="n">
        <v>1541.84</v>
      </c>
      <c r="D43" s="16" t="n">
        <v>1438.52</v>
      </c>
      <c r="E43" s="16" t="n">
        <v>-103.32</v>
      </c>
      <c r="F43" s="17" t="n">
        <v>-0.06701084418616718</v>
      </c>
      <c r="G43" s="15" t="inlineStr">
        <is>
          <t>Movement within tolerance - no action needed</t>
        </is>
      </c>
      <c r="H43" s="2" t="n"/>
    </row>
    <row r="44">
      <c r="A44" s="15" t="inlineStr">
        <is>
          <t>P15695</t>
        </is>
      </c>
      <c r="B44" s="15" t="inlineStr">
        <is>
          <t>Riverside Dental Practice</t>
        </is>
      </c>
      <c r="C44" s="16" t="n">
        <v>2925.49</v>
      </c>
      <c r="D44" s="16" t="n">
        <v>3023.81</v>
      </c>
      <c r="E44" s="16" t="n">
        <v>98.31999999999999</v>
      </c>
      <c r="F44" s="17" t="n">
        <v>0.0336080451479923</v>
      </c>
      <c r="G44" s="15" t="inlineStr">
        <is>
          <t>Movement within tolerance - no action needed</t>
        </is>
      </c>
      <c r="H44" s="2" t="n"/>
    </row>
    <row r="45">
      <c r="A45" s="15" t="inlineStr">
        <is>
          <t>P32431</t>
        </is>
      </c>
      <c r="B45" s="15" t="inlineStr">
        <is>
          <t>Elm Park Dental Practice</t>
        </is>
      </c>
      <c r="C45" s="16" t="n">
        <v>2566.46</v>
      </c>
      <c r="D45" s="16" t="n">
        <v>2657.21</v>
      </c>
      <c r="E45" s="16" t="n">
        <v>90.75</v>
      </c>
      <c r="F45" s="17" t="n">
        <v>0.03535999002517086</v>
      </c>
      <c r="G45" s="15" t="inlineStr">
        <is>
          <t>Movement within tolerance - no action needed</t>
        </is>
      </c>
      <c r="H45" s="2" t="n"/>
    </row>
    <row r="46">
      <c r="A46" s="15" t="inlineStr">
        <is>
          <t>P97841</t>
        </is>
      </c>
      <c r="B46" s="15" t="inlineStr">
        <is>
          <t>Elm Park Dental Practice</t>
        </is>
      </c>
      <c r="C46" s="16" t="n">
        <v>1692.78</v>
      </c>
      <c r="D46" s="16" t="n">
        <v>1613.4</v>
      </c>
      <c r="E46" s="16" t="n">
        <v>-79.38</v>
      </c>
      <c r="F46" s="17" t="n">
        <v>-0.04689327614929287</v>
      </c>
      <c r="G46" s="15" t="inlineStr">
        <is>
          <t>Movement within tolerance - no action needed</t>
        </is>
      </c>
      <c r="H46" s="2" t="n"/>
    </row>
    <row r="47">
      <c r="A47" s="15" t="inlineStr">
        <is>
          <t>P36365</t>
        </is>
      </c>
      <c r="B47" s="15" t="inlineStr">
        <is>
          <t>Hakim Group Head Office</t>
        </is>
      </c>
      <c r="C47" s="16" t="n">
        <v>3135.85</v>
      </c>
      <c r="D47" s="16" t="n">
        <v>3208.48</v>
      </c>
      <c r="E47" s="16" t="n">
        <v>72.63</v>
      </c>
      <c r="F47" s="17" t="n">
        <v>0.02316118436787474</v>
      </c>
      <c r="G47" s="15" t="inlineStr">
        <is>
          <t>Movement within tolerance - no action needed</t>
        </is>
      </c>
      <c r="H47" s="2" t="n"/>
    </row>
    <row r="48">
      <c r="A48" s="15" t="inlineStr">
        <is>
          <t>P22280</t>
        </is>
      </c>
      <c r="B48" s="15" t="inlineStr">
        <is>
          <t>Hakim Group Head Office</t>
        </is>
      </c>
      <c r="C48" s="16" t="n">
        <v>2462.89</v>
      </c>
      <c r="D48" s="16" t="n">
        <v>2400.62</v>
      </c>
      <c r="E48" s="16" t="n">
        <v>-62.27</v>
      </c>
      <c r="F48" s="17" t="n">
        <v>-0.02528330538513698</v>
      </c>
      <c r="G48" s="15" t="inlineStr">
        <is>
          <t>Movement within tolerance - no action needed</t>
        </is>
      </c>
      <c r="H48" s="2" t="n"/>
    </row>
    <row r="49">
      <c r="A49" s="15" t="inlineStr">
        <is>
          <t>P11504</t>
        </is>
      </c>
      <c r="B49" s="15" t="inlineStr">
        <is>
          <t>Hakim Group Head Office</t>
        </is>
      </c>
      <c r="C49" s="16" t="n">
        <v>2352.41</v>
      </c>
      <c r="D49" s="16" t="n">
        <v>2412.25</v>
      </c>
      <c r="E49" s="16" t="n">
        <v>59.84</v>
      </c>
      <c r="F49" s="17" t="n">
        <v>0.02543774257038527</v>
      </c>
      <c r="G49" s="15" t="inlineStr">
        <is>
          <t>Movement within tolerance - no action needed</t>
        </is>
      </c>
      <c r="H49" s="2" t="n"/>
    </row>
    <row r="50">
      <c r="A50" s="15" t="inlineStr">
        <is>
          <t>P91959</t>
        </is>
      </c>
      <c r="B50" s="15" t="inlineStr">
        <is>
          <t>Hakim Group Head Office</t>
        </is>
      </c>
      <c r="C50" s="16" t="n">
        <v>2313.83</v>
      </c>
      <c r="D50" s="16" t="n">
        <v>2264.65</v>
      </c>
      <c r="E50" s="16" t="n">
        <v>-49.18</v>
      </c>
      <c r="F50" s="17" t="n">
        <v>-0.02125480264323654</v>
      </c>
      <c r="G50" s="15" t="inlineStr">
        <is>
          <t>Movement within tolerance - no action needed</t>
        </is>
      </c>
      <c r="H50" s="2" t="n"/>
    </row>
    <row r="51">
      <c r="A51" s="15" t="inlineStr">
        <is>
          <t>P17331</t>
        </is>
      </c>
      <c r="B51" s="15" t="inlineStr">
        <is>
          <t>Hakim Group Head Office</t>
        </is>
      </c>
      <c r="C51" s="16" t="n">
        <v>2632.31</v>
      </c>
      <c r="D51" s="16" t="n">
        <v>2681.04</v>
      </c>
      <c r="E51" s="16" t="n">
        <v>48.73</v>
      </c>
      <c r="F51" s="17" t="n">
        <v>0.01851225729492347</v>
      </c>
      <c r="G51" s="15" t="inlineStr">
        <is>
          <t>Movement within tolerance - no action needed</t>
        </is>
      </c>
      <c r="H51" s="2" t="n"/>
    </row>
    <row r="52">
      <c r="A52" s="15" t="inlineStr">
        <is>
          <t>P24371</t>
        </is>
      </c>
      <c r="B52" s="15" t="inlineStr">
        <is>
          <t>Hakim Group Head Office</t>
        </is>
      </c>
      <c r="C52" s="16" t="n">
        <v>1563.64</v>
      </c>
      <c r="D52" s="16" t="n">
        <v>1525.4</v>
      </c>
      <c r="E52" s="16" t="n">
        <v>-38.24</v>
      </c>
      <c r="F52" s="17" t="n">
        <v>-0.0244557570796347</v>
      </c>
      <c r="G52" s="15" t="inlineStr">
        <is>
          <t>Movement within tolerance - no action needed</t>
        </is>
      </c>
      <c r="H52" s="2" t="n"/>
    </row>
    <row r="53">
      <c r="A53" s="15" t="inlineStr">
        <is>
          <t>P86622</t>
        </is>
      </c>
      <c r="B53" s="15" t="inlineStr">
        <is>
          <t>Kings Road Dental Practice</t>
        </is>
      </c>
      <c r="C53" s="16" t="n">
        <v>2740.98</v>
      </c>
      <c r="D53" s="16" t="n">
        <v>2775.6</v>
      </c>
      <c r="E53" s="16" t="n">
        <v>34.62</v>
      </c>
      <c r="F53" s="17" t="n">
        <v>0.01263051901144846</v>
      </c>
      <c r="G53" s="15" t="inlineStr">
        <is>
          <t>Movement within tolerance - no action needed</t>
        </is>
      </c>
      <c r="H53" s="2" t="n"/>
    </row>
    <row r="54">
      <c r="A54" s="15" t="inlineStr">
        <is>
          <t>P16006</t>
        </is>
      </c>
      <c r="B54" s="15" t="inlineStr">
        <is>
          <t>Hakim Group Head Office</t>
        </is>
      </c>
      <c r="C54" s="16" t="n">
        <v>2439.23</v>
      </c>
      <c r="D54" s="16" t="n">
        <v>2466.18</v>
      </c>
      <c r="E54" s="16" t="n">
        <v>26.95</v>
      </c>
      <c r="F54" s="17" t="n">
        <v>0.01104856860566654</v>
      </c>
      <c r="G54" s="15" t="inlineStr">
        <is>
          <t>Movement within tolerance - no action needed</t>
        </is>
      </c>
      <c r="H54" s="2" t="n"/>
    </row>
    <row r="55">
      <c r="A55" s="15" t="inlineStr">
        <is>
          <t>P44814</t>
        </is>
      </c>
      <c r="B55" s="15" t="inlineStr">
        <is>
          <t>Elm Park Dental Practice</t>
        </is>
      </c>
      <c r="C55" s="16" t="n">
        <v>2335.78</v>
      </c>
      <c r="D55" s="16" t="n">
        <v>2314.39</v>
      </c>
      <c r="E55" s="16" t="n">
        <v>-21.39</v>
      </c>
      <c r="F55" s="17" t="n">
        <v>-0.009157540521795716</v>
      </c>
      <c r="G55" s="15" t="inlineStr">
        <is>
          <t>Movement within tolerance - no action needed</t>
        </is>
      </c>
      <c r="H55" s="2" t="n"/>
    </row>
    <row r="56">
      <c r="A56" s="15" t="inlineStr">
        <is>
          <t>P25860</t>
        </is>
      </c>
      <c r="B56" s="15" t="inlineStr">
        <is>
          <t>Elm Park Dental Practice</t>
        </is>
      </c>
      <c r="C56" s="16" t="n">
        <v>2188.58</v>
      </c>
      <c r="D56" s="16" t="n">
        <v>2201.04</v>
      </c>
      <c r="E56" s="16" t="n">
        <v>12.46</v>
      </c>
      <c r="F56" s="17" t="n">
        <v>0.005693189191165049</v>
      </c>
      <c r="G56" s="15" t="inlineStr">
        <is>
          <t>Movement within tolerance - no action needed</t>
        </is>
      </c>
      <c r="H56" s="2" t="n"/>
    </row>
    <row r="57">
      <c r="A57" s="15" t="inlineStr">
        <is>
          <t>P93886</t>
        </is>
      </c>
      <c r="B57" s="15" t="inlineStr">
        <is>
          <t>Hakim Group Head Office</t>
        </is>
      </c>
      <c r="C57" s="16" t="n">
        <v>1694.12</v>
      </c>
      <c r="D57" s="16" t="n">
        <v>1683.1</v>
      </c>
      <c r="E57" s="16" t="n">
        <v>-11.02</v>
      </c>
      <c r="F57" s="17" t="n">
        <v>-0.006504852076594338</v>
      </c>
      <c r="G57" s="15" t="inlineStr">
        <is>
          <t>Movement within tolerance - no action needed</t>
        </is>
      </c>
      <c r="H57" s="2" t="n"/>
    </row>
    <row r="58">
      <c r="A58" s="15" t="inlineStr">
        <is>
          <t>P24662</t>
        </is>
      </c>
      <c r="B58" s="15" t="inlineStr">
        <is>
          <t>Hakim Group Head Office</t>
        </is>
      </c>
      <c r="C58" s="16" t="n">
        <v>2478.1</v>
      </c>
      <c r="D58" s="16" t="n">
        <v>2476.58</v>
      </c>
      <c r="E58" s="16" t="n">
        <v>-1.52</v>
      </c>
      <c r="F58" s="17" t="n">
        <v>-0.0006133731487833422</v>
      </c>
      <c r="G58" s="15" t="inlineStr">
        <is>
          <t>Movement within tolerance - no action needed</t>
        </is>
      </c>
      <c r="H58" s="2" t="n"/>
    </row>
    <row r="59">
      <c r="A59" s="15" t="inlineStr">
        <is>
          <t>P71993</t>
        </is>
      </c>
      <c r="B59" s="15" t="inlineStr">
        <is>
          <t>Hakim Group Head Office</t>
        </is>
      </c>
      <c r="C59" s="16" t="n">
        <v>1891.6</v>
      </c>
      <c r="D59" s="16" t="n">
        <v>1891.6</v>
      </c>
      <c r="E59" s="16" t="n">
        <v>0</v>
      </c>
      <c r="F59" s="17" t="n">
        <v>0</v>
      </c>
      <c r="G59" s="15" t="inlineStr">
        <is>
          <t>Movement within tolerance - no action needed</t>
        </is>
      </c>
      <c r="H59" s="2" t="n"/>
    </row>
    <row r="60">
      <c r="A60" s="15" t="inlineStr">
        <is>
          <t>P40828</t>
        </is>
      </c>
      <c r="B60" s="15" t="inlineStr">
        <is>
          <t>Riverside Dental Practice</t>
        </is>
      </c>
      <c r="C60" s="16" t="n">
        <v>477.27</v>
      </c>
      <c r="D60" s="16" t="n">
        <v>674.3</v>
      </c>
      <c r="E60" s="16" t="n">
        <v>197.03</v>
      </c>
      <c r="F60" s="17" t="n">
        <v>0.4128271209168815</v>
      </c>
      <c r="G60" s="15" t="inlineStr">
        <is>
          <t>Zero hours contract - variable pay, not reviewed</t>
        </is>
      </c>
      <c r="H60" s="2" t="n"/>
    </row>
    <row r="61">
      <c r="A61" s="15" t="inlineStr">
        <is>
          <t>P42271</t>
        </is>
      </c>
      <c r="B61" s="15" t="inlineStr">
        <is>
          <t>Oakfield Dental Practice</t>
        </is>
      </c>
      <c r="C61" s="16" t="n">
        <v>215.94</v>
      </c>
      <c r="D61" s="16" t="n">
        <v>374.74</v>
      </c>
      <c r="E61" s="16" t="n">
        <v>158.8</v>
      </c>
      <c r="F61" s="17" t="n">
        <v>0.735389460035195</v>
      </c>
      <c r="G61" s="15" t="inlineStr">
        <is>
          <t>Zero hours contract - variable pay, not reviewed</t>
        </is>
      </c>
      <c r="H61" s="2" t="n"/>
    </row>
    <row r="62">
      <c r="A62" s="15" t="inlineStr">
        <is>
          <t>P34356</t>
        </is>
      </c>
      <c r="B62" s="15" t="inlineStr">
        <is>
          <t>Kings Road Dental Practice</t>
        </is>
      </c>
      <c r="C62" s="16" t="n">
        <v>181.28</v>
      </c>
      <c r="D62" s="16" t="n">
        <v>210.61</v>
      </c>
      <c r="E62" s="16" t="n">
        <v>29.33</v>
      </c>
      <c r="F62" s="17" t="n">
        <v>0.1617939099735216</v>
      </c>
      <c r="G62" s="15" t="inlineStr">
        <is>
          <t>Zero hours contract - variable pay, not reviewed</t>
        </is>
      </c>
      <c r="H62" s="2" t="n"/>
    </row>
    <row r="63">
      <c r="A63" s="15" t="inlineStr">
        <is>
          <t>P86503</t>
        </is>
      </c>
      <c r="B63" s="15" t="inlineStr">
        <is>
          <t>Riverside Dental Practice</t>
        </is>
      </c>
      <c r="C63" s="16" t="n">
        <v>490.66</v>
      </c>
      <c r="D63" s="16" t="n">
        <v>504.81</v>
      </c>
      <c r="E63" s="16" t="n">
        <v>14.15</v>
      </c>
      <c r="F63" s="17" t="n">
        <v>0.0288387070476501</v>
      </c>
      <c r="G63" s="15" t="inlineStr">
        <is>
          <t>Zero hours contract - variable pay, not reviewed</t>
        </is>
      </c>
      <c r="H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</row>
  </sheetData>
  <autoFilter ref="A3:G63"/>
  <mergeCells count="2">
    <mergeCell ref="A2:G2"/>
    <mergeCell ref="A1:G1"/>
  </mergeCells>
  <conditionalFormatting sqref="A4:G63">
    <cfRule type="expression" priority="1" dxfId="0">
      <formula>$G4="Review required"</formula>
    </cfRule>
  </conditionalFormatting>
  <conditionalFormatting sqref="G4:G63">
    <cfRule type="expression" priority="2" dxfId="0">
      <formula>LEFT($G4,16)="Review required"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D315D"/>
    <outlinePr summaryBelow="1" summaryRight="1"/>
    <pageSetUpPr/>
  </sheetPr>
  <dimension ref="A1:L5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</cols>
  <sheetData>
    <row r="1">
      <c r="A1" s="1" t="inlineStr">
        <is>
          <t>Expenses - Current Month</t>
        </is>
      </c>
      <c r="K1" s="2" t="n"/>
      <c r="L1" s="2" t="n"/>
    </row>
    <row r="2">
      <c r="A2" s="14" t="inlineStr">
        <is>
          <t>Mileage Expenses element found for this payroll and is included below.</t>
        </is>
      </c>
      <c r="K2" s="2" t="n"/>
      <c r="L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7" t="inlineStr">
        <is>
          <t>By practice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2" customHeight="1">
      <c r="A5" s="8" t="inlineStr">
        <is>
          <t>Practice</t>
        </is>
      </c>
      <c r="B5" s="8" t="inlineStr">
        <is>
          <t>Total Expenses £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</row>
    <row r="6">
      <c r="A6" s="9" t="inlineStr">
        <is>
          <t>Kings Road Dental Practice</t>
        </is>
      </c>
      <c r="B6" s="18" t="n">
        <v>3403.27</v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7" t="inlineStr">
        <is>
          <t>By staff type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</row>
    <row r="10" ht="22" customHeight="1">
      <c r="A10" s="8" t="inlineStr">
        <is>
          <t>Category</t>
        </is>
      </c>
      <c r="B10" s="8" t="inlineStr">
        <is>
          <t>Total Expenses £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>
      <c r="A11" s="9" t="inlineStr">
        <is>
          <t>Practice Support</t>
        </is>
      </c>
      <c r="B11" s="18" t="n">
        <v>3403.27</v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7" t="inlineStr">
        <is>
          <t>Top positions claiming expenses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 ht="22" customHeight="1">
      <c r="A32" s="8" t="inlineStr">
        <is>
          <t>Position Name</t>
        </is>
      </c>
      <c r="B32" s="8" t="inlineStr">
        <is>
          <t>Claimant Count</t>
        </is>
      </c>
      <c r="C32" s="8" t="inlineStr">
        <is>
          <t>Total Expenses £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9" t="inlineStr">
        <is>
          <t>Practice Administrator</t>
        </is>
      </c>
      <c r="B33" s="19" t="n">
        <v>1</v>
      </c>
      <c r="C33" s="18" t="n">
        <v>3403.27</v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</sheetData>
  <mergeCells count="2">
    <mergeCell ref="A1:J1"/>
    <mergeCell ref="A2:J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2026-08-23T10:07:35Z</dcterms:created>
  <dcterms:modified xsi:type="dcterms:W3CDTF">2026-08-23T10:07:35Z</dcterms:modified>
</cp:coreProperties>
</file>
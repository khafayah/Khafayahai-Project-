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ll Employees" sheetId="2" state="visible" r:id="rId4"/>
    <sheet name="Expenses" sheetId="3" state="visible" r:id="rId5"/>
  </sheets>
  <definedNames>
    <definedName function="false" hidden="true" localSheetId="1" name="_xlnm._FilterDatabase" vbProcedure="false">'All Employees'!$A$3:$G$63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<sst xmlns="http://schemas.openxmlformats.org/spreadsheetml/2006/main" count="268" uniqueCount="119">
  <si>
    <t xml:space="preserve">Hakim Group  |  Payroll SLT Pack</t>
  </si>
  <si>
    <t xml:space="preserve">Employees compared</t>
  </si>
  <si>
    <t xml:space="preserve">Prior net pay</t>
  </si>
  <si>
    <t xml:space="preserve">Current net pay</t>
  </si>
  <si>
    <t xml:space="preserve">Net movement</t>
  </si>
  <si>
    <t xml:space="preserve">Over tolerance</t>
  </si>
  <si>
    <t xml:space="preserve">Review required</t>
  </si>
  <si>
    <t xml:space="preserve">Status breakdown</t>
  </si>
  <si>
    <t xml:space="preserve">Review causes</t>
  </si>
  <si>
    <t xml:space="preserve">Status</t>
  </si>
  <si>
    <t xml:space="preserve">Count</t>
  </si>
  <si>
    <t xml:space="preserve">Cause</t>
  </si>
  <si>
    <t xml:space="preserve">Basic Salary</t>
  </si>
  <si>
    <t xml:space="preserve">Explained (starter/leaver/transfer)</t>
  </si>
  <si>
    <t xml:space="preserve">Mileage Expenses</t>
  </si>
  <si>
    <t xml:space="preserve">OK - within tolerance</t>
  </si>
  <si>
    <t xml:space="preserve">Unsocial Hours Premium</t>
  </si>
  <si>
    <t xml:space="preserve">Zero hours</t>
  </si>
  <si>
    <t xml:space="preserve">On Call Allowance</t>
  </si>
  <si>
    <t xml:space="preserve">Top review movements</t>
  </si>
  <si>
    <t xml:space="preserve">Payroll Number</t>
  </si>
  <si>
    <t xml:space="preserve">Practice</t>
  </si>
  <si>
    <t xml:space="preserve">Difference £</t>
  </si>
  <si>
    <t xml:space="preserve">Priority</t>
  </si>
  <si>
    <t xml:space="preserve">P73092</t>
  </si>
  <si>
    <t xml:space="preserve">Kings Road Dental Practice</t>
  </si>
  <si>
    <t xml:space="preserve">High</t>
  </si>
  <si>
    <t xml:space="preserve">P84847</t>
  </si>
  <si>
    <t xml:space="preserve">P97538</t>
  </si>
  <si>
    <t xml:space="preserve">Elm Park Dental Practice</t>
  </si>
  <si>
    <t xml:space="preserve">P81200</t>
  </si>
  <si>
    <t xml:space="preserve">P16630</t>
  </si>
  <si>
    <t xml:space="preserve">Hakim Group Head Office</t>
  </si>
  <si>
    <t xml:space="preserve">P22224</t>
  </si>
  <si>
    <t xml:space="preserve">P94696</t>
  </si>
  <si>
    <t xml:space="preserve">Oakfield Dental Practice</t>
  </si>
  <si>
    <t xml:space="preserve">Medium</t>
  </si>
  <si>
    <t xml:space="preserve">P56438</t>
  </si>
  <si>
    <t xml:space="preserve">P73624</t>
  </si>
  <si>
    <t xml:space="preserve">Low</t>
  </si>
  <si>
    <t xml:space="preserve">Assurance: 56 payroll records compared. Total Gross moved from £173,430 to £173,634. Employer NI £23,933 -&gt; £23,096, Employer Pension £8,672 -&gt; £8,368, Apprenticeship Levy £867 -&gt; £837. Prior records 54, current records 54 (headcount reconciles).</t>
  </si>
  <si>
    <t xml:space="preserve">All Employees - Payroll Numbers Only</t>
  </si>
  <si>
    <t xml:space="preserve">GDPR: no employee names are held in this pack. Sorted review-first.</t>
  </si>
  <si>
    <t xml:space="preserve">Prior Net</t>
  </si>
  <si>
    <t xml:space="preserve">Current Net</t>
  </si>
  <si>
    <t xml:space="preserve">Difference %</t>
  </si>
  <si>
    <t xml:space="preserve">Reason</t>
  </si>
  <si>
    <t xml:space="preserve">Review required - main driver: Mileage Expenses</t>
  </si>
  <si>
    <t xml:space="preserve">Review required - main driver: Basic Salary</t>
  </si>
  <si>
    <t xml:space="preserve">Review required - main driver: On Call Allowance</t>
  </si>
  <si>
    <t xml:space="preserve">Review required - main driver: Unsocial Hours Premium</t>
  </si>
  <si>
    <t xml:space="preserve">P19602</t>
  </si>
  <si>
    <t xml:space="preserve">Riverside Dental Practice</t>
  </si>
  <si>
    <t xml:space="preserve">Pay moved to a different payroll record for this person</t>
  </si>
  <si>
    <t xml:space="preserve">P80468</t>
  </si>
  <si>
    <t xml:space="preserve">New starter this period</t>
  </si>
  <si>
    <t xml:space="preserve">P79615</t>
  </si>
  <si>
    <t xml:space="preserve">Leaver this period</t>
  </si>
  <si>
    <t xml:space="preserve">P17492</t>
  </si>
  <si>
    <t xml:space="preserve">P55745</t>
  </si>
  <si>
    <t xml:space="preserve">P19016</t>
  </si>
  <si>
    <t xml:space="preserve">P69638</t>
  </si>
  <si>
    <t xml:space="preserve">P48890</t>
  </si>
  <si>
    <t xml:space="preserve">P31579</t>
  </si>
  <si>
    <t xml:space="preserve">P30926</t>
  </si>
  <si>
    <t xml:space="preserve">Movement within tolerance - no action needed</t>
  </si>
  <si>
    <t xml:space="preserve">P79822</t>
  </si>
  <si>
    <t xml:space="preserve">P59823</t>
  </si>
  <si>
    <t xml:space="preserve">P79163</t>
  </si>
  <si>
    <t xml:space="preserve">P28131</t>
  </si>
  <si>
    <t xml:space="preserve">P44522</t>
  </si>
  <si>
    <t xml:space="preserve">P60019</t>
  </si>
  <si>
    <t xml:space="preserve">P84341</t>
  </si>
  <si>
    <t xml:space="preserve">P19287</t>
  </si>
  <si>
    <t xml:space="preserve">P70142</t>
  </si>
  <si>
    <t xml:space="preserve">P54587</t>
  </si>
  <si>
    <t xml:space="preserve">P34050</t>
  </si>
  <si>
    <t xml:space="preserve">P23434</t>
  </si>
  <si>
    <t xml:space="preserve">P24322</t>
  </si>
  <si>
    <t xml:space="preserve">P81426</t>
  </si>
  <si>
    <t xml:space="preserve">P84364</t>
  </si>
  <si>
    <t xml:space="preserve">P19508</t>
  </si>
  <si>
    <t xml:space="preserve">P23396</t>
  </si>
  <si>
    <t xml:space="preserve">P82603</t>
  </si>
  <si>
    <t xml:space="preserve">P80697</t>
  </si>
  <si>
    <t xml:space="preserve">P92719</t>
  </si>
  <si>
    <t xml:space="preserve">P92397</t>
  </si>
  <si>
    <t xml:space="preserve">P15695</t>
  </si>
  <si>
    <t xml:space="preserve">P32431</t>
  </si>
  <si>
    <t xml:space="preserve">P97841</t>
  </si>
  <si>
    <t xml:space="preserve">P36365</t>
  </si>
  <si>
    <t xml:space="preserve">P22280</t>
  </si>
  <si>
    <t xml:space="preserve">P11504</t>
  </si>
  <si>
    <t xml:space="preserve">P91959</t>
  </si>
  <si>
    <t xml:space="preserve">P17331</t>
  </si>
  <si>
    <t xml:space="preserve">P24371</t>
  </si>
  <si>
    <t xml:space="preserve">P86622</t>
  </si>
  <si>
    <t xml:space="preserve">P16006</t>
  </si>
  <si>
    <t xml:space="preserve">P44814</t>
  </si>
  <si>
    <t xml:space="preserve">P25860</t>
  </si>
  <si>
    <t xml:space="preserve">P93886</t>
  </si>
  <si>
    <t xml:space="preserve">P24662</t>
  </si>
  <si>
    <t xml:space="preserve">P71993</t>
  </si>
  <si>
    <t xml:space="preserve">P40828</t>
  </si>
  <si>
    <t xml:space="preserve">Zero hours contract - variable pay, not reviewed</t>
  </si>
  <si>
    <t xml:space="preserve">P42271</t>
  </si>
  <si>
    <t xml:space="preserve">P34356</t>
  </si>
  <si>
    <t xml:space="preserve">P86503</t>
  </si>
  <si>
    <t xml:space="preserve">Expenses - Current Month</t>
  </si>
  <si>
    <t xml:space="preserve">Mileage Expenses element found for this payroll and is included below.</t>
  </si>
  <si>
    <t xml:space="preserve">By practice</t>
  </si>
  <si>
    <t xml:space="preserve">Total Expenses £</t>
  </si>
  <si>
    <t xml:space="preserve">By staff type</t>
  </si>
  <si>
    <t xml:space="preserve">Category</t>
  </si>
  <si>
    <t xml:space="preserve">Practice Support</t>
  </si>
  <si>
    <t xml:space="preserve">Top positions claiming expenses</t>
  </si>
  <si>
    <t xml:space="preserve">Position Name</t>
  </si>
  <si>
    <t xml:space="preserve">Claimant Count</t>
  </si>
  <si>
    <t xml:space="preserve">Practice Administrator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</si>
</sst>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£#,##0"/>
    <numFmt numFmtId="167" formatCode="&quot;+£&quot;#,##0;&quot;-£&quot;#,##0"/>
    <numFmt numFmtId="168" formatCode="\£#,##0.00"/>
    <numFmt numFmtId="169" formatCode="#,##0.00"/>
    <numFmt numFmtId="170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"/>
      <family val="0"/>
      <charset val="1"/>
    </font>
    <font>
      <sz val="10"/>
      <color rgb="FFFFFFFF"/>
      <name val="Aptos"/>
      <family val="0"/>
      <charset val="1"/>
    </font>
    <font>
      <b val="true"/>
      <sz val="20"/>
      <color rgb="FFFFFFFF"/>
      <name val="Aptos"/>
      <family val="0"/>
      <charset val="1"/>
    </font>
    <font>
      <b val="true"/>
      <sz val="11"/>
      <color rgb="FF3D315D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0"/>
      <color rgb="FF000000"/>
      <name val="Aptos"/>
      <family val="0"/>
      <charset val="1"/>
    </font>
    <font>
      <i val="true"/>
      <sz val="10"/>
      <color rgb="FFFFFFFF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595959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D315D"/>
        <bgColor rgb="FF333300"/>
      </patternFill>
    </fill>
    <fill>
      <patternFill patternType="solid">
        <fgColor rgb="FFF7F7F7"/>
        <bgColor rgb="FFFFFFFF"/>
      </patternFill>
    </fill>
    <fill>
      <patternFill patternType="solid">
        <fgColor rgb="FF66609B"/>
        <bgColor rgb="FF8064A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ptos"/>
        <charset val="1"/>
        <family val="0"/>
        <b val="1"/>
        <color rgb="FFC00000"/>
      </font>
      <fill>
        <patternFill>
          <bgColor rgb="FFFBE1EC"/>
        </patternFill>
      </fill>
    </dxf>
    <dxf>
      <fill>
        <patternFill patternType="solid">
          <fgColor rgb="FF3D315D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7F7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1EC"/>
      <rgbColor rgb="FF4F81BD"/>
      <rgbColor rgb="FF33CCCC"/>
      <rgbColor rgb="FF9BBB59"/>
      <rgbColor rgb="FFFFCC00"/>
      <rgbColor rgb="FFFF9900"/>
      <rgbColor rgb="FFFF6600"/>
      <rgbColor rgb="FF66609B"/>
      <rgbColor rgb="FF8064A2"/>
      <rgbColor rgb="FF003366"/>
      <rgbColor rgb="FF339966"/>
      <rgbColor rgb="FF003300"/>
      <rgbColor rgb="FF333300"/>
      <rgbColor rgb="FF993300"/>
      <rgbColor rgb="FF993366"/>
      <rgbColor rgb="FF595959"/>
      <rgbColor rgb="FF3D315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Dashboard!B11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Dashboard!$A$12:$A$15</c:f>
              <c:strCache>
                <c:ptCount val="4"/>
                <c:pt idx="0">
                  <c:v>Review required</c:v>
                </c:pt>
                <c:pt idx="1">
                  <c:v>Explained (starter/leaver/transfer)</c:v>
                </c:pt>
                <c:pt idx="2">
                  <c:v>OK - within tolerance</c:v>
                </c:pt>
                <c:pt idx="3">
                  <c:v>Zero hours</c:v>
                </c:pt>
              </c:strCache>
            </c:strRef>
          </c:cat>
          <c:val>
            <c:numRef>
              <c:f>Dashboard!$B$12:$B$15</c:f>
              <c:numCache>
                <c:formatCode>#,##0</c:formatCode>
                <c:ptCount val="4"/>
                <c:pt idx="0">
                  <c:v>9</c:v>
                </c:pt>
                <c:pt idx="1">
                  <c:v>12</c:v>
                </c:pt>
                <c:pt idx="2">
                  <c:v>35</c:v>
                </c:pt>
                <c:pt idx="3">
                  <c:v>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 causes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Dashboard!J11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Dashboard!$I$12:$I$15</c:f>
              <c:strCache>
                <c:ptCount val="4"/>
                <c:pt idx="0">
                  <c:v>Basic Salary</c:v>
                </c:pt>
                <c:pt idx="1">
                  <c:v>Mileage Expenses</c:v>
                </c:pt>
                <c:pt idx="2">
                  <c:v>Unsocial Hours Premium</c:v>
                </c:pt>
                <c:pt idx="3">
                  <c:v>On Call Allowance</c:v>
                </c:pt>
              </c:strCache>
            </c:strRef>
          </c:cat>
          <c:val>
            <c:numRef>
              <c:f>Dashboard!$J$12:$J$15</c:f>
              <c:numCache>
                <c:formatCode>#,##0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97075477"/>
        <c:axId val="25079102"/>
      </c:barChart>
      <c:catAx>
        <c:axId val="970754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79102"/>
        <c:crosses val="autoZero"/>
        <c:auto val="1"/>
        <c:lblAlgn val="ctr"/>
        <c:lblOffset val="100"/>
        <c:noMultiLvlLbl val="0"/>
      </c:catAx>
      <c:valAx>
        <c:axId val="250791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754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 by practice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Expenses!B5</c:f>
              <c:strCache>
                <c:ptCount val="1"/>
                <c:pt idx="0">
                  <c:v>Total Expenses £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Expenses!$A$6</c:f>
              <c:strCache>
                <c:ptCount val="1"/>
                <c:pt idx="0">
                  <c:v>Kings Road Dental Practice</c:v>
                </c:pt>
              </c:strCache>
            </c:strRef>
          </c:cat>
          <c:val>
            <c:numRef>
              <c:f>Expenses!$B$6</c:f>
              <c:numCache>
                <c:formatCode>\£#,##0.00</c:formatCode>
                <c:ptCount val="1"/>
                <c:pt idx="0">
                  <c:v>3403.27</c:v>
                </c:pt>
              </c:numCache>
            </c:numRef>
          </c:val>
        </c:ser>
        <c:gapWidth val="150"/>
        <c:overlap val="0"/>
        <c:axId val="30698537"/>
        <c:axId val="9986091"/>
      </c:barChart>
      <c:catAx>
        <c:axId val="306985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6091"/>
        <c:crosses val="autoZero"/>
        <c:auto val="1"/>
        <c:lblAlgn val="ctr"/>
        <c:lblOffset val="100"/>
        <c:noMultiLvlLbl val="0"/>
      </c:catAx>
      <c:valAx>
        <c:axId val="9986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98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 by staff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Expenses!B10</c:f>
              <c:strCache>
                <c:ptCount val="1"/>
                <c:pt idx="0">
                  <c:v>Total Expenses £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Expenses!$A$11</c:f>
              <c:strCache>
                <c:ptCount val="1"/>
                <c:pt idx="0">
                  <c:v>Practice Support</c:v>
                </c:pt>
              </c:strCache>
            </c:strRef>
          </c:cat>
          <c:val>
            <c:numRef>
              <c:f>Expenses!$B$11</c:f>
              <c:numCache>
                <c:formatCode>\£#,##0.00</c:formatCode>
                <c:ptCount val="1"/>
                <c:pt idx="0">
                  <c:v>3403.27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0</xdr:rowOff>
    </xdr:from>
    <xdr:to>
      <xdr:col>6</xdr:col>
      <xdr:colOff>399240</xdr:colOff>
      <xdr:row>23</xdr:row>
      <xdr:rowOff>41400</xdr:rowOff>
    </xdr:to>
    <xdr:graphicFrame>
      <xdr:nvGraphicFramePr>
        <xdr:cNvPr id="0" name="Chart 1"/>
        <xdr:cNvGraphicFramePr/>
      </xdr:nvGraphicFramePr>
      <xdr:xfrm>
        <a:off x="3200400" y="209556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9</xdr:row>
      <xdr:rowOff>0</xdr:rowOff>
    </xdr:from>
    <xdr:to>
      <xdr:col>14</xdr:col>
      <xdr:colOff>399240</xdr:colOff>
      <xdr:row>23</xdr:row>
      <xdr:rowOff>41400</xdr:rowOff>
    </xdr:to>
    <xdr:graphicFrame>
      <xdr:nvGraphicFramePr>
        <xdr:cNvPr id="1" name="Chart 2"/>
        <xdr:cNvGraphicFramePr/>
      </xdr:nvGraphicFramePr>
      <xdr:xfrm>
        <a:off x="11734920" y="209556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9</xdr:col>
      <xdr:colOff>486720</xdr:colOff>
      <xdr:row>16</xdr:row>
      <xdr:rowOff>172080</xdr:rowOff>
    </xdr:to>
    <xdr:graphicFrame>
      <xdr:nvGraphicFramePr>
        <xdr:cNvPr id="2" name="Chart 1"/>
        <xdr:cNvGraphicFramePr/>
      </xdr:nvGraphicFramePr>
      <xdr:xfrm>
        <a:off x="515628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7</xdr:row>
      <xdr:rowOff>130680</xdr:rowOff>
    </xdr:from>
    <xdr:to>
      <xdr:col>7</xdr:col>
      <xdr:colOff>564480</xdr:colOff>
      <xdr:row>22</xdr:row>
      <xdr:rowOff>66960</xdr:rowOff>
    </xdr:to>
    <xdr:graphicFrame>
      <xdr:nvGraphicFramePr>
        <xdr:cNvPr id="3" name="Chart 2"/>
        <xdr:cNvGraphicFramePr/>
      </xdr:nvGraphicFramePr>
      <xdr:xfrm>
        <a:off x="5156280" y="160956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15D"/>
    <pageSetUpPr fitToPage="false"/>
  </sheetPr>
  <dimension ref="A1:P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6" min="1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30" hidden="false" customHeight="true" outlineLevel="0" collapsed="false">
      <c r="A4" s="3" t="s">
        <v>1</v>
      </c>
      <c r="B4" s="3"/>
      <c r="C4" s="3" t="s">
        <v>2</v>
      </c>
      <c r="D4" s="3"/>
      <c r="E4" s="3" t="s">
        <v>3</v>
      </c>
      <c r="F4" s="3"/>
      <c r="G4" s="3" t="s">
        <v>4</v>
      </c>
      <c r="H4" s="3"/>
      <c r="I4" s="3" t="s">
        <v>5</v>
      </c>
      <c r="J4" s="3"/>
      <c r="K4" s="3" t="s">
        <v>6</v>
      </c>
      <c r="L4" s="3"/>
      <c r="M4" s="2"/>
      <c r="N4" s="2"/>
      <c r="O4" s="2"/>
      <c r="P4" s="2"/>
    </row>
    <row r="5" customFormat="false" ht="30" hidden="false" customHeight="true" outlineLevel="0" collapsed="false">
      <c r="A5" s="4" t="n">
        <f aca="false">56</f>
        <v>56</v>
      </c>
      <c r="B5" s="4"/>
      <c r="C5" s="5" t="n">
        <f aca="false">113714.44</f>
        <v>113714.44</v>
      </c>
      <c r="D5" s="5"/>
      <c r="E5" s="5" t="n">
        <f aca="false">114467.26</f>
        <v>114467.26</v>
      </c>
      <c r="F5" s="5"/>
      <c r="G5" s="6" t="n">
        <f aca="false">752.82</f>
        <v>752.82</v>
      </c>
      <c r="H5" s="6"/>
      <c r="I5" s="4" t="n">
        <f aca="false">18</f>
        <v>18</v>
      </c>
      <c r="J5" s="4"/>
      <c r="K5" s="4" t="n">
        <f aca="false">9</f>
        <v>9</v>
      </c>
      <c r="L5" s="4"/>
      <c r="M5" s="2"/>
      <c r="N5" s="2"/>
      <c r="O5" s="2"/>
      <c r="P5" s="2"/>
    </row>
    <row r="6" customFormat="false" ht="15" hidden="false" customHeight="false" outlineLevel="0" collapsed="false">
      <c r="A6" s="4"/>
      <c r="B6" s="4"/>
      <c r="C6" s="5"/>
      <c r="D6" s="5"/>
      <c r="E6" s="5"/>
      <c r="F6" s="5"/>
      <c r="G6" s="6"/>
      <c r="H6" s="6"/>
      <c r="I6" s="4"/>
      <c r="J6" s="4"/>
      <c r="K6" s="4"/>
      <c r="L6" s="4"/>
      <c r="M6" s="2"/>
      <c r="N6" s="2"/>
      <c r="O6" s="2"/>
      <c r="P6" s="2"/>
    </row>
    <row r="7" customFormat="false" ht="15" hidden="false" customHeight="false" outlineLevel="0" collapsed="false">
      <c r="A7" s="4"/>
      <c r="B7" s="4"/>
      <c r="C7" s="5"/>
      <c r="D7" s="5"/>
      <c r="E7" s="5"/>
      <c r="F7" s="5"/>
      <c r="G7" s="6"/>
      <c r="H7" s="6"/>
      <c r="I7" s="4"/>
      <c r="J7" s="4"/>
      <c r="K7" s="4"/>
      <c r="L7" s="4"/>
      <c r="M7" s="2"/>
      <c r="N7" s="2"/>
      <c r="O7" s="2"/>
      <c r="P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5" hidden="false" customHeight="false" outlineLevel="0" collapsed="false">
      <c r="A10" s="7" t="s">
        <v>7</v>
      </c>
      <c r="B10" s="2"/>
      <c r="C10" s="2"/>
      <c r="D10" s="2"/>
      <c r="E10" s="2"/>
      <c r="F10" s="2"/>
      <c r="G10" s="2"/>
      <c r="H10" s="2"/>
      <c r="I10" s="7" t="s">
        <v>8</v>
      </c>
      <c r="J10" s="2"/>
      <c r="K10" s="2"/>
      <c r="L10" s="2"/>
      <c r="M10" s="2"/>
      <c r="N10" s="2"/>
      <c r="O10" s="2"/>
      <c r="P10" s="2"/>
    </row>
    <row r="11" customFormat="false" ht="21.75" hidden="false" customHeight="true" outlineLevel="0" collapsed="false">
      <c r="A11" s="8" t="s">
        <v>9</v>
      </c>
      <c r="B11" s="8" t="s">
        <v>10</v>
      </c>
      <c r="C11" s="2"/>
      <c r="D11" s="2"/>
      <c r="E11" s="2"/>
      <c r="F11" s="2"/>
      <c r="G11" s="2"/>
      <c r="H11" s="2"/>
      <c r="I11" s="8" t="s">
        <v>11</v>
      </c>
      <c r="J11" s="8" t="s">
        <v>10</v>
      </c>
      <c r="K11" s="2"/>
      <c r="L11" s="2"/>
      <c r="M11" s="2"/>
      <c r="N11" s="2"/>
      <c r="O11" s="2"/>
      <c r="P11" s="2"/>
    </row>
    <row r="12" customFormat="false" ht="15" hidden="false" customHeight="false" outlineLevel="0" collapsed="false">
      <c r="A12" s="9" t="s">
        <v>6</v>
      </c>
      <c r="B12" s="10" t="n">
        <v>9</v>
      </c>
      <c r="C12" s="2"/>
      <c r="D12" s="2"/>
      <c r="E12" s="2"/>
      <c r="F12" s="2"/>
      <c r="G12" s="2"/>
      <c r="H12" s="2"/>
      <c r="I12" s="9" t="s">
        <v>12</v>
      </c>
      <c r="J12" s="10" t="n">
        <v>6</v>
      </c>
      <c r="K12" s="2"/>
      <c r="L12" s="2"/>
      <c r="M12" s="2"/>
      <c r="N12" s="2"/>
      <c r="O12" s="2"/>
      <c r="P12" s="2"/>
    </row>
    <row r="13" customFormat="false" ht="15" hidden="false" customHeight="false" outlineLevel="0" collapsed="false">
      <c r="A13" s="9" t="s">
        <v>13</v>
      </c>
      <c r="B13" s="10" t="n">
        <v>12</v>
      </c>
      <c r="C13" s="2"/>
      <c r="D13" s="2"/>
      <c r="E13" s="2"/>
      <c r="F13" s="2"/>
      <c r="G13" s="2"/>
      <c r="H13" s="2"/>
      <c r="I13" s="9" t="s">
        <v>14</v>
      </c>
      <c r="J13" s="10" t="n">
        <v>1</v>
      </c>
      <c r="K13" s="2"/>
      <c r="L13" s="2"/>
      <c r="M13" s="2"/>
      <c r="N13" s="2"/>
      <c r="O13" s="2"/>
      <c r="P13" s="2"/>
    </row>
    <row r="14" customFormat="false" ht="15" hidden="false" customHeight="false" outlineLevel="0" collapsed="false">
      <c r="A14" s="9" t="s">
        <v>15</v>
      </c>
      <c r="B14" s="10" t="n">
        <v>35</v>
      </c>
      <c r="C14" s="2"/>
      <c r="D14" s="2"/>
      <c r="E14" s="2"/>
      <c r="F14" s="2"/>
      <c r="G14" s="2"/>
      <c r="H14" s="2"/>
      <c r="I14" s="9" t="s">
        <v>16</v>
      </c>
      <c r="J14" s="10" t="n">
        <v>1</v>
      </c>
      <c r="K14" s="2"/>
      <c r="L14" s="2"/>
      <c r="M14" s="2"/>
      <c r="N14" s="2"/>
      <c r="O14" s="2"/>
      <c r="P14" s="2"/>
    </row>
    <row r="15" customFormat="false" ht="15" hidden="false" customHeight="false" outlineLevel="0" collapsed="false">
      <c r="A15" s="9" t="s">
        <v>17</v>
      </c>
      <c r="B15" s="10" t="n">
        <v>4</v>
      </c>
      <c r="C15" s="2"/>
      <c r="D15" s="2"/>
      <c r="E15" s="2"/>
      <c r="F15" s="2"/>
      <c r="G15" s="2"/>
      <c r="H15" s="2"/>
      <c r="I15" s="9" t="s">
        <v>18</v>
      </c>
      <c r="J15" s="10" t="n">
        <v>1</v>
      </c>
      <c r="K15" s="2"/>
      <c r="L15" s="2"/>
      <c r="M15" s="2"/>
      <c r="N15" s="2"/>
      <c r="O15" s="2"/>
      <c r="P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7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21.75" hidden="false" customHeight="true" outlineLevel="0" collapsed="false">
      <c r="A19" s="8" t="s">
        <v>20</v>
      </c>
      <c r="B19" s="8" t="s">
        <v>21</v>
      </c>
      <c r="C19" s="8" t="s">
        <v>22</v>
      </c>
      <c r="D19" s="8" t="s">
        <v>23</v>
      </c>
      <c r="E19" s="8" t="s">
        <v>11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5" hidden="false" customHeight="false" outlineLevel="0" collapsed="false">
      <c r="A20" s="11" t="s">
        <v>24</v>
      </c>
      <c r="B20" s="11" t="s">
        <v>25</v>
      </c>
      <c r="C20" s="12" t="n">
        <v>2515.59</v>
      </c>
      <c r="D20" s="11" t="s">
        <v>26</v>
      </c>
      <c r="E20" s="11" t="s">
        <v>12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5" hidden="false" customHeight="false" outlineLevel="0" collapsed="false">
      <c r="A21" s="11" t="s">
        <v>27</v>
      </c>
      <c r="B21" s="11" t="s">
        <v>25</v>
      </c>
      <c r="C21" s="12" t="n">
        <v>2246.16</v>
      </c>
      <c r="D21" s="11" t="s">
        <v>26</v>
      </c>
      <c r="E21" s="11" t="s">
        <v>14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11" t="s">
        <v>28</v>
      </c>
      <c r="B22" s="11" t="s">
        <v>29</v>
      </c>
      <c r="C22" s="12" t="n">
        <v>-2223.15</v>
      </c>
      <c r="D22" s="11" t="s">
        <v>26</v>
      </c>
      <c r="E22" s="11" t="s">
        <v>12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A23" s="11" t="s">
        <v>30</v>
      </c>
      <c r="B23" s="11" t="s">
        <v>25</v>
      </c>
      <c r="C23" s="12" t="n">
        <v>-2150.55</v>
      </c>
      <c r="D23" s="11" t="s">
        <v>26</v>
      </c>
      <c r="E23" s="11" t="s">
        <v>12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5" hidden="false" customHeight="false" outlineLevel="0" collapsed="false">
      <c r="A24" s="11" t="s">
        <v>31</v>
      </c>
      <c r="B24" s="11" t="s">
        <v>32</v>
      </c>
      <c r="C24" s="12" t="n">
        <v>1806.4</v>
      </c>
      <c r="D24" s="11" t="s">
        <v>26</v>
      </c>
      <c r="E24" s="11" t="s">
        <v>12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5" hidden="false" customHeight="false" outlineLevel="0" collapsed="false">
      <c r="A25" s="11" t="s">
        <v>33</v>
      </c>
      <c r="B25" s="11" t="s">
        <v>32</v>
      </c>
      <c r="C25" s="12" t="n">
        <v>1774.79</v>
      </c>
      <c r="D25" s="11" t="s">
        <v>26</v>
      </c>
      <c r="E25" s="11" t="s">
        <v>12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5" hidden="false" customHeight="false" outlineLevel="0" collapsed="false">
      <c r="A26" s="11" t="s">
        <v>34</v>
      </c>
      <c r="B26" s="11" t="s">
        <v>35</v>
      </c>
      <c r="C26" s="12" t="n">
        <v>1083.62</v>
      </c>
      <c r="D26" s="11" t="s">
        <v>36</v>
      </c>
      <c r="E26" s="11" t="s">
        <v>18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5" hidden="false" customHeight="false" outlineLevel="0" collapsed="false">
      <c r="A27" s="11" t="s">
        <v>37</v>
      </c>
      <c r="B27" s="11" t="s">
        <v>35</v>
      </c>
      <c r="C27" s="12" t="n">
        <v>627.58</v>
      </c>
      <c r="D27" s="11" t="s">
        <v>36</v>
      </c>
      <c r="E27" s="11" t="s">
        <v>16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A28" s="11" t="s">
        <v>38</v>
      </c>
      <c r="B28" s="11" t="s">
        <v>32</v>
      </c>
      <c r="C28" s="12" t="n">
        <v>-253.86</v>
      </c>
      <c r="D28" s="11" t="s">
        <v>39</v>
      </c>
      <c r="E28" s="11" t="s">
        <v>12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15" hidden="false" customHeight="true" outlineLevel="0" collapsed="false">
      <c r="A31" s="13" t="s">
        <v>40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14">
    <mergeCell ref="A1:P2"/>
    <mergeCell ref="A4:B4"/>
    <mergeCell ref="C4:D4"/>
    <mergeCell ref="E4:F4"/>
    <mergeCell ref="G4:H4"/>
    <mergeCell ref="I4:J4"/>
    <mergeCell ref="K4:L4"/>
    <mergeCell ref="A5:B7"/>
    <mergeCell ref="C5:D7"/>
    <mergeCell ref="E5:F7"/>
    <mergeCell ref="G5:H7"/>
    <mergeCell ref="I5:J7"/>
    <mergeCell ref="K5:L7"/>
    <mergeCell ref="A31:P34"/>
  </mergeCells>
  <conditionalFormatting sqref="A20:E28">
    <cfRule type="expression" priority="2" aboveAverage="0" equalAverage="0" bottom="0" percent="0" rank="0" text="" dxfId="0">
      <formula>$D20="Review required"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15D"/>
    <pageSetUpPr fitToPage="fals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7" min="7" style="0" width="44"/>
  </cols>
  <sheetData>
    <row r="1" customFormat="false" ht="19.7" hidden="false" customHeight="false" outlineLevel="0" collapsed="false">
      <c r="A1" s="1" t="s">
        <v>41</v>
      </c>
      <c r="B1" s="1"/>
      <c r="C1" s="1"/>
      <c r="D1" s="1"/>
      <c r="E1" s="1"/>
      <c r="F1" s="1"/>
      <c r="G1" s="1"/>
      <c r="H1" s="2"/>
    </row>
    <row r="2" customFormat="false" ht="15" hidden="false" customHeight="false" outlineLevel="0" collapsed="false">
      <c r="A2" s="14" t="s">
        <v>42</v>
      </c>
      <c r="B2" s="14"/>
      <c r="C2" s="14"/>
      <c r="D2" s="14"/>
      <c r="E2" s="14"/>
      <c r="F2" s="14"/>
      <c r="G2" s="14"/>
      <c r="H2" s="2"/>
    </row>
    <row r="3" customFormat="false" ht="21.75" hidden="false" customHeight="true" outlineLevel="0" collapsed="false">
      <c r="A3" s="8" t="s">
        <v>20</v>
      </c>
      <c r="B3" s="8" t="s">
        <v>21</v>
      </c>
      <c r="C3" s="8" t="s">
        <v>43</v>
      </c>
      <c r="D3" s="8" t="s">
        <v>44</v>
      </c>
      <c r="E3" s="8" t="s">
        <v>22</v>
      </c>
      <c r="F3" s="8" t="s">
        <v>45</v>
      </c>
      <c r="G3" s="8" t="s">
        <v>46</v>
      </c>
      <c r="H3" s="2"/>
    </row>
    <row r="4" customFormat="false" ht="15" hidden="false" customHeight="false" outlineLevel="0" collapsed="false">
      <c r="A4" s="15" t="s">
        <v>27</v>
      </c>
      <c r="B4" s="15" t="s">
        <v>25</v>
      </c>
      <c r="C4" s="16" t="n">
        <v>2722.62</v>
      </c>
      <c r="D4" s="16" t="n">
        <v>4968.78</v>
      </c>
      <c r="E4" s="16" t="n">
        <v>2246.16</v>
      </c>
      <c r="F4" s="17" t="n">
        <v>0.824999449060097</v>
      </c>
      <c r="G4" s="15" t="s">
        <v>47</v>
      </c>
      <c r="H4" s="2"/>
    </row>
    <row r="5" customFormat="false" ht="15" hidden="false" customHeight="false" outlineLevel="0" collapsed="false">
      <c r="A5" s="15" t="s">
        <v>28</v>
      </c>
      <c r="B5" s="15" t="s">
        <v>29</v>
      </c>
      <c r="C5" s="16" t="n">
        <v>2223.15</v>
      </c>
      <c r="D5" s="16" t="n">
        <v>0</v>
      </c>
      <c r="E5" s="16" t="n">
        <v>-2223.15</v>
      </c>
      <c r="F5" s="17" t="n">
        <v>-1</v>
      </c>
      <c r="G5" s="15" t="s">
        <v>48</v>
      </c>
      <c r="H5" s="2"/>
    </row>
    <row r="6" customFormat="false" ht="15" hidden="false" customHeight="false" outlineLevel="0" collapsed="false">
      <c r="A6" s="15" t="s">
        <v>30</v>
      </c>
      <c r="B6" s="15" t="s">
        <v>25</v>
      </c>
      <c r="C6" s="16" t="n">
        <v>2150.55</v>
      </c>
      <c r="D6" s="16" t="n">
        <v>0</v>
      </c>
      <c r="E6" s="16" t="n">
        <v>-2150.55</v>
      </c>
      <c r="F6" s="17" t="n">
        <v>-1</v>
      </c>
      <c r="G6" s="15" t="s">
        <v>48</v>
      </c>
      <c r="H6" s="2"/>
    </row>
    <row r="7" customFormat="false" ht="15" hidden="false" customHeight="false" outlineLevel="0" collapsed="false">
      <c r="A7" s="15" t="s">
        <v>34</v>
      </c>
      <c r="B7" s="15" t="s">
        <v>35</v>
      </c>
      <c r="C7" s="16" t="n">
        <v>2408.04</v>
      </c>
      <c r="D7" s="16" t="n">
        <v>3491.66</v>
      </c>
      <c r="E7" s="16" t="n">
        <v>1083.62</v>
      </c>
      <c r="F7" s="17" t="n">
        <v>0.450000830550988</v>
      </c>
      <c r="G7" s="15" t="s">
        <v>49</v>
      </c>
      <c r="H7" s="2"/>
    </row>
    <row r="8" customFormat="false" ht="15" hidden="false" customHeight="false" outlineLevel="0" collapsed="false">
      <c r="A8" s="15" t="s">
        <v>37</v>
      </c>
      <c r="B8" s="15" t="s">
        <v>35</v>
      </c>
      <c r="C8" s="16" t="n">
        <v>2390.78</v>
      </c>
      <c r="D8" s="16" t="n">
        <v>3018.36</v>
      </c>
      <c r="E8" s="16" t="n">
        <v>627.58</v>
      </c>
      <c r="F8" s="17" t="n">
        <v>0.262500104568384</v>
      </c>
      <c r="G8" s="15" t="s">
        <v>50</v>
      </c>
      <c r="H8" s="2"/>
    </row>
    <row r="9" customFormat="false" ht="15" hidden="false" customHeight="false" outlineLevel="0" collapsed="false">
      <c r="A9" s="15" t="s">
        <v>38</v>
      </c>
      <c r="B9" s="15" t="s">
        <v>32</v>
      </c>
      <c r="C9" s="16" t="n">
        <v>1934.17</v>
      </c>
      <c r="D9" s="16" t="n">
        <v>1680.31</v>
      </c>
      <c r="E9" s="16" t="n">
        <v>-253.86</v>
      </c>
      <c r="F9" s="17" t="n">
        <v>-0.131250096940807</v>
      </c>
      <c r="G9" s="15" t="s">
        <v>48</v>
      </c>
      <c r="H9" s="2"/>
    </row>
    <row r="10" customFormat="false" ht="15" hidden="false" customHeight="false" outlineLevel="0" collapsed="false">
      <c r="A10" s="15" t="s">
        <v>51</v>
      </c>
      <c r="B10" s="15" t="s">
        <v>52</v>
      </c>
      <c r="C10" s="16" t="n">
        <v>2596.88</v>
      </c>
      <c r="D10" s="16"/>
      <c r="E10" s="16" t="n">
        <v>-2596.88</v>
      </c>
      <c r="F10" s="17" t="n">
        <v>-1</v>
      </c>
      <c r="G10" s="15" t="s">
        <v>53</v>
      </c>
      <c r="H10" s="2"/>
    </row>
    <row r="11" customFormat="false" ht="15" hidden="false" customHeight="false" outlineLevel="0" collapsed="false">
      <c r="A11" s="15" t="s">
        <v>54</v>
      </c>
      <c r="B11" s="15" t="s">
        <v>35</v>
      </c>
      <c r="C11" s="16"/>
      <c r="D11" s="16" t="n">
        <v>2596.88</v>
      </c>
      <c r="E11" s="16" t="n">
        <v>2596.88</v>
      </c>
      <c r="F11" s="17"/>
      <c r="G11" s="15" t="s">
        <v>53</v>
      </c>
      <c r="H11" s="2"/>
    </row>
    <row r="12" customFormat="false" ht="15" hidden="false" customHeight="false" outlineLevel="0" collapsed="false">
      <c r="A12" s="15" t="s">
        <v>24</v>
      </c>
      <c r="B12" s="15" t="s">
        <v>25</v>
      </c>
      <c r="C12" s="16"/>
      <c r="D12" s="16" t="n">
        <v>2515.59</v>
      </c>
      <c r="E12" s="16" t="n">
        <v>2515.59</v>
      </c>
      <c r="F12" s="17"/>
      <c r="G12" s="15" t="s">
        <v>55</v>
      </c>
      <c r="H12" s="2"/>
    </row>
    <row r="13" customFormat="false" ht="15" hidden="false" customHeight="false" outlineLevel="0" collapsed="false">
      <c r="A13" s="15" t="s">
        <v>56</v>
      </c>
      <c r="B13" s="15" t="s">
        <v>52</v>
      </c>
      <c r="C13" s="16" t="n">
        <v>2411.33</v>
      </c>
      <c r="D13" s="16"/>
      <c r="E13" s="16" t="n">
        <v>-2411.33</v>
      </c>
      <c r="F13" s="17" t="n">
        <v>-1</v>
      </c>
      <c r="G13" s="15" t="s">
        <v>57</v>
      </c>
      <c r="H13" s="2"/>
    </row>
    <row r="14" customFormat="false" ht="15" hidden="false" customHeight="false" outlineLevel="0" collapsed="false">
      <c r="A14" s="15" t="s">
        <v>58</v>
      </c>
      <c r="B14" s="15" t="s">
        <v>25</v>
      </c>
      <c r="C14" s="16" t="n">
        <v>2222.77</v>
      </c>
      <c r="D14" s="16"/>
      <c r="E14" s="16" t="n">
        <v>-2222.77</v>
      </c>
      <c r="F14" s="17" t="n">
        <v>-1</v>
      </c>
      <c r="G14" s="15" t="s">
        <v>57</v>
      </c>
      <c r="H14" s="2"/>
    </row>
    <row r="15" customFormat="false" ht="15" hidden="false" customHeight="false" outlineLevel="0" collapsed="false">
      <c r="A15" s="15" t="s">
        <v>59</v>
      </c>
      <c r="B15" s="15" t="s">
        <v>25</v>
      </c>
      <c r="C15" s="16" t="n">
        <v>1905.97</v>
      </c>
      <c r="D15" s="16"/>
      <c r="E15" s="16" t="n">
        <v>-1905.97</v>
      </c>
      <c r="F15" s="17" t="n">
        <v>-1</v>
      </c>
      <c r="G15" s="15" t="s">
        <v>53</v>
      </c>
      <c r="H15" s="2"/>
    </row>
    <row r="16" customFormat="false" ht="15" hidden="false" customHeight="false" outlineLevel="0" collapsed="false">
      <c r="A16" s="15" t="s">
        <v>60</v>
      </c>
      <c r="B16" s="15" t="s">
        <v>32</v>
      </c>
      <c r="C16" s="16"/>
      <c r="D16" s="16" t="n">
        <v>1905.97</v>
      </c>
      <c r="E16" s="16" t="n">
        <v>1905.97</v>
      </c>
      <c r="F16" s="17"/>
      <c r="G16" s="15" t="s">
        <v>53</v>
      </c>
      <c r="H16" s="2"/>
    </row>
    <row r="17" customFormat="false" ht="15" hidden="false" customHeight="false" outlineLevel="0" collapsed="false">
      <c r="A17" s="15" t="s">
        <v>31</v>
      </c>
      <c r="B17" s="15" t="s">
        <v>32</v>
      </c>
      <c r="C17" s="16"/>
      <c r="D17" s="16" t="n">
        <v>1806.4</v>
      </c>
      <c r="E17" s="16" t="n">
        <v>1806.4</v>
      </c>
      <c r="F17" s="17"/>
      <c r="G17" s="15" t="s">
        <v>55</v>
      </c>
      <c r="H17" s="2"/>
    </row>
    <row r="18" customFormat="false" ht="15" hidden="false" customHeight="false" outlineLevel="0" collapsed="false">
      <c r="A18" s="15" t="s">
        <v>33</v>
      </c>
      <c r="B18" s="15" t="s">
        <v>32</v>
      </c>
      <c r="C18" s="16"/>
      <c r="D18" s="16" t="n">
        <v>1774.79</v>
      </c>
      <c r="E18" s="16" t="n">
        <v>1774.79</v>
      </c>
      <c r="F18" s="17"/>
      <c r="G18" s="15" t="s">
        <v>55</v>
      </c>
      <c r="H18" s="2"/>
    </row>
    <row r="19" customFormat="false" ht="15" hidden="false" customHeight="false" outlineLevel="0" collapsed="false">
      <c r="A19" s="15" t="s">
        <v>61</v>
      </c>
      <c r="B19" s="15" t="s">
        <v>35</v>
      </c>
      <c r="C19" s="16" t="n">
        <v>1691.72</v>
      </c>
      <c r="D19" s="16"/>
      <c r="E19" s="16" t="n">
        <v>-1691.72</v>
      </c>
      <c r="F19" s="17" t="n">
        <v>-1</v>
      </c>
      <c r="G19" s="15" t="s">
        <v>57</v>
      </c>
      <c r="H19" s="2"/>
    </row>
    <row r="20" customFormat="false" ht="15" hidden="false" customHeight="false" outlineLevel="0" collapsed="false">
      <c r="A20" s="15" t="s">
        <v>62</v>
      </c>
      <c r="B20" s="15" t="s">
        <v>29</v>
      </c>
      <c r="C20" s="16" t="n">
        <v>1570.28</v>
      </c>
      <c r="D20" s="16"/>
      <c r="E20" s="16" t="n">
        <v>-1570.28</v>
      </c>
      <c r="F20" s="17" t="n">
        <v>-1</v>
      </c>
      <c r="G20" s="15" t="s">
        <v>57</v>
      </c>
      <c r="H20" s="2"/>
    </row>
    <row r="21" customFormat="false" ht="15" hidden="false" customHeight="false" outlineLevel="0" collapsed="false">
      <c r="A21" s="15" t="s">
        <v>63</v>
      </c>
      <c r="B21" s="15" t="s">
        <v>25</v>
      </c>
      <c r="C21" s="16"/>
      <c r="D21" s="16" t="n">
        <v>921.57</v>
      </c>
      <c r="E21" s="16" t="n">
        <v>921.57</v>
      </c>
      <c r="F21" s="17"/>
      <c r="G21" s="15" t="s">
        <v>55</v>
      </c>
      <c r="H21" s="2"/>
    </row>
    <row r="22" customFormat="false" ht="15" hidden="false" customHeight="false" outlineLevel="0" collapsed="false">
      <c r="A22" s="15" t="s">
        <v>64</v>
      </c>
      <c r="B22" s="15" t="s">
        <v>35</v>
      </c>
      <c r="C22" s="16" t="n">
        <v>2856.97</v>
      </c>
      <c r="D22" s="16" t="n">
        <v>2400.16</v>
      </c>
      <c r="E22" s="16" t="n">
        <v>-456.81</v>
      </c>
      <c r="F22" s="17" t="n">
        <v>-0.159893173536999</v>
      </c>
      <c r="G22" s="15" t="s">
        <v>65</v>
      </c>
      <c r="H22" s="2"/>
    </row>
    <row r="23" customFormat="false" ht="15" hidden="false" customHeight="false" outlineLevel="0" collapsed="false">
      <c r="A23" s="15" t="s">
        <v>66</v>
      </c>
      <c r="B23" s="15" t="s">
        <v>52</v>
      </c>
      <c r="C23" s="16" t="n">
        <v>2868.84</v>
      </c>
      <c r="D23" s="16" t="n">
        <v>3313.13</v>
      </c>
      <c r="E23" s="16" t="n">
        <v>444.29</v>
      </c>
      <c r="F23" s="17" t="n">
        <v>0.154867472567309</v>
      </c>
      <c r="G23" s="15" t="s">
        <v>65</v>
      </c>
      <c r="H23" s="2"/>
    </row>
    <row r="24" customFormat="false" ht="15" hidden="false" customHeight="false" outlineLevel="0" collapsed="false">
      <c r="A24" s="15" t="s">
        <v>67</v>
      </c>
      <c r="B24" s="15" t="s">
        <v>25</v>
      </c>
      <c r="C24" s="16" t="n">
        <v>2939.57</v>
      </c>
      <c r="D24" s="16" t="n">
        <v>3288.62</v>
      </c>
      <c r="E24" s="16" t="n">
        <v>349.05</v>
      </c>
      <c r="F24" s="17" t="n">
        <v>0.118741856802185</v>
      </c>
      <c r="G24" s="15" t="s">
        <v>65</v>
      </c>
      <c r="H24" s="2"/>
    </row>
    <row r="25" customFormat="false" ht="15" hidden="false" customHeight="false" outlineLevel="0" collapsed="false">
      <c r="A25" s="15" t="s">
        <v>68</v>
      </c>
      <c r="B25" s="15" t="s">
        <v>25</v>
      </c>
      <c r="C25" s="16" t="n">
        <v>3104.33</v>
      </c>
      <c r="D25" s="16" t="n">
        <v>2767.51</v>
      </c>
      <c r="E25" s="16" t="n">
        <v>-336.82</v>
      </c>
      <c r="F25" s="17" t="n">
        <v>-0.108500062815487</v>
      </c>
      <c r="G25" s="15" t="s">
        <v>65</v>
      </c>
      <c r="H25" s="2"/>
    </row>
    <row r="26" customFormat="false" ht="15" hidden="false" customHeight="false" outlineLevel="0" collapsed="false">
      <c r="A26" s="15" t="s">
        <v>69</v>
      </c>
      <c r="B26" s="15" t="s">
        <v>35</v>
      </c>
      <c r="C26" s="16" t="n">
        <v>2051.59</v>
      </c>
      <c r="D26" s="16" t="n">
        <v>2382.17</v>
      </c>
      <c r="E26" s="16" t="n">
        <v>330.58</v>
      </c>
      <c r="F26" s="17" t="n">
        <v>0.161133559824331</v>
      </c>
      <c r="G26" s="15" t="s">
        <v>65</v>
      </c>
      <c r="H26" s="2"/>
    </row>
    <row r="27" customFormat="false" ht="15" hidden="false" customHeight="false" outlineLevel="0" collapsed="false">
      <c r="A27" s="15" t="s">
        <v>70</v>
      </c>
      <c r="B27" s="15" t="s">
        <v>52</v>
      </c>
      <c r="C27" s="16" t="n">
        <v>2216.7</v>
      </c>
      <c r="D27" s="16" t="n">
        <v>2542.64</v>
      </c>
      <c r="E27" s="16" t="n">
        <v>325.94</v>
      </c>
      <c r="F27" s="17" t="n">
        <v>0.147038390400144</v>
      </c>
      <c r="G27" s="15" t="s">
        <v>65</v>
      </c>
      <c r="H27" s="2"/>
    </row>
    <row r="28" customFormat="false" ht="15" hidden="false" customHeight="false" outlineLevel="0" collapsed="false">
      <c r="A28" s="15" t="s">
        <v>71</v>
      </c>
      <c r="B28" s="15" t="s">
        <v>25</v>
      </c>
      <c r="C28" s="16" t="n">
        <v>2159.89</v>
      </c>
      <c r="D28" s="16" t="n">
        <v>1854.44</v>
      </c>
      <c r="E28" s="16" t="n">
        <v>-305.45</v>
      </c>
      <c r="F28" s="17" t="n">
        <v>-0.141419238942724</v>
      </c>
      <c r="G28" s="15" t="s">
        <v>65</v>
      </c>
      <c r="H28" s="2"/>
    </row>
    <row r="29" customFormat="false" ht="15" hidden="false" customHeight="false" outlineLevel="0" collapsed="false">
      <c r="A29" s="15" t="s">
        <v>72</v>
      </c>
      <c r="B29" s="15" t="s">
        <v>25</v>
      </c>
      <c r="C29" s="16" t="n">
        <v>2122.1</v>
      </c>
      <c r="D29" s="16" t="n">
        <v>1823.83</v>
      </c>
      <c r="E29" s="16" t="n">
        <v>-298.27</v>
      </c>
      <c r="F29" s="17" t="n">
        <v>-0.140554168041091</v>
      </c>
      <c r="G29" s="15" t="s">
        <v>65</v>
      </c>
      <c r="H29" s="2"/>
    </row>
    <row r="30" customFormat="false" ht="15" hidden="false" customHeight="false" outlineLevel="0" collapsed="false">
      <c r="A30" s="15" t="s">
        <v>73</v>
      </c>
      <c r="B30" s="15" t="s">
        <v>52</v>
      </c>
      <c r="C30" s="16" t="n">
        <v>2631.56</v>
      </c>
      <c r="D30" s="16" t="n">
        <v>2927.62</v>
      </c>
      <c r="E30" s="16" t="n">
        <v>296.06</v>
      </c>
      <c r="F30" s="17" t="n">
        <v>0.112503610025992</v>
      </c>
      <c r="G30" s="15" t="s">
        <v>65</v>
      </c>
      <c r="H30" s="2"/>
    </row>
    <row r="31" customFormat="false" ht="15" hidden="false" customHeight="false" outlineLevel="0" collapsed="false">
      <c r="A31" s="15" t="s">
        <v>74</v>
      </c>
      <c r="B31" s="15" t="s">
        <v>29</v>
      </c>
      <c r="C31" s="16" t="n">
        <v>2112.14</v>
      </c>
      <c r="D31" s="16" t="n">
        <v>2395.83</v>
      </c>
      <c r="E31" s="16" t="n">
        <v>283.69</v>
      </c>
      <c r="F31" s="17" t="n">
        <v>0.134314013275635</v>
      </c>
      <c r="G31" s="15" t="s">
        <v>65</v>
      </c>
      <c r="H31" s="2"/>
    </row>
    <row r="32" customFormat="false" ht="15" hidden="false" customHeight="false" outlineLevel="0" collapsed="false">
      <c r="A32" s="15" t="s">
        <v>75</v>
      </c>
      <c r="B32" s="15" t="s">
        <v>52</v>
      </c>
      <c r="C32" s="16" t="n">
        <v>2751.58</v>
      </c>
      <c r="D32" s="16" t="n">
        <v>2991.04</v>
      </c>
      <c r="E32" s="16" t="n">
        <v>239.46</v>
      </c>
      <c r="F32" s="17" t="n">
        <v>0.0870263630350562</v>
      </c>
      <c r="G32" s="15" t="s">
        <v>65</v>
      </c>
      <c r="H32" s="2"/>
    </row>
    <row r="33" customFormat="false" ht="15" hidden="false" customHeight="false" outlineLevel="0" collapsed="false">
      <c r="A33" s="15" t="s">
        <v>76</v>
      </c>
      <c r="B33" s="15" t="s">
        <v>25</v>
      </c>
      <c r="C33" s="16" t="n">
        <v>1768.22</v>
      </c>
      <c r="D33" s="16" t="n">
        <v>2006.93</v>
      </c>
      <c r="E33" s="16" t="n">
        <v>238.71</v>
      </c>
      <c r="F33" s="17" t="n">
        <v>0.135000169662146</v>
      </c>
      <c r="G33" s="15" t="s">
        <v>65</v>
      </c>
      <c r="H33" s="2"/>
    </row>
    <row r="34" customFormat="false" ht="15" hidden="false" customHeight="false" outlineLevel="0" collapsed="false">
      <c r="A34" s="15" t="s">
        <v>77</v>
      </c>
      <c r="B34" s="15" t="s">
        <v>52</v>
      </c>
      <c r="C34" s="16" t="n">
        <v>1840.81</v>
      </c>
      <c r="D34" s="16" t="n">
        <v>1625.82</v>
      </c>
      <c r="E34" s="16" t="n">
        <v>-214.99</v>
      </c>
      <c r="F34" s="17" t="n">
        <v>-0.116790977884736</v>
      </c>
      <c r="G34" s="15" t="s">
        <v>65</v>
      </c>
      <c r="H34" s="2"/>
    </row>
    <row r="35" customFormat="false" ht="15" hidden="false" customHeight="false" outlineLevel="0" collapsed="false">
      <c r="A35" s="15" t="s">
        <v>78</v>
      </c>
      <c r="B35" s="15" t="s">
        <v>52</v>
      </c>
      <c r="C35" s="16" t="n">
        <v>2560.71</v>
      </c>
      <c r="D35" s="16" t="n">
        <v>2752.76</v>
      </c>
      <c r="E35" s="16" t="n">
        <v>192.05</v>
      </c>
      <c r="F35" s="17" t="n">
        <v>0.0749987308207489</v>
      </c>
      <c r="G35" s="15" t="s">
        <v>65</v>
      </c>
      <c r="H35" s="2"/>
    </row>
    <row r="36" customFormat="false" ht="15" hidden="false" customHeight="false" outlineLevel="0" collapsed="false">
      <c r="A36" s="15" t="s">
        <v>79</v>
      </c>
      <c r="B36" s="15" t="s">
        <v>25</v>
      </c>
      <c r="C36" s="16" t="n">
        <v>2410.24</v>
      </c>
      <c r="D36" s="16" t="n">
        <v>2578.93</v>
      </c>
      <c r="E36" s="16" t="n">
        <v>168.69</v>
      </c>
      <c r="F36" s="17" t="n">
        <v>0.0699888807753585</v>
      </c>
      <c r="G36" s="15" t="s">
        <v>65</v>
      </c>
      <c r="H36" s="2"/>
    </row>
    <row r="37" customFormat="false" ht="15" hidden="false" customHeight="false" outlineLevel="0" collapsed="false">
      <c r="A37" s="15" t="s">
        <v>80</v>
      </c>
      <c r="B37" s="15" t="s">
        <v>29</v>
      </c>
      <c r="C37" s="16" t="n">
        <v>1831.01</v>
      </c>
      <c r="D37" s="16" t="n">
        <v>1677.29</v>
      </c>
      <c r="E37" s="16" t="n">
        <v>-153.72</v>
      </c>
      <c r="F37" s="17" t="n">
        <v>-0.0839536649171769</v>
      </c>
      <c r="G37" s="15" t="s">
        <v>65</v>
      </c>
      <c r="H37" s="2"/>
    </row>
    <row r="38" customFormat="false" ht="15" hidden="false" customHeight="false" outlineLevel="0" collapsed="false">
      <c r="A38" s="15" t="s">
        <v>81</v>
      </c>
      <c r="B38" s="15" t="s">
        <v>35</v>
      </c>
      <c r="C38" s="16" t="n">
        <v>2165.78</v>
      </c>
      <c r="D38" s="16" t="n">
        <v>2319.06</v>
      </c>
      <c r="E38" s="16" t="n">
        <v>153.28</v>
      </c>
      <c r="F38" s="17" t="n">
        <v>0.0707735781104267</v>
      </c>
      <c r="G38" s="15" t="s">
        <v>65</v>
      </c>
      <c r="H38" s="2"/>
    </row>
    <row r="39" customFormat="false" ht="15" hidden="false" customHeight="false" outlineLevel="0" collapsed="false">
      <c r="A39" s="15" t="s">
        <v>82</v>
      </c>
      <c r="B39" s="15" t="s">
        <v>35</v>
      </c>
      <c r="C39" s="16" t="n">
        <v>1787.56</v>
      </c>
      <c r="D39" s="16" t="n">
        <v>1940.17</v>
      </c>
      <c r="E39" s="16" t="n">
        <v>152.61</v>
      </c>
      <c r="F39" s="17" t="n">
        <v>0.0853733580970709</v>
      </c>
      <c r="G39" s="15" t="s">
        <v>65</v>
      </c>
      <c r="H39" s="2"/>
    </row>
    <row r="40" customFormat="false" ht="15" hidden="false" customHeight="false" outlineLevel="0" collapsed="false">
      <c r="A40" s="15" t="s">
        <v>83</v>
      </c>
      <c r="B40" s="15" t="s">
        <v>25</v>
      </c>
      <c r="C40" s="16" t="n">
        <v>1625.24</v>
      </c>
      <c r="D40" s="16" t="n">
        <v>1771.51</v>
      </c>
      <c r="E40" s="16" t="n">
        <v>146.27</v>
      </c>
      <c r="F40" s="17" t="n">
        <v>0.089999015530014</v>
      </c>
      <c r="G40" s="15" t="s">
        <v>65</v>
      </c>
      <c r="H40" s="2"/>
    </row>
    <row r="41" customFormat="false" ht="15" hidden="false" customHeight="false" outlineLevel="0" collapsed="false">
      <c r="A41" s="15" t="s">
        <v>84</v>
      </c>
      <c r="B41" s="15" t="s">
        <v>29</v>
      </c>
      <c r="C41" s="16" t="n">
        <v>1675.11</v>
      </c>
      <c r="D41" s="16" t="n">
        <v>1817.58</v>
      </c>
      <c r="E41" s="16" t="n">
        <v>142.47</v>
      </c>
      <c r="F41" s="17" t="n">
        <v>0.0850511309705034</v>
      </c>
      <c r="G41" s="15" t="s">
        <v>65</v>
      </c>
      <c r="H41" s="2"/>
    </row>
    <row r="42" customFormat="false" ht="15" hidden="false" customHeight="false" outlineLevel="0" collapsed="false">
      <c r="A42" s="15" t="s">
        <v>85</v>
      </c>
      <c r="B42" s="15" t="s">
        <v>25</v>
      </c>
      <c r="C42" s="16" t="n">
        <v>1685.19</v>
      </c>
      <c r="D42" s="16" t="n">
        <v>1811.58</v>
      </c>
      <c r="E42" s="16" t="n">
        <v>126.39</v>
      </c>
      <c r="F42" s="17" t="n">
        <v>0.0750004450536735</v>
      </c>
      <c r="G42" s="15" t="s">
        <v>65</v>
      </c>
      <c r="H42" s="2"/>
    </row>
    <row r="43" customFormat="false" ht="15" hidden="false" customHeight="false" outlineLevel="0" collapsed="false">
      <c r="A43" s="15" t="s">
        <v>86</v>
      </c>
      <c r="B43" s="15" t="s">
        <v>35</v>
      </c>
      <c r="C43" s="16" t="n">
        <v>1541.84</v>
      </c>
      <c r="D43" s="16" t="n">
        <v>1438.52</v>
      </c>
      <c r="E43" s="16" t="n">
        <v>-103.32</v>
      </c>
      <c r="F43" s="17" t="n">
        <v>-0.0670108441861672</v>
      </c>
      <c r="G43" s="15" t="s">
        <v>65</v>
      </c>
      <c r="H43" s="2"/>
    </row>
    <row r="44" customFormat="false" ht="15" hidden="false" customHeight="false" outlineLevel="0" collapsed="false">
      <c r="A44" s="15" t="s">
        <v>87</v>
      </c>
      <c r="B44" s="15" t="s">
        <v>52</v>
      </c>
      <c r="C44" s="16" t="n">
        <v>2925.49</v>
      </c>
      <c r="D44" s="16" t="n">
        <v>3023.81</v>
      </c>
      <c r="E44" s="16" t="n">
        <v>98.32</v>
      </c>
      <c r="F44" s="17" t="n">
        <v>0.0336080451479923</v>
      </c>
      <c r="G44" s="15" t="s">
        <v>65</v>
      </c>
      <c r="H44" s="2"/>
    </row>
    <row r="45" customFormat="false" ht="15" hidden="false" customHeight="false" outlineLevel="0" collapsed="false">
      <c r="A45" s="15" t="s">
        <v>88</v>
      </c>
      <c r="B45" s="15" t="s">
        <v>29</v>
      </c>
      <c r="C45" s="16" t="n">
        <v>2566.46</v>
      </c>
      <c r="D45" s="16" t="n">
        <v>2657.21</v>
      </c>
      <c r="E45" s="16" t="n">
        <v>90.75</v>
      </c>
      <c r="F45" s="17" t="n">
        <v>0.0353599900251709</v>
      </c>
      <c r="G45" s="15" t="s">
        <v>65</v>
      </c>
      <c r="H45" s="2"/>
    </row>
    <row r="46" customFormat="false" ht="15" hidden="false" customHeight="false" outlineLevel="0" collapsed="false">
      <c r="A46" s="15" t="s">
        <v>89</v>
      </c>
      <c r="B46" s="15" t="s">
        <v>29</v>
      </c>
      <c r="C46" s="16" t="n">
        <v>1692.78</v>
      </c>
      <c r="D46" s="16" t="n">
        <v>1613.4</v>
      </c>
      <c r="E46" s="16" t="n">
        <v>-79.38</v>
      </c>
      <c r="F46" s="17" t="n">
        <v>-0.0468932761492929</v>
      </c>
      <c r="G46" s="15" t="s">
        <v>65</v>
      </c>
      <c r="H46" s="2"/>
    </row>
    <row r="47" customFormat="false" ht="15" hidden="false" customHeight="false" outlineLevel="0" collapsed="false">
      <c r="A47" s="15" t="s">
        <v>90</v>
      </c>
      <c r="B47" s="15" t="s">
        <v>32</v>
      </c>
      <c r="C47" s="16" t="n">
        <v>3135.85</v>
      </c>
      <c r="D47" s="16" t="n">
        <v>3208.48</v>
      </c>
      <c r="E47" s="16" t="n">
        <v>72.63</v>
      </c>
      <c r="F47" s="17" t="n">
        <v>0.0231611843678747</v>
      </c>
      <c r="G47" s="15" t="s">
        <v>65</v>
      </c>
      <c r="H47" s="2"/>
    </row>
    <row r="48" customFormat="false" ht="15" hidden="false" customHeight="false" outlineLevel="0" collapsed="false">
      <c r="A48" s="15" t="s">
        <v>91</v>
      </c>
      <c r="B48" s="15" t="s">
        <v>32</v>
      </c>
      <c r="C48" s="16" t="n">
        <v>2462.89</v>
      </c>
      <c r="D48" s="16" t="n">
        <v>2400.62</v>
      </c>
      <c r="E48" s="16" t="n">
        <v>-62.27</v>
      </c>
      <c r="F48" s="17" t="n">
        <v>-0.025283305385137</v>
      </c>
      <c r="G48" s="15" t="s">
        <v>65</v>
      </c>
      <c r="H48" s="2"/>
    </row>
    <row r="49" customFormat="false" ht="15" hidden="false" customHeight="false" outlineLevel="0" collapsed="false">
      <c r="A49" s="15" t="s">
        <v>92</v>
      </c>
      <c r="B49" s="15" t="s">
        <v>32</v>
      </c>
      <c r="C49" s="16" t="n">
        <v>2352.41</v>
      </c>
      <c r="D49" s="16" t="n">
        <v>2412.25</v>
      </c>
      <c r="E49" s="16" t="n">
        <v>59.84</v>
      </c>
      <c r="F49" s="17" t="n">
        <v>0.0254377425703853</v>
      </c>
      <c r="G49" s="15" t="s">
        <v>65</v>
      </c>
      <c r="H49" s="2"/>
    </row>
    <row r="50" customFormat="false" ht="15" hidden="false" customHeight="false" outlineLevel="0" collapsed="false">
      <c r="A50" s="15" t="s">
        <v>93</v>
      </c>
      <c r="B50" s="15" t="s">
        <v>32</v>
      </c>
      <c r="C50" s="16" t="n">
        <v>2313.83</v>
      </c>
      <c r="D50" s="16" t="n">
        <v>2264.65</v>
      </c>
      <c r="E50" s="16" t="n">
        <v>-49.18</v>
      </c>
      <c r="F50" s="17" t="n">
        <v>-0.0212548026432365</v>
      </c>
      <c r="G50" s="15" t="s">
        <v>65</v>
      </c>
      <c r="H50" s="2"/>
    </row>
    <row r="51" customFormat="false" ht="15" hidden="false" customHeight="false" outlineLevel="0" collapsed="false">
      <c r="A51" s="15" t="s">
        <v>94</v>
      </c>
      <c r="B51" s="15" t="s">
        <v>32</v>
      </c>
      <c r="C51" s="16" t="n">
        <v>2632.31</v>
      </c>
      <c r="D51" s="16" t="n">
        <v>2681.04</v>
      </c>
      <c r="E51" s="16" t="n">
        <v>48.73</v>
      </c>
      <c r="F51" s="17" t="n">
        <v>0.0185122572949235</v>
      </c>
      <c r="G51" s="15" t="s">
        <v>65</v>
      </c>
      <c r="H51" s="2"/>
    </row>
    <row r="52" customFormat="false" ht="15" hidden="false" customHeight="false" outlineLevel="0" collapsed="false">
      <c r="A52" s="15" t="s">
        <v>95</v>
      </c>
      <c r="B52" s="15" t="s">
        <v>32</v>
      </c>
      <c r="C52" s="16" t="n">
        <v>1563.64</v>
      </c>
      <c r="D52" s="16" t="n">
        <v>1525.4</v>
      </c>
      <c r="E52" s="16" t="n">
        <v>-38.24</v>
      </c>
      <c r="F52" s="17" t="n">
        <v>-0.0244557570796347</v>
      </c>
      <c r="G52" s="15" t="s">
        <v>65</v>
      </c>
      <c r="H52" s="2"/>
    </row>
    <row r="53" customFormat="false" ht="15" hidden="false" customHeight="false" outlineLevel="0" collapsed="false">
      <c r="A53" s="15" t="s">
        <v>96</v>
      </c>
      <c r="B53" s="15" t="s">
        <v>25</v>
      </c>
      <c r="C53" s="16" t="n">
        <v>2740.98</v>
      </c>
      <c r="D53" s="16" t="n">
        <v>2775.6</v>
      </c>
      <c r="E53" s="16" t="n">
        <v>34.62</v>
      </c>
      <c r="F53" s="17" t="n">
        <v>0.0126305190114485</v>
      </c>
      <c r="G53" s="15" t="s">
        <v>65</v>
      </c>
      <c r="H53" s="2"/>
    </row>
    <row r="54" customFormat="false" ht="15" hidden="false" customHeight="false" outlineLevel="0" collapsed="false">
      <c r="A54" s="15" t="s">
        <v>97</v>
      </c>
      <c r="B54" s="15" t="s">
        <v>32</v>
      </c>
      <c r="C54" s="16" t="n">
        <v>2439.23</v>
      </c>
      <c r="D54" s="16" t="n">
        <v>2466.18</v>
      </c>
      <c r="E54" s="16" t="n">
        <v>26.95</v>
      </c>
      <c r="F54" s="17" t="n">
        <v>0.0110485686056665</v>
      </c>
      <c r="G54" s="15" t="s">
        <v>65</v>
      </c>
      <c r="H54" s="2"/>
    </row>
    <row r="55" customFormat="false" ht="15" hidden="false" customHeight="false" outlineLevel="0" collapsed="false">
      <c r="A55" s="15" t="s">
        <v>98</v>
      </c>
      <c r="B55" s="15" t="s">
        <v>29</v>
      </c>
      <c r="C55" s="16" t="n">
        <v>2335.78</v>
      </c>
      <c r="D55" s="16" t="n">
        <v>2314.39</v>
      </c>
      <c r="E55" s="16" t="n">
        <v>-21.39</v>
      </c>
      <c r="F55" s="17" t="n">
        <v>-0.00915754052179572</v>
      </c>
      <c r="G55" s="15" t="s">
        <v>65</v>
      </c>
      <c r="H55" s="2"/>
    </row>
    <row r="56" customFormat="false" ht="15" hidden="false" customHeight="false" outlineLevel="0" collapsed="false">
      <c r="A56" s="15" t="s">
        <v>99</v>
      </c>
      <c r="B56" s="15" t="s">
        <v>29</v>
      </c>
      <c r="C56" s="16" t="n">
        <v>2188.58</v>
      </c>
      <c r="D56" s="16" t="n">
        <v>2201.04</v>
      </c>
      <c r="E56" s="16" t="n">
        <v>12.46</v>
      </c>
      <c r="F56" s="17" t="n">
        <v>0.00569318919116505</v>
      </c>
      <c r="G56" s="15" t="s">
        <v>65</v>
      </c>
      <c r="H56" s="2"/>
    </row>
    <row r="57" customFormat="false" ht="15" hidden="false" customHeight="false" outlineLevel="0" collapsed="false">
      <c r="A57" s="15" t="s">
        <v>100</v>
      </c>
      <c r="B57" s="15" t="s">
        <v>32</v>
      </c>
      <c r="C57" s="16" t="n">
        <v>1694.12</v>
      </c>
      <c r="D57" s="16" t="n">
        <v>1683.1</v>
      </c>
      <c r="E57" s="16" t="n">
        <v>-11.02</v>
      </c>
      <c r="F57" s="17" t="n">
        <v>-0.00650485207659434</v>
      </c>
      <c r="G57" s="15" t="s">
        <v>65</v>
      </c>
      <c r="H57" s="2"/>
    </row>
    <row r="58" customFormat="false" ht="15" hidden="false" customHeight="false" outlineLevel="0" collapsed="false">
      <c r="A58" s="15" t="s">
        <v>101</v>
      </c>
      <c r="B58" s="15" t="s">
        <v>32</v>
      </c>
      <c r="C58" s="16" t="n">
        <v>2478.1</v>
      </c>
      <c r="D58" s="16" t="n">
        <v>2476.58</v>
      </c>
      <c r="E58" s="16" t="n">
        <v>-1.52</v>
      </c>
      <c r="F58" s="17" t="n">
        <v>-0.000613373148783342</v>
      </c>
      <c r="G58" s="15" t="s">
        <v>65</v>
      </c>
      <c r="H58" s="2"/>
    </row>
    <row r="59" customFormat="false" ht="15" hidden="false" customHeight="false" outlineLevel="0" collapsed="false">
      <c r="A59" s="15" t="s">
        <v>102</v>
      </c>
      <c r="B59" s="15" t="s">
        <v>32</v>
      </c>
      <c r="C59" s="16" t="n">
        <v>1891.6</v>
      </c>
      <c r="D59" s="16" t="n">
        <v>1891.6</v>
      </c>
      <c r="E59" s="16" t="n">
        <v>0</v>
      </c>
      <c r="F59" s="17" t="n">
        <v>0</v>
      </c>
      <c r="G59" s="15" t="s">
        <v>65</v>
      </c>
      <c r="H59" s="2"/>
    </row>
    <row r="60" customFormat="false" ht="15" hidden="false" customHeight="false" outlineLevel="0" collapsed="false">
      <c r="A60" s="15" t="s">
        <v>103</v>
      </c>
      <c r="B60" s="15" t="s">
        <v>52</v>
      </c>
      <c r="C60" s="16" t="n">
        <v>477.27</v>
      </c>
      <c r="D60" s="16" t="n">
        <v>674.3</v>
      </c>
      <c r="E60" s="16" t="n">
        <v>197.03</v>
      </c>
      <c r="F60" s="17" t="n">
        <v>0.412827120916882</v>
      </c>
      <c r="G60" s="15" t="s">
        <v>104</v>
      </c>
      <c r="H60" s="2"/>
    </row>
    <row r="61" customFormat="false" ht="15" hidden="false" customHeight="false" outlineLevel="0" collapsed="false">
      <c r="A61" s="15" t="s">
        <v>105</v>
      </c>
      <c r="B61" s="15" t="s">
        <v>35</v>
      </c>
      <c r="C61" s="16" t="n">
        <v>215.94</v>
      </c>
      <c r="D61" s="16" t="n">
        <v>374.74</v>
      </c>
      <c r="E61" s="16" t="n">
        <v>158.8</v>
      </c>
      <c r="F61" s="17" t="n">
        <v>0.735389460035195</v>
      </c>
      <c r="G61" s="15" t="s">
        <v>104</v>
      </c>
      <c r="H61" s="2"/>
    </row>
    <row r="62" customFormat="false" ht="15" hidden="false" customHeight="false" outlineLevel="0" collapsed="false">
      <c r="A62" s="15" t="s">
        <v>106</v>
      </c>
      <c r="B62" s="15" t="s">
        <v>25</v>
      </c>
      <c r="C62" s="16" t="n">
        <v>181.28</v>
      </c>
      <c r="D62" s="16" t="n">
        <v>210.61</v>
      </c>
      <c r="E62" s="16" t="n">
        <v>29.33</v>
      </c>
      <c r="F62" s="17" t="n">
        <v>0.161793909973522</v>
      </c>
      <c r="G62" s="15" t="s">
        <v>104</v>
      </c>
      <c r="H62" s="2"/>
    </row>
    <row r="63" customFormat="false" ht="15" hidden="false" customHeight="false" outlineLevel="0" collapsed="false">
      <c r="A63" s="15" t="s">
        <v>107</v>
      </c>
      <c r="B63" s="15" t="s">
        <v>52</v>
      </c>
      <c r="C63" s="16" t="n">
        <v>490.66</v>
      </c>
      <c r="D63" s="16" t="n">
        <v>504.81</v>
      </c>
      <c r="E63" s="16" t="n">
        <v>14.15</v>
      </c>
      <c r="F63" s="17" t="n">
        <v>0.0288387070476501</v>
      </c>
      <c r="G63" s="15" t="s">
        <v>104</v>
      </c>
      <c r="H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</sheetData>
  <autoFilter ref="A3:G63"/>
  <mergeCells count="2">
    <mergeCell ref="A1:G1"/>
    <mergeCell ref="A2:G2"/>
  </mergeCells>
  <conditionalFormatting sqref="A4:G63">
    <cfRule type="expression" priority="2" aboveAverage="0" equalAverage="0" bottom="0" percent="0" rank="0" text="" dxfId="0">
      <formula>$G4="Review required"</formula>
    </cfRule>
  </conditionalFormatting>
  <conditionalFormatting sqref="G4:G63">
    <cfRule type="expression" priority="3" aboveAverage="0" equalAverage="0" bottom="0" percent="0" rank="0" text="" dxfId="0">
      <formula>LEFT($G4,16)="Review required"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315D"/>
    <pageSetUpPr fitToPage="fals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</cols>
  <sheetData>
    <row r="1" customFormat="false" ht="19.7" hidden="false" customHeight="false" outlineLevel="0" collapsed="false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2" customFormat="false" ht="15" hidden="false" customHeight="false" outlineLevel="0" collapsed="false">
      <c r="A2" s="14" t="s">
        <v>109</v>
      </c>
      <c r="B2" s="14"/>
      <c r="C2" s="14"/>
      <c r="D2" s="14"/>
      <c r="E2" s="14"/>
      <c r="F2" s="14"/>
      <c r="G2" s="14"/>
      <c r="H2" s="14"/>
      <c r="I2" s="14"/>
      <c r="J2" s="14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7" t="s">
        <v>110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21.75" hidden="false" customHeight="true" outlineLevel="0" collapsed="false">
      <c r="A5" s="8" t="s">
        <v>21</v>
      </c>
      <c r="B5" s="8" t="s">
        <v>111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9" t="s">
        <v>25</v>
      </c>
      <c r="B6" s="18" t="n">
        <v>3403.27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7" t="s">
        <v>112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21.75" hidden="false" customHeight="true" outlineLevel="0" collapsed="false">
      <c r="A10" s="8" t="s">
        <v>113</v>
      </c>
      <c r="B10" s="8" t="s">
        <v>111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9" t="s">
        <v>114</v>
      </c>
      <c r="B11" s="18" t="n">
        <v>3403.27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7" t="s">
        <v>115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1.75" hidden="false" customHeight="true" outlineLevel="0" collapsed="false">
      <c r="A32" s="8" t="s">
        <v>116</v>
      </c>
      <c r="B32" s="8" t="s">
        <v>117</v>
      </c>
      <c r="C32" s="8" t="s">
        <v>111</v>
      </c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9" t="s">
        <v>118</v>
      </c>
      <c r="B33" s="19" t="n">
        <v>1</v>
      </c>
      <c r="C33" s="18" t="n">
        <v>3403.27</v>
      </c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2026-08-23T10:28:27Z</dcterms:created>
  <dc:creator>openpyxl</dc:creator>
  <dc:description/>
  <dc:language>en-US</dc:language>
  <cp:lastModifiedBy/>
  <dcterms:modified xsi:type="dcterms:W3CDTF">2026-08-23T10:28:33Z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
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 Sheet" sheetId="1" state="visible" r:id="rId1"/>
    <sheet name="_Helpers" sheetId="2" state="hidden" r:id="rId2"/>
    <sheet name="Summary" sheetId="3" state="visible" r:id="rId3"/>
    <sheet name="Exceptions" sheetId="4" state="visible" r:id="rId4"/>
    <sheet name="Zero Hours" sheetId="5" state="visible" r:id="rId5"/>
    <sheet name="Drilldown" sheetId="6" state="visible" r:id="rId6"/>
    <sheet name="NPV Comparison" sheetId="7" state="visible" r:id="rId7"/>
    <sheet name="Payment Breakdown Current" sheetId="8" state="visible" r:id="rId8"/>
    <sheet name="Payment Breakdown Prior" sheetId="9" state="visible" r:id="rId9"/>
    <sheet name="New Starters" sheetId="10" state="visible" r:id="rId10"/>
    <sheet name="Leavers" sheetId="11" state="visible" r:id="rId11"/>
    <sheet name="Structure" sheetId="12" state="visible" r:id="rId12"/>
  </sheets>
  <definedNames>
    <definedName name="_xlnm._FilterDatabase" localSheetId="3" hidden="1">'Exceptions'!$A$3:$N$153</definedName>
    <definedName name="_xlnm._FilterDatabase" localSheetId="4" hidden="1">'Zero Hours'!$A$3:$F$153</definedName>
    <definedName name="_xlnm._FilterDatabase" localSheetId="6" hidden="1">'NPV Comparison'!$A$14:$J$74</definedName>
    <definedName name="_xlnm._FilterDatabase" localSheetId="7" hidden="1">'Payment Breakdown Current'!$A$14:$AE$68</definedName>
    <definedName name="_xlnm._FilterDatabase" localSheetId="8" hidden="1">'Payment Breakdown Prior'!$A$14:$AE$68</definedName>
    <definedName name="_xlnm._FilterDatabase" localSheetId="9" hidden="1">'New Starters'!$A$13:$K$19</definedName>
    <definedName name="_xlnm._FilterDatabase" localSheetId="10" hidden="1">'Leavers'!$A$11:$K$17</definedName>
    <definedName name="_xlnm._FilterDatabase" localSheetId="11" hidden="1">'Structure'!$A$12:$AI$74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£#,##0"/>
    <numFmt numFmtId="165" formatCode="0.0%"/>
    <numFmt numFmtId="166" formatCode="£#,##0.00"/>
    <numFmt numFmtId="167" formatCode="#,##0.00;(#,##0.00)"/>
  </numFmts>
  <fonts count="13">
    <font>
      <name val="Calibri"/>
      <family val="2"/>
      <color theme="1"/>
      <sz val="11"/>
      <scheme val="minor"/>
    </font>
    <font>
      <name val="Aptos"/>
      <b val="1"/>
      <color rgb="00FFFFFF"/>
      <sz val="16"/>
    </font>
    <font>
      <name val="Aptos"/>
      <b val="1"/>
      <color rgb="003D315D"/>
      <sz val="11"/>
    </font>
    <font>
      <name val="Aptos"/>
      <color rgb="00000000"/>
      <sz val="10"/>
    </font>
    <font>
      <name val="Aptos"/>
      <b val="1"/>
      <color rgb="00000000"/>
      <sz val="10"/>
    </font>
    <font>
      <name val="Aptos"/>
      <i val="1"/>
      <color rgb="00595959"/>
      <sz val="9"/>
    </font>
    <font>
      <name val="Aptos"/>
      <b val="1"/>
      <color rgb="00FFFFFF"/>
      <sz val="11"/>
    </font>
    <font>
      <name val="Aptos"/>
      <sz val="10"/>
    </font>
    <font>
      <name val="Aptos"/>
      <b val="1"/>
      <color rgb="00FFFFFF"/>
      <sz val="10"/>
    </font>
    <font>
      <name val="Aptos"/>
      <b val="1"/>
      <color rgb="003D315D"/>
      <sz val="12"/>
    </font>
    <font>
      <name val="Aptos"/>
      <color rgb="00595959"/>
      <sz val="9"/>
    </font>
    <font>
      <name val="Aptos"/>
    </font>
    <font>
      <name val="Aptos"/>
      <b val="1"/>
    </font>
  </fonts>
  <fills count="9">
    <fill>
      <patternFill/>
    </fill>
    <fill>
      <patternFill patternType="gray125"/>
    </fill>
    <fill>
      <patternFill patternType="solid">
        <fgColor rgb="00F7F7F7"/>
      </patternFill>
    </fill>
    <fill>
      <patternFill patternType="solid">
        <fgColor rgb="003D315D"/>
      </patternFill>
    </fill>
    <fill>
      <patternFill patternType="solid">
        <fgColor rgb="00FFC000"/>
      </patternFill>
    </fill>
    <fill>
      <patternFill patternType="solid">
        <fgColor rgb="0066609B"/>
      </patternFill>
    </fill>
    <fill>
      <patternFill patternType="solid">
        <fgColor rgb="00DF5694"/>
      </patternFill>
    </fill>
    <fill>
      <patternFill patternType="solid">
        <fgColor rgb="00FFFFF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3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2" borderId="0" pivotButton="0" quotePrefix="0" xfId="0"/>
    <xf numFmtId="0" fontId="3" fillId="2" borderId="0" pivotButton="0" quotePrefix="0" xfId="0"/>
    <xf numFmtId="9" fontId="4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2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6" fillId="5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left" vertical="center"/>
    </xf>
    <xf numFmtId="0" fontId="8" fillId="6" borderId="0" applyAlignment="1" pivotButton="0" quotePrefix="0" xfId="0">
      <alignment horizontal="left" vertical="center" wrapText="1" indent="1"/>
    </xf>
    <xf numFmtId="3" fontId="9" fillId="7" borderId="1" applyAlignment="1" pivotButton="0" quotePrefix="0" xfId="0">
      <alignment horizontal="center"/>
    </xf>
    <xf numFmtId="0" fontId="6" fillId="3" borderId="1" applyAlignment="1" pivotButton="0" quotePrefix="0" xfId="0">
      <alignment horizontal="center" vertical="center" wrapText="1"/>
    </xf>
    <xf numFmtId="4" fontId="7" fillId="2" borderId="1" applyAlignment="1" pivotButton="0" quotePrefix="0" xfId="0">
      <alignment horizontal="left" vertical="center"/>
    </xf>
    <xf numFmtId="165" fontId="7" fillId="2" borderId="1" applyAlignment="1" pivotButton="0" quotePrefix="0" xfId="0">
      <alignment horizontal="left" vertical="center"/>
    </xf>
    <xf numFmtId="0" fontId="10" fillId="8" borderId="0" applyAlignment="1" pivotButton="0" quotePrefix="0" xfId="0">
      <alignment horizontal="center" vertical="center"/>
    </xf>
    <xf numFmtId="166" fontId="7" fillId="2" borderId="1" applyAlignment="1" pivotButton="0" quotePrefix="0" xfId="0">
      <alignment horizontal="left" vertical="center"/>
    </xf>
    <xf numFmtId="0" fontId="5" fillId="2" borderId="0" applyAlignment="1" pivotButton="0" quotePrefix="0" xfId="0">
      <alignment wrapText="1"/>
    </xf>
    <xf numFmtId="3" fontId="11" fillId="2" borderId="1" applyAlignment="1" pivotButton="0" quotePrefix="0" xfId="0">
      <alignment horizontal="center"/>
    </xf>
    <xf numFmtId="3" fontId="12" fillId="2" borderId="1" applyAlignment="1" pivotButton="0" quotePrefix="0" xfId="0">
      <alignment horizontal="center"/>
    </xf>
    <xf numFmtId="0" fontId="5" fillId="2" borderId="0" pivotButton="0" quotePrefix="0" xfId="0"/>
    <xf numFmtId="0" fontId="3" fillId="2" borderId="1" applyAlignment="1" pivotButton="0" quotePrefix="0" xfId="0">
      <alignment horizontal="left"/>
    </xf>
    <xf numFmtId="4" fontId="3" fillId="2" borderId="1" applyAlignment="1" pivotButton="0" quotePrefix="0" xfId="0">
      <alignment horizontal="center"/>
    </xf>
    <xf numFmtId="165" fontId="3" fillId="2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4" fillId="4" borderId="1" applyAlignment="1" pivotButton="0" quotePrefix="0" xfId="0">
      <alignment horizontal="left"/>
    </xf>
    <xf numFmtId="0" fontId="12" fillId="2" borderId="1" pivotButton="0" quotePrefix="0" xfId="0"/>
    <xf numFmtId="4" fontId="12" fillId="2" borderId="1" pivotButton="0" quotePrefix="0" xfId="0"/>
    <xf numFmtId="165" fontId="12" fillId="2" borderId="1" pivotButton="0" quotePrefix="0" xfId="0"/>
    <xf numFmtId="9" fontId="0" fillId="2" borderId="1" pivotButton="0" quotePrefix="0" xfId="0"/>
    <xf numFmtId="167" fontId="7" fillId="2" borderId="1" applyAlignment="1" pivotButton="0" quotePrefix="0" xfId="0">
      <alignment horizontal="left" vertical="center"/>
    </xf>
  </cellXfs>
  <cellStyles count="1">
    <cellStyle name="Normal" xfId="0" builtinId="0" hidden="0"/>
  </cellStyles>
  <dxfs count="2">
    <dxf>
      <font>
        <name val="Aptos"/>
        <b val="1"/>
        <color rgb="00C00000"/>
      </font>
      <fill>
        <patternFill patternType="solid">
          <fgColor rgb="00FBE1EC"/>
        </patternFill>
      </fill>
    </dxf>
    <dxf>
      <font>
        <name val="Aptos"/>
        <b val="1"/>
        <color rgb="00FFFFFF"/>
      </font>
      <fill>
        <patternFill patternType="solid">
          <fgColor rgb="00DF569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3D315D"/>
    <outlinePr summaryBelow="1" summaryRight="1"/>
    <pageSetUpPr/>
  </sheetPr>
  <dimension ref="A1:J6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" customWidth="1" min="1" max="1"/>
    <col width="30" customWidth="1" min="2" max="2"/>
    <col width="24" customWidth="1" min="3" max="3"/>
    <col width="12" customWidth="1" min="4" max="4"/>
    <col width="12" customWidth="1" min="5" max="5"/>
    <col width="45" customWidth="1" min="6" max="6"/>
    <col width="10" customWidth="1" min="7" max="7"/>
    <col width="10" customWidth="1" min="8" max="8"/>
  </cols>
  <sheetData>
    <row r="1">
      <c r="A1" s="1" t="inlineStr">
        <is>
          <t>Hakim Group  |  Payroll Reconciliation Tool</t>
        </is>
      </c>
      <c r="I1" s="2" t="n"/>
      <c r="J1" s="2" t="n"/>
    </row>
    <row r="2"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2" t="n"/>
      <c r="B4" s="3" t="inlineStr">
        <is>
          <t>Monthly Control Panel</t>
        </is>
      </c>
      <c r="C4" s="2" t="n"/>
      <c r="D4" s="2" t="n"/>
      <c r="E4" s="2" t="n"/>
      <c r="F4" s="2" t="n"/>
      <c r="G4" s="2" t="n"/>
      <c r="H4" s="2" t="n"/>
      <c r="I4" s="2" t="n"/>
      <c r="J4" s="2" t="n"/>
    </row>
    <row r="5">
      <c r="A5" s="2" t="n"/>
      <c r="B5" s="4" t="inlineStr">
        <is>
          <t>Tolerance - HG practices (%)</t>
        </is>
      </c>
      <c r="C5" s="5" t="n">
        <v>0.2</v>
      </c>
      <c r="D5" s="2" t="n"/>
      <c r="E5" s="2" t="n"/>
      <c r="F5" s="2" t="n"/>
      <c r="G5" s="2" t="n"/>
      <c r="H5" s="2" t="n"/>
      <c r="I5" s="2" t="n"/>
      <c r="J5" s="2" t="n"/>
    </row>
    <row r="6">
      <c r="A6" s="2" t="n"/>
      <c r="B6" s="4" t="inlineStr">
        <is>
          <t>Tolerance - HO2 practice (%)</t>
        </is>
      </c>
      <c r="C6" s="5" t="n">
        <v>0.05</v>
      </c>
      <c r="D6" s="2" t="n"/>
      <c r="E6" s="2" t="n"/>
      <c r="F6" s="2" t="n"/>
      <c r="G6" s="2" t="n"/>
      <c r="H6" s="2" t="n"/>
      <c r="I6" s="2" t="n"/>
      <c r="J6" s="2" t="n"/>
    </row>
    <row r="7">
      <c r="A7" s="2" t="n"/>
      <c r="B7" s="4" t="inlineStr">
        <is>
          <t>Minimum £ to flag</t>
        </is>
      </c>
      <c r="C7" s="6" t="n">
        <v>50</v>
      </c>
      <c r="D7" s="2" t="n"/>
      <c r="E7" s="2" t="n"/>
      <c r="F7" s="2" t="n"/>
      <c r="G7" s="2" t="n"/>
      <c r="H7" s="2" t="n"/>
      <c r="I7" s="2" t="n"/>
      <c r="J7" s="2" t="n"/>
    </row>
    <row r="8">
      <c r="A8" s="2" t="n"/>
      <c r="B8" s="4" t="inlineStr">
        <is>
          <t>Prior period label</t>
        </is>
      </c>
      <c r="C8" s="7" t="inlineStr">
        <is>
          <t>June 2026</t>
        </is>
      </c>
      <c r="D8" s="2" t="n"/>
      <c r="E8" s="2" t="n"/>
      <c r="F8" s="2" t="n"/>
      <c r="G8" s="2" t="n"/>
      <c r="H8" s="2" t="n"/>
      <c r="I8" s="2" t="n"/>
      <c r="J8" s="2" t="n"/>
    </row>
    <row r="9">
      <c r="A9" s="2" t="n"/>
      <c r="B9" s="4" t="inlineStr">
        <is>
          <t>Current period label</t>
        </is>
      </c>
      <c r="C9" s="7" t="inlineStr">
        <is>
          <t>July 2026</t>
        </is>
      </c>
      <c r="D9" s="2" t="n"/>
      <c r="E9" s="2" t="n"/>
      <c r="F9" s="2" t="n"/>
      <c r="G9" s="2" t="n"/>
      <c r="H9" s="2" t="n"/>
      <c r="I9" s="2" t="n"/>
      <c r="J9" s="2" t="n"/>
    </row>
    <row r="10" ht="28" customHeight="1">
      <c r="A10" s="2" t="n"/>
      <c r="B10" s="8" t="inlineStr">
        <is>
          <t>Rule: practices whose name contains 'Head Office' use the HO2 tolerance; all others use the HG tolerance. Edit only the gold cells above.</t>
        </is>
      </c>
      <c r="I10" s="2" t="n"/>
      <c r="J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</row>
    <row r="12">
      <c r="A12" s="2" t="n"/>
      <c r="B12" s="3" t="inlineStr">
        <is>
          <t>Monthly steps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</row>
    <row r="13" ht="16" customHeight="1">
      <c r="A13" s="2" t="n"/>
      <c r="B13" s="9" t="inlineStr">
        <is>
          <t>1. Export the six iTrent reports below for the current payroll run.</t>
        </is>
      </c>
      <c r="I13" s="2" t="n"/>
      <c r="J13" s="2" t="n"/>
    </row>
    <row r="14" ht="16" customHeight="1">
      <c r="A14" s="2" t="n"/>
      <c r="B14" s="9" t="inlineStr">
        <is>
          <t>2. Check the prior-month Payment Breakdown export for an EXTRA leading 'Reference No' column (see warning below). Delete it if present so both months line up.</t>
        </is>
      </c>
      <c r="I14" s="2" t="n"/>
      <c r="J14" s="2" t="n"/>
    </row>
    <row r="15" ht="16" customHeight="1">
      <c r="A15" s="2" t="n"/>
      <c r="B15" s="9" t="inlineStr">
        <is>
          <t>3. Clear old data from each paste tab (keep the header row) and paste the new export starting at the header row shown in 'Expected report layout' below.</t>
        </is>
      </c>
      <c r="I15" s="2" t="n"/>
      <c r="J15" s="2" t="n"/>
    </row>
    <row r="16" ht="16" customHeight="1">
      <c r="A16" s="2" t="n"/>
      <c r="B16" s="9" t="inlineStr">
        <is>
          <t>4. Update the Prior/Current period labels above.</t>
        </is>
      </c>
      <c r="I16" s="2" t="n"/>
      <c r="J16" s="2" t="n"/>
    </row>
    <row r="17" ht="16" customHeight="1">
      <c r="A17" s="2" t="n"/>
      <c r="B17" s="9" t="inlineStr">
        <is>
          <t>5. Open Summary, Exceptions, Zero Hours and Drilldown - they recalculate automatically.</t>
        </is>
      </c>
      <c r="I17" s="2" t="n"/>
      <c r="J17" s="2" t="n"/>
    </row>
    <row r="18" ht="16" customHeight="1">
      <c r="A18" s="2" t="n"/>
      <c r="B18" s="9" t="inlineStr">
        <is>
          <t>6. Work through Exceptions top to bottom; use Drilldown to inspect any payroll number.</t>
        </is>
      </c>
      <c r="I18" s="2" t="n"/>
      <c r="J18" s="2" t="n"/>
    </row>
    <row r="19" ht="16" customHeight="1">
      <c r="A19" s="2" t="n"/>
      <c r="B19" s="9" t="inlineStr">
        <is>
          <t>7. Agree totals on the Summary tab to BACS and to the payroll submissions.</t>
        </is>
      </c>
      <c r="I19" s="2" t="n"/>
      <c r="J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2" t="n"/>
      <c r="B22" s="3" t="inlineStr">
        <is>
          <t>Expected report layout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</row>
    <row r="23" ht="20" customHeight="1">
      <c r="A23" s="2" t="n"/>
      <c r="B23" s="10" t="inlineStr">
        <is>
          <t>Report</t>
        </is>
      </c>
      <c r="C23" s="10" t="inlineStr">
        <is>
          <t>Paste tab</t>
        </is>
      </c>
      <c r="D23" s="10" t="inlineStr">
        <is>
          <t>Header row</t>
        </is>
      </c>
      <c r="E23" s="10" t="inlineStr">
        <is>
          <t>Data starts</t>
        </is>
      </c>
      <c r="F23" s="10" t="inlineStr">
        <is>
          <t>Key columns</t>
        </is>
      </c>
      <c r="G23" s="2" t="n"/>
      <c r="H23" s="2" t="n"/>
      <c r="I23" s="2" t="n"/>
      <c r="J23" s="2" t="n"/>
    </row>
    <row r="24">
      <c r="A24" s="2" t="n"/>
      <c r="B24" s="11" t="inlineStr">
        <is>
          <t>NPV Comparison (Net Pay)</t>
        </is>
      </c>
      <c r="C24" s="11" t="inlineStr">
        <is>
          <t>NPV Comparison</t>
        </is>
      </c>
      <c r="D24" s="11" t="n">
        <v>14</v>
      </c>
      <c r="E24" s="11" t="n">
        <v>15</v>
      </c>
      <c r="F24" s="11" t="inlineStr">
        <is>
          <t>D Payroll No, E Prior Net, F Current Net</t>
        </is>
      </c>
      <c r="G24" s="2" t="n"/>
      <c r="H24" s="2" t="n"/>
      <c r="I24" s="2" t="n"/>
      <c r="J24" s="2" t="n"/>
    </row>
    <row r="25">
      <c r="A25" s="2" t="n"/>
      <c r="B25" s="11" t="inlineStr">
        <is>
          <t>Payment Breakdown - current month</t>
        </is>
      </c>
      <c r="C25" s="11" t="inlineStr">
        <is>
          <t>Payment Breakdown Current</t>
        </is>
      </c>
      <c r="D25" s="11" t="n">
        <v>14</v>
      </c>
      <c r="E25" s="11" t="n">
        <v>15</v>
      </c>
      <c r="F25" s="11" t="inlineStr">
        <is>
          <t>D Practice, K.. Elements, last col Reference No</t>
        </is>
      </c>
      <c r="G25" s="2" t="n"/>
      <c r="H25" s="2" t="n"/>
      <c r="I25" s="2" t="n"/>
      <c r="J25" s="2" t="n"/>
    </row>
    <row r="26">
      <c r="A26" s="2" t="n"/>
      <c r="B26" s="11" t="inlineStr">
        <is>
          <t>Payment Breakdown - prior month</t>
        </is>
      </c>
      <c r="C26" s="11" t="inlineStr">
        <is>
          <t>Payment Breakdown Prior</t>
        </is>
      </c>
      <c r="D26" s="11" t="n">
        <v>14</v>
      </c>
      <c r="E26" s="11" t="n">
        <v>15</v>
      </c>
      <c r="F26" s="11" t="inlineStr">
        <is>
          <t>Same as above once the extra leading column is removed</t>
        </is>
      </c>
      <c r="G26" s="2" t="n"/>
      <c r="H26" s="2" t="n"/>
      <c r="I26" s="2" t="n"/>
      <c r="J26" s="2" t="n"/>
    </row>
    <row r="27">
      <c r="A27" s="2" t="n"/>
      <c r="B27" s="11" t="inlineStr">
        <is>
          <t>New Starters</t>
        </is>
      </c>
      <c r="C27" s="11" t="inlineStr">
        <is>
          <t>New Starters</t>
        </is>
      </c>
      <c r="D27" s="11" t="n">
        <v>13</v>
      </c>
      <c r="E27" s="11" t="n">
        <v>14</v>
      </c>
      <c r="F27" s="11" t="inlineStr">
        <is>
          <t>D Payroll No, K Personal Reference</t>
        </is>
      </c>
      <c r="G27" s="2" t="n"/>
      <c r="H27" s="2" t="n"/>
      <c r="I27" s="2" t="n"/>
      <c r="J27" s="2" t="n"/>
    </row>
    <row r="28">
      <c r="A28" s="2" t="n"/>
      <c r="B28" s="11" t="inlineStr">
        <is>
          <t>Leavers</t>
        </is>
      </c>
      <c r="C28" s="11" t="inlineStr">
        <is>
          <t>Leavers</t>
        </is>
      </c>
      <c r="D28" s="11" t="n">
        <v>11</v>
      </c>
      <c r="E28" s="11" t="n">
        <v>12</v>
      </c>
      <c r="F28" s="11" t="inlineStr">
        <is>
          <t>D Payroll No, K Personal Reference</t>
        </is>
      </c>
      <c r="G28" s="2" t="n"/>
      <c r="H28" s="2" t="n"/>
      <c r="I28" s="2" t="n"/>
      <c r="J28" s="2" t="n"/>
    </row>
    <row r="29">
      <c r="A29" s="2" t="n"/>
      <c r="B29" s="11" t="inlineStr">
        <is>
          <t>Structure report</t>
        </is>
      </c>
      <c r="C29" s="11" t="inlineStr">
        <is>
          <t>Structure</t>
        </is>
      </c>
      <c r="D29" s="11" t="n">
        <v>12</v>
      </c>
      <c r="E29" s="11" t="n">
        <v>13</v>
      </c>
      <c r="F29" s="11" t="inlineStr">
        <is>
          <t>L Position, N Basis, P Payroll Ref (MHR), AI Category</t>
        </is>
      </c>
      <c r="G29" s="2" t="n"/>
      <c r="H29" s="2" t="n"/>
      <c r="I29" s="2" t="n"/>
      <c r="J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</row>
    <row r="32" ht="18" customHeight="1">
      <c r="A32" s="2" t="n"/>
      <c r="B32" s="12" t="inlineStr">
        <is>
          <t>⚠ WARNING - PRIOR MONTH PAYMENT BREAKDOWN: some iTrent exports carry an extra leading 'Reference No' column that shifts Practice, elements and everything else one column to the right. If Practice does not land in column D and the first pay element does not land in column K on the 'Payment Breakdown Prior' tab, delete the extra leading column before pasting. Getting this wrong silently misaligns the whole comparison.</t>
        </is>
      </c>
      <c r="I32" s="2" t="n"/>
      <c r="J32" s="2" t="n"/>
    </row>
    <row r="33" ht="18" customHeight="1">
      <c r="A33" s="2" t="n"/>
      <c r="I33" s="2" t="n"/>
      <c r="J33" s="2" t="n"/>
    </row>
    <row r="34" ht="18" customHeight="1">
      <c r="A34" s="2" t="n"/>
      <c r="I34" s="2" t="n"/>
      <c r="J34" s="2" t="n"/>
    </row>
    <row r="35" ht="18" customHeight="1">
      <c r="A35" s="2" t="n"/>
      <c r="I35" s="2" t="n"/>
      <c r="J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</row>
  </sheetData>
  <mergeCells count="10">
    <mergeCell ref="B14:H14"/>
    <mergeCell ref="B17:H17"/>
    <mergeCell ref="B18:H18"/>
    <mergeCell ref="B13:H13"/>
    <mergeCell ref="B16:H16"/>
    <mergeCell ref="B15:H15"/>
    <mergeCell ref="B10:H10"/>
    <mergeCell ref="A1:H2"/>
    <mergeCell ref="B19:H19"/>
    <mergeCell ref="B32:H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PayrollNumber</t>
        </is>
      </c>
      <c r="B1" t="inlineStr">
        <is>
          <t>PriorNet</t>
        </is>
      </c>
      <c r="C1" t="inlineStr">
        <is>
          <t>CurrentNet</t>
        </is>
      </c>
      <c r="D1" t="inlineStr">
        <is>
          <t>Practice</t>
        </is>
      </c>
      <c r="E1" t="inlineStr">
        <is>
          <t>IsZeroHoursOnly</t>
        </is>
      </c>
      <c r="F1" t="inlineStr">
        <is>
          <t>IsMainList</t>
        </is>
      </c>
      <c r="G1" t="inlineStr">
        <is>
          <t>IsStarter</t>
        </is>
      </c>
      <c r="H1" t="inlineStr">
        <is>
          <t>IsLeaver</t>
        </is>
      </c>
      <c r="I1" t="inlineStr">
        <is>
          <t>PersonalRef</t>
        </is>
      </c>
      <c r="J1" t="inlineStr">
        <is>
          <t>IsPaired</t>
        </is>
      </c>
      <c r="K1" t="inlineStr">
        <is>
          <t>ToleranceGroupPct</t>
        </is>
      </c>
      <c r="L1" t="inlineStr">
        <is>
          <t>Diff</t>
        </is>
      </c>
      <c r="M1" t="inlineStr">
        <is>
          <t>DiffPct</t>
        </is>
      </c>
      <c r="N1" t="inlineStr">
        <is>
          <t>OverTolerance</t>
        </is>
      </c>
      <c r="O1" t="inlineStr">
        <is>
          <t>Flagged</t>
        </is>
      </c>
      <c r="P1" t="inlineStr">
        <is>
          <t>Status</t>
        </is>
      </c>
      <c r="Q1" t="inlineStr">
        <is>
          <t>NoPayNoLeaver</t>
        </is>
      </c>
      <c r="R1" t="inlineStr">
        <is>
          <t>IsReviewItem</t>
        </is>
      </c>
      <c r="S1" t="inlineStr">
        <is>
          <t>Priority</t>
        </is>
      </c>
      <c r="T1" t="inlineStr">
        <is>
          <t>BasicSalaryPrior</t>
        </is>
      </c>
      <c r="U1" t="inlineStr">
        <is>
          <t>BasicSalaryCurrent</t>
        </is>
      </c>
      <c r="V1" t="inlineStr">
        <is>
          <t>BasicSalaryPctChange</t>
        </is>
      </c>
      <c r="W1" t="inlineStr">
        <is>
          <t>Basic Salary</t>
        </is>
      </c>
      <c r="X1" t="inlineStr">
        <is>
          <t>Overtime</t>
        </is>
      </c>
      <c r="Y1" t="inlineStr">
        <is>
          <t>Bonus</t>
        </is>
      </c>
      <c r="Z1" t="inlineStr">
        <is>
          <t>Mileage Expenses</t>
        </is>
      </c>
      <c r="AA1" t="inlineStr">
        <is>
          <t>Other Expenses</t>
        </is>
      </c>
      <c r="AB1" t="inlineStr">
        <is>
          <t>SMP</t>
        </is>
      </c>
      <c r="AC1" t="inlineStr">
        <is>
          <t>SSP</t>
        </is>
      </c>
      <c r="AD1" t="inlineStr">
        <is>
          <t>Pension Deduction</t>
        </is>
      </c>
      <c r="AE1" t="inlineStr">
        <is>
          <t>Student Loan</t>
        </is>
      </c>
      <c r="AF1" t="inlineStr">
        <is>
          <t>Attachment of Earnings</t>
        </is>
      </c>
      <c r="AG1" t="inlineStr">
        <is>
          <t>On Call Allowance</t>
        </is>
      </c>
      <c r="AH1" t="inlineStr">
        <is>
          <t>Unsocial Hours Premium</t>
        </is>
      </c>
      <c r="AI1" t="inlineStr">
        <is>
          <t>MaxAbsDiff</t>
        </is>
      </c>
      <c r="AJ1" t="inlineStr">
        <is>
          <t>DriverElement</t>
        </is>
      </c>
      <c r="AK1" t="inlineStr">
        <is>
          <t>DriverDiffValue</t>
        </is>
      </c>
      <c r="AL1" t="inlineStr">
        <is>
          <t>RankKey</t>
        </is>
      </c>
    </row>
    <row r="2">
      <c r="A2">
        <f>IF('NPV Comparison'!D15="","",'NPV Comparison'!D15)</f>
        <v/>
      </c>
      <c r="B2">
        <f>IF('NPV Comparison'!E15="","",'NPV Comparison'!E15)</f>
        <v/>
      </c>
      <c r="C2">
        <f>IF('NPV Comparison'!F15="","",'NPV Comparison'!F15)</f>
        <v/>
      </c>
      <c r="D2">
        <f>IF($A2="","",IFERROR(INDEX(Structure!$E$13:$E$312,MATCH($A2,Structure!$P$13:$P$312,0)),""))</f>
        <v/>
      </c>
      <c r="E2">
        <f>IF($A2="",0,IF(COUNTIF(Structure!$P$13:$P$312,$A2)=0,0,IF(COUNTIFS(Structure!$P$13:$P$312,$A2,Structure!$N$13:$N$312,"&lt;&gt;Zero Hours")=0,1,0)))</f>
        <v/>
      </c>
      <c r="F2">
        <f>IF($A2="",0,1-E2)</f>
        <v/>
      </c>
      <c r="G2">
        <f>IF($A2="",0,IF(COUNTIF('New Starters'!$D$14:$D$73,$A2)&gt;0,1,0))</f>
        <v/>
      </c>
      <c r="H2">
        <f>IF($A2="",0,IF(COUNTIF('Leavers'!$D$12:$D$71,$A2)&gt;0,1,0))</f>
        <v/>
      </c>
      <c r="I2">
        <f>IF($A2="","",IFERROR(INDEX('New Starters'!$K$14:$K$73,MATCH($A2,'New Starters'!$D$14:$D$73,0)),IFERROR(INDEX('Leavers'!$K$12:$K$71,MATCH($A2,'Leavers'!$D$12:$D$71,0)),"")))</f>
        <v/>
      </c>
      <c r="J2">
        <f>IF(AND(G2=1,I2&lt;&gt;"",COUNTIF('Leavers'!$K$12:$K$71,I2)&gt;0),1,IF(AND(H2=1,I2&lt;&gt;"",COUNTIF('New Starters'!$K$14:$K$73,I2)&gt;0),1,0))</f>
        <v/>
      </c>
      <c r="K2">
        <f>IF(ISNUMBER(SEARCH("Head Office",D2)),'Control Sheet'!$C$6,'Control Sheet'!$C$5)</f>
        <v/>
      </c>
      <c r="L2">
        <f>IF(OR($A2="",AND(B2="",C2="")),"",IF(B2="",C2,IF(C2="",-B2,C2-B2)))</f>
        <v/>
      </c>
      <c r="M2">
        <f>IFERROR(L2/B2,"")</f>
        <v/>
      </c>
      <c r="N2">
        <f>IF($A2="",0,IF(OR(B2="",C2="",C2=0,AND(ISNUMBER(M2),ABS(M2)&gt;K2)),1,0))</f>
        <v/>
      </c>
      <c r="O2">
        <f>IF(AND(N2=1,ABS(L2)&gt;='Control Sheet'!$C$7,F2=1),1,0)</f>
        <v/>
      </c>
      <c r="P2">
        <f>IF($A2="","",IF(F2=0,"Zero Hours",IF(J2=1,"Explained: Paired transfer",IF(AND(G2=1,H2=0,J2=0),"Explained: Starter",IF(AND(H2=1,G2=0,J2=0),"Explained: Leaver",IF(O2=1,"Review required","OK"))))))</f>
        <v/>
      </c>
      <c r="Q2">
        <f>IF(AND(F2=1,OR(C2="",C2=0),H2=0,J2=0),1,0)</f>
        <v/>
      </c>
      <c r="R2">
        <f>IF(F2=0,0,IF(P2="Review required",1,IF(AND(P2="Explained: Starter",ISNUMBER(C2),C2&gt;=1500),1,0)))</f>
        <v/>
      </c>
      <c r="S2">
        <f>IF(R2=0,"",IF(Q2=1,"High",IF(AND(P2="Explained: Starter",C2&gt;=1500),"High",IF(ABS(L2)&gt;=2000,"High",IF(ABS(L2)&gt;=500,"Medium","Low")))))</f>
        <v/>
      </c>
      <c r="T2">
        <f>SUMIFS('Payment Breakdown Prior'!$S$15:$S$164,'Payment Breakdown Prior'!$AE$15:$AE$164,$A2)</f>
        <v/>
      </c>
      <c r="U2">
        <f>SUMIFS('Payment Breakdown Current'!$S$15:$S$164,'Payment Breakdown Current'!$AE$15:$AE$164,$A2)</f>
        <v/>
      </c>
      <c r="V2">
        <f>IFERROR((U2-T2)/T2,"")</f>
        <v/>
      </c>
      <c r="W2">
        <f>(SUMIFS('Payment Breakdown Current'!$S$15:$S$164,'Payment Breakdown Current'!$AE$15:$AE$164,$A2))-(SUMIFS('Payment Breakdown Prior'!$S$15:$S$164,'Payment Breakdown Prior'!$AE$15:$AE$164,$A2))</f>
        <v/>
      </c>
      <c r="X2">
        <f>(SUMIFS('Payment Breakdown Current'!$T$15:$T$164,'Payment Breakdown Current'!$AE$15:$AE$164,$A2))-(SUMIFS('Payment Breakdown Prior'!$T$15:$T$164,'Payment Breakdown Prior'!$AE$15:$AE$164,$A2))</f>
        <v/>
      </c>
      <c r="Y2">
        <f>(SUMIFS('Payment Breakdown Current'!$U$15:$U$164,'Payment Breakdown Current'!$AE$15:$AE$164,$A2))-(SUMIFS('Payment Breakdown Prior'!$U$15:$U$164,'Payment Breakdown Prior'!$AE$15:$AE$164,$A2))</f>
        <v/>
      </c>
      <c r="Z2">
        <f>(SUMIFS('Payment Breakdown Current'!$V$15:$V$164,'Payment Breakdown Current'!$AE$15:$AE$164,$A2))-(SUMIFS('Payment Breakdown Prior'!$V$15:$V$164,'Payment Breakdown Prior'!$AE$15:$AE$164,$A2))</f>
        <v/>
      </c>
      <c r="AA2">
        <f>(SUMIFS('Payment Breakdown Current'!$W$15:$W$164,'Payment Breakdown Current'!$AE$15:$AE$164,$A2))-(SUMIFS('Payment Breakdown Prior'!$W$15:$W$164,'Payment Breakdown Prior'!$AE$15:$AE$164,$A2))</f>
        <v/>
      </c>
      <c r="AB2">
        <f>(SUMIFS('Payment Breakdown Current'!$X$15:$X$164,'Payment Breakdown Current'!$AE$15:$AE$164,$A2))-(SUMIFS('Payment Breakdown Prior'!$X$15:$X$164,'Payment Breakdown Prior'!$AE$15:$AE$164,$A2))</f>
        <v/>
      </c>
      <c r="AC2">
        <f>(SUMIFS('Payment Breakdown Current'!$Y$15:$Y$164,'Payment Breakdown Current'!$AE$15:$AE$164,$A2))-(SUMIFS('Payment Breakdown Prior'!$Y$15:$Y$164,'Payment Breakdown Prior'!$AE$15:$AE$164,$A2))</f>
        <v/>
      </c>
      <c r="AD2">
        <f>(SUMIFS('Payment Breakdown Current'!$Z$15:$Z$164,'Payment Breakdown Current'!$AE$15:$AE$164,$A2))-(SUMIFS('Payment Breakdown Prior'!$Z$15:$Z$164,'Payment Breakdown Prior'!$AE$15:$AE$164,$A2))</f>
        <v/>
      </c>
      <c r="AE2">
        <f>(SUMIFS('Payment Breakdown Current'!$AA$15:$AA$164,'Payment Breakdown Current'!$AE$15:$AE$164,$A2))-(SUMIFS('Payment Breakdown Prior'!$AA$15:$AA$164,'Payment Breakdown Prior'!$AE$15:$AE$164,$A2))</f>
        <v/>
      </c>
      <c r="AF2">
        <f>(SUMIFS('Payment Breakdown Current'!$AB$15:$AB$164,'Payment Breakdown Current'!$AE$15:$AE$164,$A2))-(SUMIFS('Payment Breakdown Prior'!$AB$15:$AB$164,'Payment Breakdown Prior'!$AE$15:$AE$164,$A2))</f>
        <v/>
      </c>
      <c r="AG2">
        <f>(SUMIFS('Payment Breakdown Current'!$AC$15:$AC$164,'Payment Breakdown Current'!$AE$15:$AE$164,$A2))-(SUMIFS('Payment Breakdown Prior'!$AC$15:$AC$164,'Payment Breakdown Prior'!$AE$15:$AE$164,$A2))</f>
        <v/>
      </c>
      <c r="AH2">
        <f>(SUMIFS('Payment Breakdown Current'!$AD$15:$AD$164,'Payment Breakdown Current'!$AE$15:$AE$164,$A2))-(SUMIFS('Payment Breakdown Prior'!$AD$15:$AD$164,'Payment Breakdown Prior'!$AE$15:$AE$164,$A2))</f>
        <v/>
      </c>
      <c r="AI2">
        <f t="array" ref="AI2">MAX(ABS(W2:AH2))</f>
        <v/>
      </c>
      <c r="AJ2">
        <f t="array" ref="AJ2">IF(AI2&lt;0.005,"",IFERROR(INDEX($W$1:$AH$1,MATCH(AI2,ABS(W2:AH2),0)),""))</f>
        <v/>
      </c>
      <c r="AK2">
        <f t="array" ref="AK2">IF(AI2&lt;0.005,"",IFERROR(INDEX(W2:AH2,MATCH(AI2,ABS(W2:AH2),0)),""))</f>
        <v/>
      </c>
      <c r="AL2">
        <f>IF(R2=1,ABS(L2)-ROW()/100000000,"")</f>
        <v/>
      </c>
    </row>
    <row r="3">
      <c r="A3">
        <f>IF('NPV Comparison'!D16="","",'NPV Comparison'!D16)</f>
        <v/>
      </c>
      <c r="B3">
        <f>IF('NPV Comparison'!E16="","",'NPV Comparison'!E16)</f>
        <v/>
      </c>
      <c r="C3">
        <f>IF('NPV Comparison'!F16="","",'NPV Comparison'!F16)</f>
        <v/>
      </c>
      <c r="D3">
        <f>IF($A3="","",IFERROR(INDEX(Structure!$E$13:$E$312,MATCH($A3,Structure!$P$13:$P$312,0)),""))</f>
        <v/>
      </c>
      <c r="E3">
        <f>IF($A3="",0,IF(COUNTIF(Structure!$P$13:$P$312,$A3)=0,0,IF(COUNTIFS(Structure!$P$13:$P$312,$A3,Structure!$N$13:$N$312,"&lt;&gt;Zero Hours")=0,1,0)))</f>
        <v/>
      </c>
      <c r="F3">
        <f>IF($A3="",0,1-E3)</f>
        <v/>
      </c>
      <c r="G3">
        <f>IF($A3="",0,IF(COUNTIF('New Starters'!$D$14:$D$73,$A3)&gt;0,1,0))</f>
        <v/>
      </c>
      <c r="H3">
        <f>IF($A3="",0,IF(COUNTIF('Leavers'!$D$12:$D$71,$A3)&gt;0,1,0))</f>
        <v/>
      </c>
      <c r="I3">
        <f>IF($A3="","",IFERROR(INDEX('New Starters'!$K$14:$K$73,MATCH($A3,'New Starters'!$D$14:$D$73,0)),IFERROR(INDEX('Leavers'!$K$12:$K$71,MATCH($A3,'Leavers'!$D$12:$D$71,0)),"")))</f>
        <v/>
      </c>
      <c r="J3">
        <f>IF(AND(G3=1,I3&lt;&gt;"",COUNTIF('Leavers'!$K$12:$K$71,I3)&gt;0),1,IF(AND(H3=1,I3&lt;&gt;"",COUNTIF('New Starters'!$K$14:$K$73,I3)&gt;0),1,0))</f>
        <v/>
      </c>
      <c r="K3">
        <f>IF(ISNUMBER(SEARCH("Head Office",D3)),'Control Sheet'!$C$6,'Control Sheet'!$C$5)</f>
        <v/>
      </c>
      <c r="L3">
        <f>IF(OR($A3="",AND(B3="",C3="")),"",IF(B3="",C3,IF(C3="",-B3,C3-B3)))</f>
        <v/>
      </c>
      <c r="M3">
        <f>IFERROR(L3/B3,"")</f>
        <v/>
      </c>
      <c r="N3">
        <f>IF($A3="",0,IF(OR(B3="",C3="",C3=0,AND(ISNUMBER(M3),ABS(M3)&gt;K3)),1,0))</f>
        <v/>
      </c>
      <c r="O3">
        <f>IF(AND(N3=1,ABS(L3)&gt;='Control Sheet'!$C$7,F3=1),1,0)</f>
        <v/>
      </c>
      <c r="P3">
        <f>IF($A3="","",IF(F3=0,"Zero Hours",IF(J3=1,"Explained: Paired transfer",IF(AND(G3=1,H3=0,J3=0),"Explained: Starter",IF(AND(H3=1,G3=0,J3=0),"Explained: Leaver",IF(O3=1,"Review required","OK"))))))</f>
        <v/>
      </c>
      <c r="Q3">
        <f>IF(AND(F3=1,OR(C3="",C3=0),H3=0,J3=0),1,0)</f>
        <v/>
      </c>
      <c r="R3">
        <f>IF(F3=0,0,IF(P3="Review required",1,IF(AND(P3="Explained: Starter",ISNUMBER(C3),C3&gt;=1500),1,0)))</f>
        <v/>
      </c>
      <c r="S3">
        <f>IF(R3=0,"",IF(Q3=1,"High",IF(AND(P3="Explained: Starter",C3&gt;=1500),"High",IF(ABS(L3)&gt;=2000,"High",IF(ABS(L3)&gt;=500,"Medium","Low")))))</f>
        <v/>
      </c>
      <c r="T3">
        <f>SUMIFS('Payment Breakdown Prior'!$S$15:$S$164,'Payment Breakdown Prior'!$AE$15:$AE$164,$A3)</f>
        <v/>
      </c>
      <c r="U3">
        <f>SUMIFS('Payment Breakdown Current'!$S$15:$S$164,'Payment Breakdown Current'!$AE$15:$AE$164,$A3)</f>
        <v/>
      </c>
      <c r="V3">
        <f>IFERROR((U3-T3)/T3,"")</f>
        <v/>
      </c>
      <c r="W3">
        <f>(SUMIFS('Payment Breakdown Current'!$S$15:$S$164,'Payment Breakdown Current'!$AE$15:$AE$164,$A3))-(SUMIFS('Payment Breakdown Prior'!$S$15:$S$164,'Payment Breakdown Prior'!$AE$15:$AE$164,$A3))</f>
        <v/>
      </c>
      <c r="X3">
        <f>(SUMIFS('Payment Breakdown Current'!$T$15:$T$164,'Payment Breakdown Current'!$AE$15:$AE$164,$A3))-(SUMIFS('Payment Breakdown Prior'!$T$15:$T$164,'Payment Breakdown Prior'!$AE$15:$AE$164,$A3))</f>
        <v/>
      </c>
      <c r="Y3">
        <f>(SUMIFS('Payment Breakdown Current'!$U$15:$U$164,'Payment Breakdown Current'!$AE$15:$AE$164,$A3))-(SUMIFS('Payment Breakdown Prior'!$U$15:$U$164,'Payment Breakdown Prior'!$AE$15:$AE$164,$A3))</f>
        <v/>
      </c>
      <c r="Z3">
        <f>(SUMIFS('Payment Breakdown Current'!$V$15:$V$164,'Payment Breakdown Current'!$AE$15:$AE$164,$A3))-(SUMIFS('Payment Breakdown Prior'!$V$15:$V$164,'Payment Breakdown Prior'!$AE$15:$AE$164,$A3))</f>
        <v/>
      </c>
      <c r="AA3">
        <f>(SUMIFS('Payment Breakdown Current'!$W$15:$W$164,'Payment Breakdown Current'!$AE$15:$AE$164,$A3))-(SUMIFS('Payment Breakdown Prior'!$W$15:$W$164,'Payment Breakdown Prior'!$AE$15:$AE$164,$A3))</f>
        <v/>
      </c>
      <c r="AB3">
        <f>(SUMIFS('Payment Breakdown Current'!$X$15:$X$164,'Payment Breakdown Current'!$AE$15:$AE$164,$A3))-(SUMIFS('Payment Breakdown Prior'!$X$15:$X$164,'Payment Breakdown Prior'!$AE$15:$AE$164,$A3))</f>
        <v/>
      </c>
      <c r="AC3">
        <f>(SUMIFS('Payment Breakdown Current'!$Y$15:$Y$164,'Payment Breakdown Current'!$AE$15:$AE$164,$A3))-(SUMIFS('Payment Breakdown Prior'!$Y$15:$Y$164,'Payment Breakdown Prior'!$AE$15:$AE$164,$A3))</f>
        <v/>
      </c>
      <c r="AD3">
        <f>(SUMIFS('Payment Breakdown Current'!$Z$15:$Z$164,'Payment Breakdown Current'!$AE$15:$AE$164,$A3))-(SUMIFS('Payment Breakdown Prior'!$Z$15:$Z$164,'Payment Breakdown Prior'!$AE$15:$AE$164,$A3))</f>
        <v/>
      </c>
      <c r="AE3">
        <f>(SUMIFS('Payment Breakdown Current'!$AA$15:$AA$164,'Payment Breakdown Current'!$AE$15:$AE$164,$A3))-(SUMIFS('Payment Breakdown Prior'!$AA$15:$AA$164,'Payment Breakdown Prior'!$AE$15:$AE$164,$A3))</f>
        <v/>
      </c>
      <c r="AF3">
        <f>(SUMIFS('Payment Breakdown Current'!$AB$15:$AB$164,'Payment Breakdown Current'!$AE$15:$AE$164,$A3))-(SUMIFS('Payment Breakdown Prior'!$AB$15:$AB$164,'Payment Breakdown Prior'!$AE$15:$AE$164,$A3))</f>
        <v/>
      </c>
      <c r="AG3">
        <f>(SUMIFS('Payment Breakdown Current'!$AC$15:$AC$164,'Payment Breakdown Current'!$AE$15:$AE$164,$A3))-(SUMIFS('Payment Breakdown Prior'!$AC$15:$AC$164,'Payment Breakdown Prior'!$AE$15:$AE$164,$A3))</f>
        <v/>
      </c>
      <c r="AH3">
        <f>(SUMIFS('Payment Breakdown Current'!$AD$15:$AD$164,'Payment Breakdown Current'!$AE$15:$AE$164,$A3))-(SUMIFS('Payment Breakdown Prior'!$AD$15:$AD$164,'Payment Breakdown Prior'!$AE$15:$AE$164,$A3))</f>
        <v/>
      </c>
      <c r="AI3">
        <f t="array" ref="AI3">MAX(ABS(W3:AH3))</f>
        <v/>
      </c>
      <c r="AJ3">
        <f t="array" ref="AJ3">IF(AI3&lt;0.005,"",IFERROR(INDEX($W$1:$AH$1,MATCH(AI3,ABS(W3:AH3),0)),""))</f>
        <v/>
      </c>
      <c r="AK3">
        <f t="array" ref="AK3">IF(AI3&lt;0.005,"",IFERROR(INDEX(W3:AH3,MATCH(AI3,ABS(W3:AH3),0)),""))</f>
        <v/>
      </c>
      <c r="AL3">
        <f>IF(R3=1,ABS(L3)-ROW()/100000000,"")</f>
        <v/>
      </c>
    </row>
    <row r="4">
      <c r="A4">
        <f>IF('NPV Comparison'!D17="","",'NPV Comparison'!D17)</f>
        <v/>
      </c>
      <c r="B4">
        <f>IF('NPV Comparison'!E17="","",'NPV Comparison'!E17)</f>
        <v/>
      </c>
      <c r="C4">
        <f>IF('NPV Comparison'!F17="","",'NPV Comparison'!F17)</f>
        <v/>
      </c>
      <c r="D4">
        <f>IF($A4="","",IFERROR(INDEX(Structure!$E$13:$E$312,MATCH($A4,Structure!$P$13:$P$312,0)),""))</f>
        <v/>
      </c>
      <c r="E4">
        <f>IF($A4="",0,IF(COUNTIF(Structure!$P$13:$P$312,$A4)=0,0,IF(COUNTIFS(Structure!$P$13:$P$312,$A4,Structure!$N$13:$N$312,"&lt;&gt;Zero Hours")=0,1,0)))</f>
        <v/>
      </c>
      <c r="F4">
        <f>IF($A4="",0,1-E4)</f>
        <v/>
      </c>
      <c r="G4">
        <f>IF($A4="",0,IF(COUNTIF('New Starters'!$D$14:$D$73,$A4)&gt;0,1,0))</f>
        <v/>
      </c>
      <c r="H4">
        <f>IF($A4="",0,IF(COUNTIF('Leavers'!$D$12:$D$71,$A4)&gt;0,1,0))</f>
        <v/>
      </c>
      <c r="I4">
        <f>IF($A4="","",IFERROR(INDEX('New Starters'!$K$14:$K$73,MATCH($A4,'New Starters'!$D$14:$D$73,0)),IFERROR(INDEX('Leavers'!$K$12:$K$71,MATCH($A4,'Leavers'!$D$12:$D$71,0)),"")))</f>
        <v/>
      </c>
      <c r="J4">
        <f>IF(AND(G4=1,I4&lt;&gt;"",COUNTIF('Leavers'!$K$12:$K$71,I4)&gt;0),1,IF(AND(H4=1,I4&lt;&gt;"",COUNTIF('New Starters'!$K$14:$K$73,I4)&gt;0),1,0))</f>
        <v/>
      </c>
      <c r="K4">
        <f>IF(ISNUMBER(SEARCH("Head Office",D4)),'Control Sheet'!$C$6,'Control Sheet'!$C$5)</f>
        <v/>
      </c>
      <c r="L4">
        <f>IF(OR($A4="",AND(B4="",C4="")),"",IF(B4="",C4,IF(C4="",-B4,C4-B4)))</f>
        <v/>
      </c>
      <c r="M4">
        <f>IFERROR(L4/B4,"")</f>
        <v/>
      </c>
      <c r="N4">
        <f>IF($A4="",0,IF(OR(B4="",C4="",C4=0,AND(ISNUMBER(M4),ABS(M4)&gt;K4)),1,0))</f>
        <v/>
      </c>
      <c r="O4">
        <f>IF(AND(N4=1,ABS(L4)&gt;='Control Sheet'!$C$7,F4=1),1,0)</f>
        <v/>
      </c>
      <c r="P4">
        <f>IF($A4="","",IF(F4=0,"Zero Hours",IF(J4=1,"Explained: Paired transfer",IF(AND(G4=1,H4=0,J4=0),"Explained: Starter",IF(AND(H4=1,G4=0,J4=0),"Explained: Leaver",IF(O4=1,"Review required","OK"))))))</f>
        <v/>
      </c>
      <c r="Q4">
        <f>IF(AND(F4=1,OR(C4="",C4=0),H4=0,J4=0),1,0)</f>
        <v/>
      </c>
      <c r="R4">
        <f>IF(F4=0,0,IF(P4="Review required",1,IF(AND(P4="Explained: Starter",ISNUMBER(C4),C4&gt;=1500),1,0)))</f>
        <v/>
      </c>
      <c r="S4">
        <f>IF(R4=0,"",IF(Q4=1,"High",IF(AND(P4="Explained: Starter",C4&gt;=1500),"High",IF(ABS(L4)&gt;=2000,"High",IF(ABS(L4)&gt;=500,"Medium","Low")))))</f>
        <v/>
      </c>
      <c r="T4">
        <f>SUMIFS('Payment Breakdown Prior'!$S$15:$S$164,'Payment Breakdown Prior'!$AE$15:$AE$164,$A4)</f>
        <v/>
      </c>
      <c r="U4">
        <f>SUMIFS('Payment Breakdown Current'!$S$15:$S$164,'Payment Breakdown Current'!$AE$15:$AE$164,$A4)</f>
        <v/>
      </c>
      <c r="V4">
        <f>IFERROR((U4-T4)/T4,"")</f>
        <v/>
      </c>
      <c r="W4">
        <f>(SUMIFS('Payment Breakdown Current'!$S$15:$S$164,'Payment Breakdown Current'!$AE$15:$AE$164,$A4))-(SUMIFS('Payment Breakdown Prior'!$S$15:$S$164,'Payment Breakdown Prior'!$AE$15:$AE$164,$A4))</f>
        <v/>
      </c>
      <c r="X4">
        <f>(SUMIFS('Payment Breakdown Current'!$T$15:$T$164,'Payment Breakdown Current'!$AE$15:$AE$164,$A4))-(SUMIFS('Payment Breakdown Prior'!$T$15:$T$164,'Payment Breakdown Prior'!$AE$15:$AE$164,$A4))</f>
        <v/>
      </c>
      <c r="Y4">
        <f>(SUMIFS('Payment Breakdown Current'!$U$15:$U$164,'Payment Breakdown Current'!$AE$15:$AE$164,$A4))-(SUMIFS('Payment Breakdown Prior'!$U$15:$U$164,'Payment Breakdown Prior'!$AE$15:$AE$164,$A4))</f>
        <v/>
      </c>
      <c r="Z4">
        <f>(SUMIFS('Payment Breakdown Current'!$V$15:$V$164,'Payment Breakdown Current'!$AE$15:$AE$164,$A4))-(SUMIFS('Payment Breakdown Prior'!$V$15:$V$164,'Payment Breakdown Prior'!$AE$15:$AE$164,$A4))</f>
        <v/>
      </c>
      <c r="AA4">
        <f>(SUMIFS('Payment Breakdown Current'!$W$15:$W$164,'Payment Breakdown Current'!$AE$15:$AE$164,$A4))-(SUMIFS('Payment Breakdown Prior'!$W$15:$W$164,'Payment Breakdown Prior'!$AE$15:$AE$164,$A4))</f>
        <v/>
      </c>
      <c r="AB4">
        <f>(SUMIFS('Payment Breakdown Current'!$X$15:$X$164,'Payment Breakdown Current'!$AE$15:$AE$164,$A4))-(SUMIFS('Payment Breakdown Prior'!$X$15:$X$164,'Payment Breakdown Prior'!$AE$15:$AE$164,$A4))</f>
        <v/>
      </c>
      <c r="AC4">
        <f>(SUMIFS('Payment Breakdown Current'!$Y$15:$Y$164,'Payment Breakdown Current'!$AE$15:$AE$164,$A4))-(SUMIFS('Payment Breakdown Prior'!$Y$15:$Y$164,'Payment Breakdown Prior'!$AE$15:$AE$164,$A4))</f>
        <v/>
      </c>
      <c r="AD4">
        <f>(SUMIFS('Payment Breakdown Current'!$Z$15:$Z$164,'Payment Breakdown Current'!$AE$15:$AE$164,$A4))-(SUMIFS('Payment Breakdown Prior'!$Z$15:$Z$164,'Payment Breakdown Prior'!$AE$15:$AE$164,$A4))</f>
        <v/>
      </c>
      <c r="AE4">
        <f>(SUMIFS('Payment Breakdown Current'!$AA$15:$AA$164,'Payment Breakdown Current'!$AE$15:$AE$164,$A4))-(SUMIFS('Payment Breakdown Prior'!$AA$15:$AA$164,'Payment Breakdown Prior'!$AE$15:$AE$164,$A4))</f>
        <v/>
      </c>
      <c r="AF4">
        <f>(SUMIFS('Payment Breakdown Current'!$AB$15:$AB$164,'Payment Breakdown Current'!$AE$15:$AE$164,$A4))-(SUMIFS('Payment Breakdown Prior'!$AB$15:$AB$164,'Payment Breakdown Prior'!$AE$15:$AE$164,$A4))</f>
        <v/>
      </c>
      <c r="AG4">
        <f>(SUMIFS('Payment Breakdown Current'!$AC$15:$AC$164,'Payment Breakdown Current'!$AE$15:$AE$164,$A4))-(SUMIFS('Payment Breakdown Prior'!$AC$15:$AC$164,'Payment Breakdown Prior'!$AE$15:$AE$164,$A4))</f>
        <v/>
      </c>
      <c r="AH4">
        <f>(SUMIFS('Payment Breakdown Current'!$AD$15:$AD$164,'Payment Breakdown Current'!$AE$15:$AE$164,$A4))-(SUMIFS('Payment Breakdown Prior'!$AD$15:$AD$164,'Payment Breakdown Prior'!$AE$15:$AE$164,$A4))</f>
        <v/>
      </c>
      <c r="AI4">
        <f t="array" ref="AI4">MAX(ABS(W4:AH4))</f>
        <v/>
      </c>
      <c r="AJ4">
        <f t="array" ref="AJ4">IF(AI4&lt;0.005,"",IFERROR(INDEX($W$1:$AH$1,MATCH(AI4,ABS(W4:AH4),0)),""))</f>
        <v/>
      </c>
      <c r="AK4">
        <f t="array" ref="AK4">IF(AI4&lt;0.005,"",IFERROR(INDEX(W4:AH4,MATCH(AI4,ABS(W4:AH4),0)),""))</f>
        <v/>
      </c>
      <c r="AL4">
        <f>IF(R4=1,ABS(L4)-ROW()/100000000,"")</f>
        <v/>
      </c>
    </row>
    <row r="5">
      <c r="A5">
        <f>IF('NPV Comparison'!D18="","",'NPV Comparison'!D18)</f>
        <v/>
      </c>
      <c r="B5">
        <f>IF('NPV Comparison'!E18="","",'NPV Comparison'!E18)</f>
        <v/>
      </c>
      <c r="C5">
        <f>IF('NPV Comparison'!F18="","",'NPV Comparison'!F18)</f>
        <v/>
      </c>
      <c r="D5">
        <f>IF($A5="","",IFERROR(INDEX(Structure!$E$13:$E$312,MATCH($A5,Structure!$P$13:$P$312,0)),""))</f>
        <v/>
      </c>
      <c r="E5">
        <f>IF($A5="",0,IF(COUNTIF(Structure!$P$13:$P$312,$A5)=0,0,IF(COUNTIFS(Structure!$P$13:$P$312,$A5,Structure!$N$13:$N$312,"&lt;&gt;Zero Hours")=0,1,0)))</f>
        <v/>
      </c>
      <c r="F5">
        <f>IF($A5="",0,1-E5)</f>
        <v/>
      </c>
      <c r="G5">
        <f>IF($A5="",0,IF(COUNTIF('New Starters'!$D$14:$D$73,$A5)&gt;0,1,0))</f>
        <v/>
      </c>
      <c r="H5">
        <f>IF($A5="",0,IF(COUNTIF('Leavers'!$D$12:$D$71,$A5)&gt;0,1,0))</f>
        <v/>
      </c>
      <c r="I5">
        <f>IF($A5="","",IFERROR(INDEX('New Starters'!$K$14:$K$73,MATCH($A5,'New Starters'!$D$14:$D$73,0)),IFERROR(INDEX('Leavers'!$K$12:$K$71,MATCH($A5,'Leavers'!$D$12:$D$71,0)),"")))</f>
        <v/>
      </c>
      <c r="J5">
        <f>IF(AND(G5=1,I5&lt;&gt;"",COUNTIF('Leavers'!$K$12:$K$71,I5)&gt;0),1,IF(AND(H5=1,I5&lt;&gt;"",COUNTIF('New Starters'!$K$14:$K$73,I5)&gt;0),1,0))</f>
        <v/>
      </c>
      <c r="K5">
        <f>IF(ISNUMBER(SEARCH("Head Office",D5)),'Control Sheet'!$C$6,'Control Sheet'!$C$5)</f>
        <v/>
      </c>
      <c r="L5">
        <f>IF(OR($A5="",AND(B5="",C5="")),"",IF(B5="",C5,IF(C5="",-B5,C5-B5)))</f>
        <v/>
      </c>
      <c r="M5">
        <f>IFERROR(L5/B5,"")</f>
        <v/>
      </c>
      <c r="N5">
        <f>IF($A5="",0,IF(OR(B5="",C5="",C5=0,AND(ISNUMBER(M5),ABS(M5)&gt;K5)),1,0))</f>
        <v/>
      </c>
      <c r="O5">
        <f>IF(AND(N5=1,ABS(L5)&gt;='Control Sheet'!$C$7,F5=1),1,0)</f>
        <v/>
      </c>
      <c r="P5">
        <f>IF($A5="","",IF(F5=0,"Zero Hours",IF(J5=1,"Explained: Paired transfer",IF(AND(G5=1,H5=0,J5=0),"Explained: Starter",IF(AND(H5=1,G5=0,J5=0),"Explained: Leaver",IF(O5=1,"Review required","OK"))))))</f>
        <v/>
      </c>
      <c r="Q5">
        <f>IF(AND(F5=1,OR(C5="",C5=0),H5=0,J5=0),1,0)</f>
        <v/>
      </c>
      <c r="R5">
        <f>IF(F5=0,0,IF(P5="Review required",1,IF(AND(P5="Explained: Starter",ISNUMBER(C5),C5&gt;=1500),1,0)))</f>
        <v/>
      </c>
      <c r="S5">
        <f>IF(R5=0,"",IF(Q5=1,"High",IF(AND(P5="Explained: Starter",C5&gt;=1500),"High",IF(ABS(L5)&gt;=2000,"High",IF(ABS(L5)&gt;=500,"Medium","Low")))))</f>
        <v/>
      </c>
      <c r="T5">
        <f>SUMIFS('Payment Breakdown Prior'!$S$15:$S$164,'Payment Breakdown Prior'!$AE$15:$AE$164,$A5)</f>
        <v/>
      </c>
      <c r="U5">
        <f>SUMIFS('Payment Breakdown Current'!$S$15:$S$164,'Payment Breakdown Current'!$AE$15:$AE$164,$A5)</f>
        <v/>
      </c>
      <c r="V5">
        <f>IFERROR((U5-T5)/T5,"")</f>
        <v/>
      </c>
      <c r="W5">
        <f>(SUMIFS('Payment Breakdown Current'!$S$15:$S$164,'Payment Breakdown Current'!$AE$15:$AE$164,$A5))-(SUMIFS('Payment Breakdown Prior'!$S$15:$S$164,'Payment Breakdown Prior'!$AE$15:$AE$164,$A5))</f>
        <v/>
      </c>
      <c r="X5">
        <f>(SUMIFS('Payment Breakdown Current'!$T$15:$T$164,'Payment Breakdown Current'!$AE$15:$AE$164,$A5))-(SUMIFS('Payment Breakdown Prior'!$T$15:$T$164,'Payment Breakdown Prior'!$AE$15:$AE$164,$A5))</f>
        <v/>
      </c>
      <c r="Y5">
        <f>(SUMIFS('Payment Breakdown Current'!$U$15:$U$164,'Payment Breakdown Current'!$AE$15:$AE$164,$A5))-(SUMIFS('Payment Breakdown Prior'!$U$15:$U$164,'Payment Breakdown Prior'!$AE$15:$AE$164,$A5))</f>
        <v/>
      </c>
      <c r="Z5">
        <f>(SUMIFS('Payment Breakdown Current'!$V$15:$V$164,'Payment Breakdown Current'!$AE$15:$AE$164,$A5))-(SUMIFS('Payment Breakdown Prior'!$V$15:$V$164,'Payment Breakdown Prior'!$AE$15:$AE$164,$A5))</f>
        <v/>
      </c>
      <c r="AA5">
        <f>(SUMIFS('Payment Breakdown Current'!$W$15:$W$164,'Payment Breakdown Current'!$AE$15:$AE$164,$A5))-(SUMIFS('Payment Breakdown Prior'!$W$15:$W$164,'Payment Breakdown Prior'!$AE$15:$AE$164,$A5))</f>
        <v/>
      </c>
      <c r="AB5">
        <f>(SUMIFS('Payment Breakdown Current'!$X$15:$X$164,'Payment Breakdown Current'!$AE$15:$AE$164,$A5))-(SUMIFS('Payment Breakdown Prior'!$X$15:$X$164,'Payment Breakdown Prior'!$AE$15:$AE$164,$A5))</f>
        <v/>
      </c>
      <c r="AC5">
        <f>(SUMIFS('Payment Breakdown Current'!$Y$15:$Y$164,'Payment Breakdown Current'!$AE$15:$AE$164,$A5))-(SUMIFS('Payment Breakdown Prior'!$Y$15:$Y$164,'Payment Breakdown Prior'!$AE$15:$AE$164,$A5))</f>
        <v/>
      </c>
      <c r="AD5">
        <f>(SUMIFS('Payment Breakdown Current'!$Z$15:$Z$164,'Payment Breakdown Current'!$AE$15:$AE$164,$A5))-(SUMIFS('Payment Breakdown Prior'!$Z$15:$Z$164,'Payment Breakdown Prior'!$AE$15:$AE$164,$A5))</f>
        <v/>
      </c>
      <c r="AE5">
        <f>(SUMIFS('Payment Breakdown Current'!$AA$15:$AA$164,'Payment Breakdown Current'!$AE$15:$AE$164,$A5))-(SUMIFS('Payment Breakdown Prior'!$AA$15:$AA$164,'Payment Breakdown Prior'!$AE$15:$AE$164,$A5))</f>
        <v/>
      </c>
      <c r="AF5">
        <f>(SUMIFS('Payment Breakdown Current'!$AB$15:$AB$164,'Payment Breakdown Current'!$AE$15:$AE$164,$A5))-(SUMIFS('Payment Breakdown Prior'!$AB$15:$AB$164,'Payment Breakdown Prior'!$AE$15:$AE$164,$A5))</f>
        <v/>
      </c>
      <c r="AG5">
        <f>(SUMIFS('Payment Breakdown Current'!$AC$15:$AC$164,'Payment Breakdown Current'!$AE$15:$AE$164,$A5))-(SUMIFS('Payment Breakdown Prior'!$AC$15:$AC$164,'Payment Breakdown Prior'!$AE$15:$AE$164,$A5))</f>
        <v/>
      </c>
      <c r="AH5">
        <f>(SUMIFS('Payment Breakdown Current'!$AD$15:$AD$164,'Payment Breakdown Current'!$AE$15:$AE$164,$A5))-(SUMIFS('Payment Breakdown Prior'!$AD$15:$AD$164,'Payment Breakdown Prior'!$AE$15:$AE$164,$A5))</f>
        <v/>
      </c>
      <c r="AI5">
        <f t="array" ref="AI5">MAX(ABS(W5:AH5))</f>
        <v/>
      </c>
      <c r="AJ5">
        <f t="array" ref="AJ5">IF(AI5&lt;0.005,"",IFERROR(INDEX($W$1:$AH$1,MATCH(AI5,ABS(W5:AH5),0)),""))</f>
        <v/>
      </c>
      <c r="AK5">
        <f t="array" ref="AK5">IF(AI5&lt;0.005,"",IFERROR(INDEX(W5:AH5,MATCH(AI5,ABS(W5:AH5),0)),""))</f>
        <v/>
      </c>
      <c r="AL5">
        <f>IF(R5=1,ABS(L5)-ROW()/100000000,"")</f>
        <v/>
      </c>
    </row>
    <row r="6">
      <c r="A6">
        <f>IF('NPV Comparison'!D19="","",'NPV Comparison'!D19)</f>
        <v/>
      </c>
      <c r="B6">
        <f>IF('NPV Comparison'!E19="","",'NPV Comparison'!E19)</f>
        <v/>
      </c>
      <c r="C6">
        <f>IF('NPV Comparison'!F19="","",'NPV Comparison'!F19)</f>
        <v/>
      </c>
      <c r="D6">
        <f>IF($A6="","",IFERROR(INDEX(Structure!$E$13:$E$312,MATCH($A6,Structure!$P$13:$P$312,0)),""))</f>
        <v/>
      </c>
      <c r="E6">
        <f>IF($A6="",0,IF(COUNTIF(Structure!$P$13:$P$312,$A6)=0,0,IF(COUNTIFS(Structure!$P$13:$P$312,$A6,Structure!$N$13:$N$312,"&lt;&gt;Zero Hours")=0,1,0)))</f>
        <v/>
      </c>
      <c r="F6">
        <f>IF($A6="",0,1-E6)</f>
        <v/>
      </c>
      <c r="G6">
        <f>IF($A6="",0,IF(COUNTIF('New Starters'!$D$14:$D$73,$A6)&gt;0,1,0))</f>
        <v/>
      </c>
      <c r="H6">
        <f>IF($A6="",0,IF(COUNTIF('Leavers'!$D$12:$D$71,$A6)&gt;0,1,0))</f>
        <v/>
      </c>
      <c r="I6">
        <f>IF($A6="","",IFERROR(INDEX('New Starters'!$K$14:$K$73,MATCH($A6,'New Starters'!$D$14:$D$73,0)),IFERROR(INDEX('Leavers'!$K$12:$K$71,MATCH($A6,'Leavers'!$D$12:$D$71,0)),"")))</f>
        <v/>
      </c>
      <c r="J6">
        <f>IF(AND(G6=1,I6&lt;&gt;"",COUNTIF('Leavers'!$K$12:$K$71,I6)&gt;0),1,IF(AND(H6=1,I6&lt;&gt;"",COUNTIF('New Starters'!$K$14:$K$73,I6)&gt;0),1,0))</f>
        <v/>
      </c>
      <c r="K6">
        <f>IF(ISNUMBER(SEARCH("Head Office",D6)),'Control Sheet'!$C$6,'Control Sheet'!$C$5)</f>
        <v/>
      </c>
      <c r="L6">
        <f>IF(OR($A6="",AND(B6="",C6="")),"",IF(B6="",C6,IF(C6="",-B6,C6-B6)))</f>
        <v/>
      </c>
      <c r="M6">
        <f>IFERROR(L6/B6,"")</f>
        <v/>
      </c>
      <c r="N6">
        <f>IF($A6="",0,IF(OR(B6="",C6="",C6=0,AND(ISNUMBER(M6),ABS(M6)&gt;K6)),1,0))</f>
        <v/>
      </c>
      <c r="O6">
        <f>IF(AND(N6=1,ABS(L6)&gt;='Control Sheet'!$C$7,F6=1),1,0)</f>
        <v/>
      </c>
      <c r="P6">
        <f>IF($A6="","",IF(F6=0,"Zero Hours",IF(J6=1,"Explained: Paired transfer",IF(AND(G6=1,H6=0,J6=0),"Explained: Starter",IF(AND(H6=1,G6=0,J6=0),"Explained: Leaver",IF(O6=1,"Review required","OK"))))))</f>
        <v/>
      </c>
      <c r="Q6">
        <f>IF(AND(F6=1,OR(C6="",C6=0),H6=0,J6=0),1,0)</f>
        <v/>
      </c>
      <c r="R6">
        <f>IF(F6=0,0,IF(P6="Review required",1,IF(AND(P6="Explained: Starter",ISNUMBER(C6),C6&gt;=1500),1,0)))</f>
        <v/>
      </c>
      <c r="S6">
        <f>IF(R6=0,"",IF(Q6=1,"High",IF(AND(P6="Explained: Starter",C6&gt;=1500),"High",IF(ABS(L6)&gt;=2000,"High",IF(ABS(L6)&gt;=500,"Medium","Low")))))</f>
        <v/>
      </c>
      <c r="T6">
        <f>SUMIFS('Payment Breakdown Prior'!$S$15:$S$164,'Payment Breakdown Prior'!$AE$15:$AE$164,$A6)</f>
        <v/>
      </c>
      <c r="U6">
        <f>SUMIFS('Payment Breakdown Current'!$S$15:$S$164,'Payment Breakdown Current'!$AE$15:$AE$164,$A6)</f>
        <v/>
      </c>
      <c r="V6">
        <f>IFERROR((U6-T6)/T6,"")</f>
        <v/>
      </c>
      <c r="W6">
        <f>(SUMIFS('Payment Breakdown Current'!$S$15:$S$164,'Payment Breakdown Current'!$AE$15:$AE$164,$A6))-(SUMIFS('Payment Breakdown Prior'!$S$15:$S$164,'Payment Breakdown Prior'!$AE$15:$AE$164,$A6))</f>
        <v/>
      </c>
      <c r="X6">
        <f>(SUMIFS('Payment Breakdown Current'!$T$15:$T$164,'Payment Breakdown Current'!$AE$15:$AE$164,$A6))-(SUMIFS('Payment Breakdown Prior'!$T$15:$T$164,'Payment Breakdown Prior'!$AE$15:$AE$164,$A6))</f>
        <v/>
      </c>
      <c r="Y6">
        <f>(SUMIFS('Payment Breakdown Current'!$U$15:$U$164,'Payment Breakdown Current'!$AE$15:$AE$164,$A6))-(SUMIFS('Payment Breakdown Prior'!$U$15:$U$164,'Payment Breakdown Prior'!$AE$15:$AE$164,$A6))</f>
        <v/>
      </c>
      <c r="Z6">
        <f>(SUMIFS('Payment Breakdown Current'!$V$15:$V$164,'Payment Breakdown Current'!$AE$15:$AE$164,$A6))-(SUMIFS('Payment Breakdown Prior'!$V$15:$V$164,'Payment Breakdown Prior'!$AE$15:$AE$164,$A6))</f>
        <v/>
      </c>
      <c r="AA6">
        <f>(SUMIFS('Payment Breakdown Current'!$W$15:$W$164,'Payment Breakdown Current'!$AE$15:$AE$164,$A6))-(SUMIFS('Payment Breakdown Prior'!$W$15:$W$164,'Payment Breakdown Prior'!$AE$15:$AE$164,$A6))</f>
        <v/>
      </c>
      <c r="AB6">
        <f>(SUMIFS('Payment Breakdown Current'!$X$15:$X$164,'Payment Breakdown Current'!$AE$15:$AE$164,$A6))-(SUMIFS('Payment Breakdown Prior'!$X$15:$X$164,'Payment Breakdown Prior'!$AE$15:$AE$164,$A6))</f>
        <v/>
      </c>
      <c r="AC6">
        <f>(SUMIFS('Payment Breakdown Current'!$Y$15:$Y$164,'Payment Breakdown Current'!$AE$15:$AE$164,$A6))-(SUMIFS('Payment Breakdown Prior'!$Y$15:$Y$164,'Payment Breakdown Prior'!$AE$15:$AE$164,$A6))</f>
        <v/>
      </c>
      <c r="AD6">
        <f>(SUMIFS('Payment Breakdown Current'!$Z$15:$Z$164,'Payment Breakdown Current'!$AE$15:$AE$164,$A6))-(SUMIFS('Payment Breakdown Prior'!$Z$15:$Z$164,'Payment Breakdown Prior'!$AE$15:$AE$164,$A6))</f>
        <v/>
      </c>
      <c r="AE6">
        <f>(SUMIFS('Payment Breakdown Current'!$AA$15:$AA$164,'Payment Breakdown Current'!$AE$15:$AE$164,$A6))-(SUMIFS('Payment Breakdown Prior'!$AA$15:$AA$164,'Payment Breakdown Prior'!$AE$15:$AE$164,$A6))</f>
        <v/>
      </c>
      <c r="AF6">
        <f>(SUMIFS('Payment Breakdown Current'!$AB$15:$AB$164,'Payment Breakdown Current'!$AE$15:$AE$164,$A6))-(SUMIFS('Payment Breakdown Prior'!$AB$15:$AB$164,'Payment Breakdown Prior'!$AE$15:$AE$164,$A6))</f>
        <v/>
      </c>
      <c r="AG6">
        <f>(SUMIFS('Payment Breakdown Current'!$AC$15:$AC$164,'Payment Breakdown Current'!$AE$15:$AE$164,$A6))-(SUMIFS('Payment Breakdown Prior'!$AC$15:$AC$164,'Payment Breakdown Prior'!$AE$15:$AE$164,$A6))</f>
        <v/>
      </c>
      <c r="AH6">
        <f>(SUMIFS('Payment Breakdown Current'!$AD$15:$AD$164,'Payment Breakdown Current'!$AE$15:$AE$164,$A6))-(SUMIFS('Payment Breakdown Prior'!$AD$15:$AD$164,'Payment Breakdown Prior'!$AE$15:$AE$164,$A6))</f>
        <v/>
      </c>
      <c r="AI6">
        <f t="array" ref="AI6">MAX(ABS(W6:AH6))</f>
        <v/>
      </c>
      <c r="AJ6">
        <f t="array" ref="AJ6">IF(AI6&lt;0.005,"",IFERROR(INDEX($W$1:$AH$1,MATCH(AI6,ABS(W6:AH6),0)),""))</f>
        <v/>
      </c>
      <c r="AK6">
        <f t="array" ref="AK6">IF(AI6&lt;0.005,"",IFERROR(INDEX(W6:AH6,MATCH(AI6,ABS(W6:AH6),0)),""))</f>
        <v/>
      </c>
      <c r="AL6">
        <f>IF(R6=1,ABS(L6)-ROW()/100000000,"")</f>
        <v/>
      </c>
    </row>
    <row r="7">
      <c r="A7">
        <f>IF('NPV Comparison'!D20="","",'NPV Comparison'!D20)</f>
        <v/>
      </c>
      <c r="B7">
        <f>IF('NPV Comparison'!E20="","",'NPV Comparison'!E20)</f>
        <v/>
      </c>
      <c r="C7">
        <f>IF('NPV Comparison'!F20="","",'NPV Comparison'!F20)</f>
        <v/>
      </c>
      <c r="D7">
        <f>IF($A7="","",IFERROR(INDEX(Structure!$E$13:$E$312,MATCH($A7,Structure!$P$13:$P$312,0)),""))</f>
        <v/>
      </c>
      <c r="E7">
        <f>IF($A7="",0,IF(COUNTIF(Structure!$P$13:$P$312,$A7)=0,0,IF(COUNTIFS(Structure!$P$13:$P$312,$A7,Structure!$N$13:$N$312,"&lt;&gt;Zero Hours")=0,1,0)))</f>
        <v/>
      </c>
      <c r="F7">
        <f>IF($A7="",0,1-E7)</f>
        <v/>
      </c>
      <c r="G7">
        <f>IF($A7="",0,IF(COUNTIF('New Starters'!$D$14:$D$73,$A7)&gt;0,1,0))</f>
        <v/>
      </c>
      <c r="H7">
        <f>IF($A7="",0,IF(COUNTIF('Leavers'!$D$12:$D$71,$A7)&gt;0,1,0))</f>
        <v/>
      </c>
      <c r="I7">
        <f>IF($A7="","",IFERROR(INDEX('New Starters'!$K$14:$K$73,MATCH($A7,'New Starters'!$D$14:$D$73,0)),IFERROR(INDEX('Leavers'!$K$12:$K$71,MATCH($A7,'Leavers'!$D$12:$D$71,0)),"")))</f>
        <v/>
      </c>
      <c r="J7">
        <f>IF(AND(G7=1,I7&lt;&gt;"",COUNTIF('Leavers'!$K$12:$K$71,I7)&gt;0),1,IF(AND(H7=1,I7&lt;&gt;"",COUNTIF('New Starters'!$K$14:$K$73,I7)&gt;0),1,0))</f>
        <v/>
      </c>
      <c r="K7">
        <f>IF(ISNUMBER(SEARCH("Head Office",D7)),'Control Sheet'!$C$6,'Control Sheet'!$C$5)</f>
        <v/>
      </c>
      <c r="L7">
        <f>IF(OR($A7="",AND(B7="",C7="")),"",IF(B7="",C7,IF(C7="",-B7,C7-B7)))</f>
        <v/>
      </c>
      <c r="M7">
        <f>IFERROR(L7/B7,"")</f>
        <v/>
      </c>
      <c r="N7">
        <f>IF($A7="",0,IF(OR(B7="",C7="",C7=0,AND(ISNUMBER(M7),ABS(M7)&gt;K7)),1,0))</f>
        <v/>
      </c>
      <c r="O7">
        <f>IF(AND(N7=1,ABS(L7)&gt;='Control Sheet'!$C$7,F7=1),1,0)</f>
        <v/>
      </c>
      <c r="P7">
        <f>IF($A7="","",IF(F7=0,"Zero Hours",IF(J7=1,"Explained: Paired transfer",IF(AND(G7=1,H7=0,J7=0),"Explained: Starter",IF(AND(H7=1,G7=0,J7=0),"Explained: Leaver",IF(O7=1,"Review required","OK"))))))</f>
        <v/>
      </c>
      <c r="Q7">
        <f>IF(AND(F7=1,OR(C7="",C7=0),H7=0,J7=0),1,0)</f>
        <v/>
      </c>
      <c r="R7">
        <f>IF(F7=0,0,IF(P7="Review required",1,IF(AND(P7="Explained: Starter",ISNUMBER(C7),C7&gt;=1500),1,0)))</f>
        <v/>
      </c>
      <c r="S7">
        <f>IF(R7=0,"",IF(Q7=1,"High",IF(AND(P7="Explained: Starter",C7&gt;=1500),"High",IF(ABS(L7)&gt;=2000,"High",IF(ABS(L7)&gt;=500,"Medium","Low")))))</f>
        <v/>
      </c>
      <c r="T7">
        <f>SUMIFS('Payment Breakdown Prior'!$S$15:$S$164,'Payment Breakdown Prior'!$AE$15:$AE$164,$A7)</f>
        <v/>
      </c>
      <c r="U7">
        <f>SUMIFS('Payment Breakdown Current'!$S$15:$S$164,'Payment Breakdown Current'!$AE$15:$AE$164,$A7)</f>
        <v/>
      </c>
      <c r="V7">
        <f>IFERROR((U7-T7)/T7,"")</f>
        <v/>
      </c>
      <c r="W7">
        <f>(SUMIFS('Payment Breakdown Current'!$S$15:$S$164,'Payment Breakdown Current'!$AE$15:$AE$164,$A7))-(SUMIFS('Payment Breakdown Prior'!$S$15:$S$164,'Payment Breakdown Prior'!$AE$15:$AE$164,$A7))</f>
        <v/>
      </c>
      <c r="X7">
        <f>(SUMIFS('Payment Breakdown Current'!$T$15:$T$164,'Payment Breakdown Current'!$AE$15:$AE$164,$A7))-(SUMIFS('Payment Breakdown Prior'!$T$15:$T$164,'Payment Breakdown Prior'!$AE$15:$AE$164,$A7))</f>
        <v/>
      </c>
      <c r="Y7">
        <f>(SUMIFS('Payment Breakdown Current'!$U$15:$U$164,'Payment Breakdown Current'!$AE$15:$AE$164,$A7))-(SUMIFS('Payment Breakdown Prior'!$U$15:$U$164,'Payment Breakdown Prior'!$AE$15:$AE$164,$A7))</f>
        <v/>
      </c>
      <c r="Z7">
        <f>(SUMIFS('Payment Breakdown Current'!$V$15:$V$164,'Payment Breakdown Current'!$AE$15:$AE$164,$A7))-(SUMIFS('Payment Breakdown Prior'!$V$15:$V$164,'Payment Breakdown Prior'!$AE$15:$AE$164,$A7))</f>
        <v/>
      </c>
      <c r="AA7">
        <f>(SUMIFS('Payment Breakdown Current'!$W$15:$W$164,'Payment Breakdown Current'!$AE$15:$AE$164,$A7))-(SUMIFS('Payment Breakdown Prior'!$W$15:$W$164,'Payment Breakdown Prior'!$AE$15:$AE$164,$A7))</f>
        <v/>
      </c>
      <c r="AB7">
        <f>(SUMIFS('Payment Breakdown Current'!$X$15:$X$164,'Payment Breakdown Current'!$AE$15:$AE$164,$A7))-(SUMIFS('Payment Breakdown Prior'!$X$15:$X$164,'Payment Breakdown Prior'!$AE$15:$AE$164,$A7))</f>
        <v/>
      </c>
      <c r="AC7">
        <f>(SUMIFS('Payment Breakdown Current'!$Y$15:$Y$164,'Payment Breakdown Current'!$AE$15:$AE$164,$A7))-(SUMIFS('Payment Breakdown Prior'!$Y$15:$Y$164,'Payment Breakdown Prior'!$AE$15:$AE$164,$A7))</f>
        <v/>
      </c>
      <c r="AD7">
        <f>(SUMIFS('Payment Breakdown Current'!$Z$15:$Z$164,'Payment Breakdown Current'!$AE$15:$AE$164,$A7))-(SUMIFS('Payment Breakdown Prior'!$Z$15:$Z$164,'Payment Breakdown Prior'!$AE$15:$AE$164,$A7))</f>
        <v/>
      </c>
      <c r="AE7">
        <f>(SUMIFS('Payment Breakdown Current'!$AA$15:$AA$164,'Payment Breakdown Current'!$AE$15:$AE$164,$A7))-(SUMIFS('Payment Breakdown Prior'!$AA$15:$AA$164,'Payment Breakdown Prior'!$AE$15:$AE$164,$A7))</f>
        <v/>
      </c>
      <c r="AF7">
        <f>(SUMIFS('Payment Breakdown Current'!$AB$15:$AB$164,'Payment Breakdown Current'!$AE$15:$AE$164,$A7))-(SUMIFS('Payment Breakdown Prior'!$AB$15:$AB$164,'Payment Breakdown Prior'!$AE$15:$AE$164,$A7))</f>
        <v/>
      </c>
      <c r="AG7">
        <f>(SUMIFS('Payment Breakdown Current'!$AC$15:$AC$164,'Payment Breakdown Current'!$AE$15:$AE$164,$A7))-(SUMIFS('Payment Breakdown Prior'!$AC$15:$AC$164,'Payment Breakdown Prior'!$AE$15:$AE$164,$A7))</f>
        <v/>
      </c>
      <c r="AH7">
        <f>(SUMIFS('Payment Breakdown Current'!$AD$15:$AD$164,'Payment Breakdown Current'!$AE$15:$AE$164,$A7))-(SUMIFS('Payment Breakdown Prior'!$AD$15:$AD$164,'Payment Breakdown Prior'!$AE$15:$AE$164,$A7))</f>
        <v/>
      </c>
      <c r="AI7">
        <f t="array" ref="AI7">MAX(ABS(W7:AH7))</f>
        <v/>
      </c>
      <c r="AJ7">
        <f t="array" ref="AJ7">IF(AI7&lt;0.005,"",IFERROR(INDEX($W$1:$AH$1,MATCH(AI7,ABS(W7:AH7),0)),""))</f>
        <v/>
      </c>
      <c r="AK7">
        <f t="array" ref="AK7">IF(AI7&lt;0.005,"",IFERROR(INDEX(W7:AH7,MATCH(AI7,ABS(W7:AH7),0)),""))</f>
        <v/>
      </c>
      <c r="AL7">
        <f>IF(R7=1,ABS(L7)-ROW()/100000000,"")</f>
        <v/>
      </c>
    </row>
    <row r="8">
      <c r="A8">
        <f>IF('NPV Comparison'!D21="","",'NPV Comparison'!D21)</f>
        <v/>
      </c>
      <c r="B8">
        <f>IF('NPV Comparison'!E21="","",'NPV Comparison'!E21)</f>
        <v/>
      </c>
      <c r="C8">
        <f>IF('NPV Comparison'!F21="","",'NPV Comparison'!F21)</f>
        <v/>
      </c>
      <c r="D8">
        <f>IF($A8="","",IFERROR(INDEX(Structure!$E$13:$E$312,MATCH($A8,Structure!$P$13:$P$312,0)),""))</f>
        <v/>
      </c>
      <c r="E8">
        <f>IF($A8="",0,IF(COUNTIF(Structure!$P$13:$P$312,$A8)=0,0,IF(COUNTIFS(Structure!$P$13:$P$312,$A8,Structure!$N$13:$N$312,"&lt;&gt;Zero Hours")=0,1,0)))</f>
        <v/>
      </c>
      <c r="F8">
        <f>IF($A8="",0,1-E8)</f>
        <v/>
      </c>
      <c r="G8">
        <f>IF($A8="",0,IF(COUNTIF('New Starters'!$D$14:$D$73,$A8)&gt;0,1,0))</f>
        <v/>
      </c>
      <c r="H8">
        <f>IF($A8="",0,IF(COUNTIF('Leavers'!$D$12:$D$71,$A8)&gt;0,1,0))</f>
        <v/>
      </c>
      <c r="I8">
        <f>IF($A8="","",IFERROR(INDEX('New Starters'!$K$14:$K$73,MATCH($A8,'New Starters'!$D$14:$D$73,0)),IFERROR(INDEX('Leavers'!$K$12:$K$71,MATCH($A8,'Leavers'!$D$12:$D$71,0)),"")))</f>
        <v/>
      </c>
      <c r="J8">
        <f>IF(AND(G8=1,I8&lt;&gt;"",COUNTIF('Leavers'!$K$12:$K$71,I8)&gt;0),1,IF(AND(H8=1,I8&lt;&gt;"",COUNTIF('New Starters'!$K$14:$K$73,I8)&gt;0),1,0))</f>
        <v/>
      </c>
      <c r="K8">
        <f>IF(ISNUMBER(SEARCH("Head Office",D8)),'Control Sheet'!$C$6,'Control Sheet'!$C$5)</f>
        <v/>
      </c>
      <c r="L8">
        <f>IF(OR($A8="",AND(B8="",C8="")),"",IF(B8="",C8,IF(C8="",-B8,C8-B8)))</f>
        <v/>
      </c>
      <c r="M8">
        <f>IFERROR(L8/B8,"")</f>
        <v/>
      </c>
      <c r="N8">
        <f>IF($A8="",0,IF(OR(B8="",C8="",C8=0,AND(ISNUMBER(M8),ABS(M8)&gt;K8)),1,0))</f>
        <v/>
      </c>
      <c r="O8">
        <f>IF(AND(N8=1,ABS(L8)&gt;='Control Sheet'!$C$7,F8=1),1,0)</f>
        <v/>
      </c>
      <c r="P8">
        <f>IF($A8="","",IF(F8=0,"Zero Hours",IF(J8=1,"Explained: Paired transfer",IF(AND(G8=1,H8=0,J8=0),"Explained: Starter",IF(AND(H8=1,G8=0,J8=0),"Explained: Leaver",IF(O8=1,"Review required","OK"))))))</f>
        <v/>
      </c>
      <c r="Q8">
        <f>IF(AND(F8=1,OR(C8="",C8=0),H8=0,J8=0),1,0)</f>
        <v/>
      </c>
      <c r="R8">
        <f>IF(F8=0,0,IF(P8="Review required",1,IF(AND(P8="Explained: Starter",ISNUMBER(C8),C8&gt;=1500),1,0)))</f>
        <v/>
      </c>
      <c r="S8">
        <f>IF(R8=0,"",IF(Q8=1,"High",IF(AND(P8="Explained: Starter",C8&gt;=1500),"High",IF(ABS(L8)&gt;=2000,"High",IF(ABS(L8)&gt;=500,"Medium","Low")))))</f>
        <v/>
      </c>
      <c r="T8">
        <f>SUMIFS('Payment Breakdown Prior'!$S$15:$S$164,'Payment Breakdown Prior'!$AE$15:$AE$164,$A8)</f>
        <v/>
      </c>
      <c r="U8">
        <f>SUMIFS('Payment Breakdown Current'!$S$15:$S$164,'Payment Breakdown Current'!$AE$15:$AE$164,$A8)</f>
        <v/>
      </c>
      <c r="V8">
        <f>IFERROR((U8-T8)/T8,"")</f>
        <v/>
      </c>
      <c r="W8">
        <f>(SUMIFS('Payment Breakdown Current'!$S$15:$S$164,'Payment Breakdown Current'!$AE$15:$AE$164,$A8))-(SUMIFS('Payment Breakdown Prior'!$S$15:$S$164,'Payment Breakdown Prior'!$AE$15:$AE$164,$A8))</f>
        <v/>
      </c>
      <c r="X8">
        <f>(SUMIFS('Payment Breakdown Current'!$T$15:$T$164,'Payment Breakdown Current'!$AE$15:$AE$164,$A8))-(SUMIFS('Payment Breakdown Prior'!$T$15:$T$164,'Payment Breakdown Prior'!$AE$15:$AE$164,$A8))</f>
        <v/>
      </c>
      <c r="Y8">
        <f>(SUMIFS('Payment Breakdown Current'!$U$15:$U$164,'Payment Breakdown Current'!$AE$15:$AE$164,$A8))-(SUMIFS('Payment Breakdown Prior'!$U$15:$U$164,'Payment Breakdown Prior'!$AE$15:$AE$164,$A8))</f>
        <v/>
      </c>
      <c r="Z8">
        <f>(SUMIFS('Payment Breakdown Current'!$V$15:$V$164,'Payment Breakdown Current'!$AE$15:$AE$164,$A8))-(SUMIFS('Payment Breakdown Prior'!$V$15:$V$164,'Payment Breakdown Prior'!$AE$15:$AE$164,$A8))</f>
        <v/>
      </c>
      <c r="AA8">
        <f>(SUMIFS('Payment Breakdown Current'!$W$15:$W$164,'Payment Breakdown Current'!$AE$15:$AE$164,$A8))-(SUMIFS('Payment Breakdown Prior'!$W$15:$W$164,'Payment Breakdown Prior'!$AE$15:$AE$164,$A8))</f>
        <v/>
      </c>
      <c r="AB8">
        <f>(SUMIFS('Payment Breakdown Current'!$X$15:$X$164,'Payment Breakdown Current'!$AE$15:$AE$164,$A8))-(SUMIFS('Payment Breakdown Prior'!$X$15:$X$164,'Payment Breakdown Prior'!$AE$15:$AE$164,$A8))</f>
        <v/>
      </c>
      <c r="AC8">
        <f>(SUMIFS('Payment Breakdown Current'!$Y$15:$Y$164,'Payment Breakdown Current'!$AE$15:$AE$164,$A8))-(SUMIFS('Payment Breakdown Prior'!$Y$15:$Y$164,'Payment Breakdown Prior'!$AE$15:$AE$164,$A8))</f>
        <v/>
      </c>
      <c r="AD8">
        <f>(SUMIFS('Payment Breakdown Current'!$Z$15:$Z$164,'Payment Breakdown Current'!$AE$15:$AE$164,$A8))-(SUMIFS('Payment Breakdown Prior'!$Z$15:$Z$164,'Payment Breakdown Prior'!$AE$15:$AE$164,$A8))</f>
        <v/>
      </c>
      <c r="AE8">
        <f>(SUMIFS('Payment Breakdown Current'!$AA$15:$AA$164,'Payment Breakdown Current'!$AE$15:$AE$164,$A8))-(SUMIFS('Payment Breakdown Prior'!$AA$15:$AA$164,'Payment Breakdown Prior'!$AE$15:$AE$164,$A8))</f>
        <v/>
      </c>
      <c r="AF8">
        <f>(SUMIFS('Payment Breakdown Current'!$AB$15:$AB$164,'Payment Breakdown Current'!$AE$15:$AE$164,$A8))-(SUMIFS('Payment Breakdown Prior'!$AB$15:$AB$164,'Payment Breakdown Prior'!$AE$15:$AE$164,$A8))</f>
        <v/>
      </c>
      <c r="AG8">
        <f>(SUMIFS('Payment Breakdown Current'!$AC$15:$AC$164,'Payment Breakdown Current'!$AE$15:$AE$164,$A8))-(SUMIFS('Payment Breakdown Prior'!$AC$15:$AC$164,'Payment Breakdown Prior'!$AE$15:$AE$164,$A8))</f>
        <v/>
      </c>
      <c r="AH8">
        <f>(SUMIFS('Payment Breakdown Current'!$AD$15:$AD$164,'Payment Breakdown Current'!$AE$15:$AE$164,$A8))-(SUMIFS('Payment Breakdown Prior'!$AD$15:$AD$164,'Payment Breakdown Prior'!$AE$15:$AE$164,$A8))</f>
        <v/>
      </c>
      <c r="AI8">
        <f t="array" ref="AI8">MAX(ABS(W8:AH8))</f>
        <v/>
      </c>
      <c r="AJ8">
        <f t="array" ref="AJ8">IF(AI8&lt;0.005,"",IFERROR(INDEX($W$1:$AH$1,MATCH(AI8,ABS(W8:AH8),0)),""))</f>
        <v/>
      </c>
      <c r="AK8">
        <f t="array" ref="AK8">IF(AI8&lt;0.005,"",IFERROR(INDEX(W8:AH8,MATCH(AI8,ABS(W8:AH8),0)),""))</f>
        <v/>
      </c>
      <c r="AL8">
        <f>IF(R8=1,ABS(L8)-ROW()/100000000,"")</f>
        <v/>
      </c>
    </row>
    <row r="9">
      <c r="A9">
        <f>IF('NPV Comparison'!D22="","",'NPV Comparison'!D22)</f>
        <v/>
      </c>
      <c r="B9">
        <f>IF('NPV Comparison'!E22="","",'NPV Comparison'!E22)</f>
        <v/>
      </c>
      <c r="C9">
        <f>IF('NPV Comparison'!F22="","",'NPV Comparison'!F22)</f>
        <v/>
      </c>
      <c r="D9">
        <f>IF($A9="","",IFERROR(INDEX(Structure!$E$13:$E$312,MATCH($A9,Structure!$P$13:$P$312,0)),""))</f>
        <v/>
      </c>
      <c r="E9">
        <f>IF($A9="",0,IF(COUNTIF(Structure!$P$13:$P$312,$A9)=0,0,IF(COUNTIFS(Structure!$P$13:$P$312,$A9,Structure!$N$13:$N$312,"&lt;&gt;Zero Hours")=0,1,0)))</f>
        <v/>
      </c>
      <c r="F9">
        <f>IF($A9="",0,1-E9)</f>
        <v/>
      </c>
      <c r="G9">
        <f>IF($A9="",0,IF(COUNTIF('New Starters'!$D$14:$D$73,$A9)&gt;0,1,0))</f>
        <v/>
      </c>
      <c r="H9">
        <f>IF($A9="",0,IF(COUNTIF('Leavers'!$D$12:$D$71,$A9)&gt;0,1,0))</f>
        <v/>
      </c>
      <c r="I9">
        <f>IF($A9="","",IFERROR(INDEX('New Starters'!$K$14:$K$73,MATCH($A9,'New Starters'!$D$14:$D$73,0)),IFERROR(INDEX('Leavers'!$K$12:$K$71,MATCH($A9,'Leavers'!$D$12:$D$71,0)),"")))</f>
        <v/>
      </c>
      <c r="J9">
        <f>IF(AND(G9=1,I9&lt;&gt;"",COUNTIF('Leavers'!$K$12:$K$71,I9)&gt;0),1,IF(AND(H9=1,I9&lt;&gt;"",COUNTIF('New Starters'!$K$14:$K$73,I9)&gt;0),1,0))</f>
        <v/>
      </c>
      <c r="K9">
        <f>IF(ISNUMBER(SEARCH("Head Office",D9)),'Control Sheet'!$C$6,'Control Sheet'!$C$5)</f>
        <v/>
      </c>
      <c r="L9">
        <f>IF(OR($A9="",AND(B9="",C9="")),"",IF(B9="",C9,IF(C9="",-B9,C9-B9)))</f>
        <v/>
      </c>
      <c r="M9">
        <f>IFERROR(L9/B9,"")</f>
        <v/>
      </c>
      <c r="N9">
        <f>IF($A9="",0,IF(OR(B9="",C9="",C9=0,AND(ISNUMBER(M9),ABS(M9)&gt;K9)),1,0))</f>
        <v/>
      </c>
      <c r="O9">
        <f>IF(AND(N9=1,ABS(L9)&gt;='Control Sheet'!$C$7,F9=1),1,0)</f>
        <v/>
      </c>
      <c r="P9">
        <f>IF($A9="","",IF(F9=0,"Zero Hours",IF(J9=1,"Explained: Paired transfer",IF(AND(G9=1,H9=0,J9=0),"Explained: Starter",IF(AND(H9=1,G9=0,J9=0),"Explained: Leaver",IF(O9=1,"Review required","OK"))))))</f>
        <v/>
      </c>
      <c r="Q9">
        <f>IF(AND(F9=1,OR(C9="",C9=0),H9=0,J9=0),1,0)</f>
        <v/>
      </c>
      <c r="R9">
        <f>IF(F9=0,0,IF(P9="Review required",1,IF(AND(P9="Explained: Starter",ISNUMBER(C9),C9&gt;=1500),1,0)))</f>
        <v/>
      </c>
      <c r="S9">
        <f>IF(R9=0,"",IF(Q9=1,"High",IF(AND(P9="Explained: Starter",C9&gt;=1500),"High",IF(ABS(L9)&gt;=2000,"High",IF(ABS(L9)&gt;=500,"Medium","Low")))))</f>
        <v/>
      </c>
      <c r="T9">
        <f>SUMIFS('Payment Breakdown Prior'!$S$15:$S$164,'Payment Breakdown Prior'!$AE$15:$AE$164,$A9)</f>
        <v/>
      </c>
      <c r="U9">
        <f>SUMIFS('Payment Breakdown Current'!$S$15:$S$164,'Payment Breakdown Current'!$AE$15:$AE$164,$A9)</f>
        <v/>
      </c>
      <c r="V9">
        <f>IFERROR((U9-T9)/T9,"")</f>
        <v/>
      </c>
      <c r="W9">
        <f>(SUMIFS('Payment Breakdown Current'!$S$15:$S$164,'Payment Breakdown Current'!$AE$15:$AE$164,$A9))-(SUMIFS('Payment Breakdown Prior'!$S$15:$S$164,'Payment Breakdown Prior'!$AE$15:$AE$164,$A9))</f>
        <v/>
      </c>
      <c r="X9">
        <f>(SUMIFS('Payment Breakdown Current'!$T$15:$T$164,'Payment Breakdown Current'!$AE$15:$AE$164,$A9))-(SUMIFS('Payment Breakdown Prior'!$T$15:$T$164,'Payment Breakdown Prior'!$AE$15:$AE$164,$A9))</f>
        <v/>
      </c>
      <c r="Y9">
        <f>(SUMIFS('Payment Breakdown Current'!$U$15:$U$164,'Payment Breakdown Current'!$AE$15:$AE$164,$A9))-(SUMIFS('Payment Breakdown Prior'!$U$15:$U$164,'Payment Breakdown Prior'!$AE$15:$AE$164,$A9))</f>
        <v/>
      </c>
      <c r="Z9">
        <f>(SUMIFS('Payment Breakdown Current'!$V$15:$V$164,'Payment Breakdown Current'!$AE$15:$AE$164,$A9))-(SUMIFS('Payment Breakdown Prior'!$V$15:$V$164,'Payment Breakdown Prior'!$AE$15:$AE$164,$A9))</f>
        <v/>
      </c>
      <c r="AA9">
        <f>(SUMIFS('Payment Breakdown Current'!$W$15:$W$164,'Payment Breakdown Current'!$AE$15:$AE$164,$A9))-(SUMIFS('Payment Breakdown Prior'!$W$15:$W$164,'Payment Breakdown Prior'!$AE$15:$AE$164,$A9))</f>
        <v/>
      </c>
      <c r="AB9">
        <f>(SUMIFS('Payment Breakdown Current'!$X$15:$X$164,'Payment Breakdown Current'!$AE$15:$AE$164,$A9))-(SUMIFS('Payment Breakdown Prior'!$X$15:$X$164,'Payment Breakdown Prior'!$AE$15:$AE$164,$A9))</f>
        <v/>
      </c>
      <c r="AC9">
        <f>(SUMIFS('Payment Breakdown Current'!$Y$15:$Y$164,'Payment Breakdown Current'!$AE$15:$AE$164,$A9))-(SUMIFS('Payment Breakdown Prior'!$Y$15:$Y$164,'Payment Breakdown Prior'!$AE$15:$AE$164,$A9))</f>
        <v/>
      </c>
      <c r="AD9">
        <f>(SUMIFS('Payment Breakdown Current'!$Z$15:$Z$164,'Payment Breakdown Current'!$AE$15:$AE$164,$A9))-(SUMIFS('Payment Breakdown Prior'!$Z$15:$Z$164,'Payment Breakdown Prior'!$AE$15:$AE$164,$A9))</f>
        <v/>
      </c>
      <c r="AE9">
        <f>(SUMIFS('Payment Breakdown Current'!$AA$15:$AA$164,'Payment Breakdown Current'!$AE$15:$AE$164,$A9))-(SUMIFS('Payment Breakdown Prior'!$AA$15:$AA$164,'Payment Breakdown Prior'!$AE$15:$AE$164,$A9))</f>
        <v/>
      </c>
      <c r="AF9">
        <f>(SUMIFS('Payment Breakdown Current'!$AB$15:$AB$164,'Payment Breakdown Current'!$AE$15:$AE$164,$A9))-(SUMIFS('Payment Breakdown Prior'!$AB$15:$AB$164,'Payment Breakdown Prior'!$AE$15:$AE$164,$A9))</f>
        <v/>
      </c>
      <c r="AG9">
        <f>(SUMIFS('Payment Breakdown Current'!$AC$15:$AC$164,'Payment Breakdown Current'!$AE$15:$AE$164,$A9))-(SUMIFS('Payment Breakdown Prior'!$AC$15:$AC$164,'Payment Breakdown Prior'!$AE$15:$AE$164,$A9))</f>
        <v/>
      </c>
      <c r="AH9">
        <f>(SUMIFS('Payment Breakdown Current'!$AD$15:$AD$164,'Payment Breakdown Current'!$AE$15:$AE$164,$A9))-(SUMIFS('Payment Breakdown Prior'!$AD$15:$AD$164,'Payment Breakdown Prior'!$AE$15:$AE$164,$A9))</f>
        <v/>
      </c>
      <c r="AI9">
        <f t="array" ref="AI9">MAX(ABS(W9:AH9))</f>
        <v/>
      </c>
      <c r="AJ9">
        <f t="array" ref="AJ9">IF(AI9&lt;0.005,"",IFERROR(INDEX($W$1:$AH$1,MATCH(AI9,ABS(W9:AH9),0)),""))</f>
        <v/>
      </c>
      <c r="AK9">
        <f t="array" ref="AK9">IF(AI9&lt;0.005,"",IFERROR(INDEX(W9:AH9,MATCH(AI9,ABS(W9:AH9),0)),""))</f>
        <v/>
      </c>
      <c r="AL9">
        <f>IF(R9=1,ABS(L9)-ROW()/100000000,"")</f>
        <v/>
      </c>
    </row>
    <row r="10">
      <c r="A10">
        <f>IF('NPV Comparison'!D23="","",'NPV Comparison'!D23)</f>
        <v/>
      </c>
      <c r="B10">
        <f>IF('NPV Comparison'!E23="","",'NPV Comparison'!E23)</f>
        <v/>
      </c>
      <c r="C10">
        <f>IF('NPV Comparison'!F23="","",'NPV Comparison'!F23)</f>
        <v/>
      </c>
      <c r="D10">
        <f>IF($A10="","",IFERROR(INDEX(Structure!$E$13:$E$312,MATCH($A10,Structure!$P$13:$P$312,0)),""))</f>
        <v/>
      </c>
      <c r="E10">
        <f>IF($A10="",0,IF(COUNTIF(Structure!$P$13:$P$312,$A10)=0,0,IF(COUNTIFS(Structure!$P$13:$P$312,$A10,Structure!$N$13:$N$312,"&lt;&gt;Zero Hours")=0,1,0)))</f>
        <v/>
      </c>
      <c r="F10">
        <f>IF($A10="",0,1-E10)</f>
        <v/>
      </c>
      <c r="G10">
        <f>IF($A10="",0,IF(COUNTIF('New Starters'!$D$14:$D$73,$A10)&gt;0,1,0))</f>
        <v/>
      </c>
      <c r="H10">
        <f>IF($A10="",0,IF(COUNTIF('Leavers'!$D$12:$D$71,$A10)&gt;0,1,0))</f>
        <v/>
      </c>
      <c r="I10">
        <f>IF($A10="","",IFERROR(INDEX('New Starters'!$K$14:$K$73,MATCH($A10,'New Starters'!$D$14:$D$73,0)),IFERROR(INDEX('Leavers'!$K$12:$K$71,MATCH($A10,'Leavers'!$D$12:$D$71,0)),"")))</f>
        <v/>
      </c>
      <c r="J10">
        <f>IF(AND(G10=1,I10&lt;&gt;"",COUNTIF('Leavers'!$K$12:$K$71,I10)&gt;0),1,IF(AND(H10=1,I10&lt;&gt;"",COUNTIF('New Starters'!$K$14:$K$73,I10)&gt;0),1,0))</f>
        <v/>
      </c>
      <c r="K10">
        <f>IF(ISNUMBER(SEARCH("Head Office",D10)),'Control Sheet'!$C$6,'Control Sheet'!$C$5)</f>
        <v/>
      </c>
      <c r="L10">
        <f>IF(OR($A10="",AND(B10="",C10="")),"",IF(B10="",C10,IF(C10="",-B10,C10-B10)))</f>
        <v/>
      </c>
      <c r="M10">
        <f>IFERROR(L10/B10,"")</f>
        <v/>
      </c>
      <c r="N10">
        <f>IF($A10="",0,IF(OR(B10="",C10="",C10=0,AND(ISNUMBER(M10),ABS(M10)&gt;K10)),1,0))</f>
        <v/>
      </c>
      <c r="O10">
        <f>IF(AND(N10=1,ABS(L10)&gt;='Control Sheet'!$C$7,F10=1),1,0)</f>
        <v/>
      </c>
      <c r="P10">
        <f>IF($A10="","",IF(F10=0,"Zero Hours",IF(J10=1,"Explained: Paired transfer",IF(AND(G10=1,H10=0,J10=0),"Explained: Starter",IF(AND(H10=1,G10=0,J10=0),"Explained: Leaver",IF(O10=1,"Review required","OK"))))))</f>
        <v/>
      </c>
      <c r="Q10">
        <f>IF(AND(F10=1,OR(C10="",C10=0),H10=0,J10=0),1,0)</f>
        <v/>
      </c>
      <c r="R10">
        <f>IF(F10=0,0,IF(P10="Review required",1,IF(AND(P10="Explained: Starter",ISNUMBER(C10),C10&gt;=1500),1,0)))</f>
        <v/>
      </c>
      <c r="S10">
        <f>IF(R10=0,"",IF(Q10=1,"High",IF(AND(P10="Explained: Starter",C10&gt;=1500),"High",IF(ABS(L10)&gt;=2000,"High",IF(ABS(L10)&gt;=500,"Medium","Low")))))</f>
        <v/>
      </c>
      <c r="T10">
        <f>SUMIFS('Payment Breakdown Prior'!$S$15:$S$164,'Payment Breakdown Prior'!$AE$15:$AE$164,$A10)</f>
        <v/>
      </c>
      <c r="U10">
        <f>SUMIFS('Payment Breakdown Current'!$S$15:$S$164,'Payment Breakdown Current'!$AE$15:$AE$164,$A10)</f>
        <v/>
      </c>
      <c r="V10">
        <f>IFERROR((U10-T10)/T10,"")</f>
        <v/>
      </c>
      <c r="W10">
        <f>(SUMIFS('Payment Breakdown Current'!$S$15:$S$164,'Payment Breakdown Current'!$AE$15:$AE$164,$A10))-(SUMIFS('Payment Breakdown Prior'!$S$15:$S$164,'Payment Breakdown Prior'!$AE$15:$AE$164,$A10))</f>
        <v/>
      </c>
      <c r="X10">
        <f>(SUMIFS('Payment Breakdown Current'!$T$15:$T$164,'Payment Breakdown Current'!$AE$15:$AE$164,$A10))-(SUMIFS('Payment Breakdown Prior'!$T$15:$T$164,'Payment Breakdown Prior'!$AE$15:$AE$164,$A10))</f>
        <v/>
      </c>
      <c r="Y10">
        <f>(SUMIFS('Payment Breakdown Current'!$U$15:$U$164,'Payment Breakdown Current'!$AE$15:$AE$164,$A10))-(SUMIFS('Payment Breakdown Prior'!$U$15:$U$164,'Payment Breakdown Prior'!$AE$15:$AE$164,$A10))</f>
        <v/>
      </c>
      <c r="Z10">
        <f>(SUMIFS('Payment Breakdown Current'!$V$15:$V$164,'Payment Breakdown Current'!$AE$15:$AE$164,$A10))-(SUMIFS('Payment Breakdown Prior'!$V$15:$V$164,'Payment Breakdown Prior'!$AE$15:$AE$164,$A10))</f>
        <v/>
      </c>
      <c r="AA10">
        <f>(SUMIFS('Payment Breakdown Current'!$W$15:$W$164,'Payment Breakdown Current'!$AE$15:$AE$164,$A10))-(SUMIFS('Payment Breakdown Prior'!$W$15:$W$164,'Payment Breakdown Prior'!$AE$15:$AE$164,$A10))</f>
        <v/>
      </c>
      <c r="AB10">
        <f>(SUMIFS('Payment Breakdown Current'!$X$15:$X$164,'Payment Breakdown Current'!$AE$15:$AE$164,$A10))-(SUMIFS('Payment Breakdown Prior'!$X$15:$X$164,'Payment Breakdown Prior'!$AE$15:$AE$164,$A10))</f>
        <v/>
      </c>
      <c r="AC10">
        <f>(SUMIFS('Payment Breakdown Current'!$Y$15:$Y$164,'Payment Breakdown Current'!$AE$15:$AE$164,$A10))-(SUMIFS('Payment Breakdown Prior'!$Y$15:$Y$164,'Payment Breakdown Prior'!$AE$15:$AE$164,$A10))</f>
        <v/>
      </c>
      <c r="AD10">
        <f>(SUMIFS('Payment Breakdown Current'!$Z$15:$Z$164,'Payment Breakdown Current'!$AE$15:$AE$164,$A10))-(SUMIFS('Payment Breakdown Prior'!$Z$15:$Z$164,'Payment Breakdown Prior'!$AE$15:$AE$164,$A10))</f>
        <v/>
      </c>
      <c r="AE10">
        <f>(SUMIFS('Payment Breakdown Current'!$AA$15:$AA$164,'Payment Breakdown Current'!$AE$15:$AE$164,$A10))-(SUMIFS('Payment Breakdown Prior'!$AA$15:$AA$164,'Payment Breakdown Prior'!$AE$15:$AE$164,$A10))</f>
        <v/>
      </c>
      <c r="AF10">
        <f>(SUMIFS('Payment Breakdown Current'!$AB$15:$AB$164,'Payment Breakdown Current'!$AE$15:$AE$164,$A10))-(SUMIFS('Payment Breakdown Prior'!$AB$15:$AB$164,'Payment Breakdown Prior'!$AE$15:$AE$164,$A10))</f>
        <v/>
      </c>
      <c r="AG10">
        <f>(SUMIFS('Payment Breakdown Current'!$AC$15:$AC$164,'Payment Breakdown Current'!$AE$15:$AE$164,$A10))-(SUMIFS('Payment Breakdown Prior'!$AC$15:$AC$164,'Payment Breakdown Prior'!$AE$15:$AE$164,$A10))</f>
        <v/>
      </c>
      <c r="AH10">
        <f>(SUMIFS('Payment Breakdown Current'!$AD$15:$AD$164,'Payment Breakdown Current'!$AE$15:$AE$164,$A10))-(SUMIFS('Payment Breakdown Prior'!$AD$15:$AD$164,'Payment Breakdown Prior'!$AE$15:$AE$164,$A10))</f>
        <v/>
      </c>
      <c r="AI10">
        <f t="array" ref="AI10">MAX(ABS(W10:AH10))</f>
        <v/>
      </c>
      <c r="AJ10">
        <f t="array" ref="AJ10">IF(AI10&lt;0.005,"",IFERROR(INDEX($W$1:$AH$1,MATCH(AI10,ABS(W10:AH10),0)),""))</f>
        <v/>
      </c>
      <c r="AK10">
        <f t="array" ref="AK10">IF(AI10&lt;0.005,"",IFERROR(INDEX(W10:AH10,MATCH(AI10,ABS(W10:AH10),0)),""))</f>
        <v/>
      </c>
      <c r="AL10">
        <f>IF(R10=1,ABS(L10)-ROW()/100000000,"")</f>
        <v/>
      </c>
    </row>
    <row r="11">
      <c r="A11">
        <f>IF('NPV Comparison'!D24="","",'NPV Comparison'!D24)</f>
        <v/>
      </c>
      <c r="B11">
        <f>IF('NPV Comparison'!E24="","",'NPV Comparison'!E24)</f>
        <v/>
      </c>
      <c r="C11">
        <f>IF('NPV Comparison'!F24="","",'NPV Comparison'!F24)</f>
        <v/>
      </c>
      <c r="D11">
        <f>IF($A11="","",IFERROR(INDEX(Structure!$E$13:$E$312,MATCH($A11,Structure!$P$13:$P$312,0)),""))</f>
        <v/>
      </c>
      <c r="E11">
        <f>IF($A11="",0,IF(COUNTIF(Structure!$P$13:$P$312,$A11)=0,0,IF(COUNTIFS(Structure!$P$13:$P$312,$A11,Structure!$N$13:$N$312,"&lt;&gt;Zero Hours")=0,1,0)))</f>
        <v/>
      </c>
      <c r="F11">
        <f>IF($A11="",0,1-E11)</f>
        <v/>
      </c>
      <c r="G11">
        <f>IF($A11="",0,IF(COUNTIF('New Starters'!$D$14:$D$73,$A11)&gt;0,1,0))</f>
        <v/>
      </c>
      <c r="H11">
        <f>IF($A11="",0,IF(COUNTIF('Leavers'!$D$12:$D$71,$A11)&gt;0,1,0))</f>
        <v/>
      </c>
      <c r="I11">
        <f>IF($A11="","",IFERROR(INDEX('New Starters'!$K$14:$K$73,MATCH($A11,'New Starters'!$D$14:$D$73,0)),IFERROR(INDEX('Leavers'!$K$12:$K$71,MATCH($A11,'Leavers'!$D$12:$D$71,0)),"")))</f>
        <v/>
      </c>
      <c r="J11">
        <f>IF(AND(G11=1,I11&lt;&gt;"",COUNTIF('Leavers'!$K$12:$K$71,I11)&gt;0),1,IF(AND(H11=1,I11&lt;&gt;"",COUNTIF('New Starters'!$K$14:$K$73,I11)&gt;0),1,0))</f>
        <v/>
      </c>
      <c r="K11">
        <f>IF(ISNUMBER(SEARCH("Head Office",D11)),'Control Sheet'!$C$6,'Control Sheet'!$C$5)</f>
        <v/>
      </c>
      <c r="L11">
        <f>IF(OR($A11="",AND(B11="",C11="")),"",IF(B11="",C11,IF(C11="",-B11,C11-B11)))</f>
        <v/>
      </c>
      <c r="M11">
        <f>IFERROR(L11/B11,"")</f>
        <v/>
      </c>
      <c r="N11">
        <f>IF($A11="",0,IF(OR(B11="",C11="",C11=0,AND(ISNUMBER(M11),ABS(M11)&gt;K11)),1,0))</f>
        <v/>
      </c>
      <c r="O11">
        <f>IF(AND(N11=1,ABS(L11)&gt;='Control Sheet'!$C$7,F11=1),1,0)</f>
        <v/>
      </c>
      <c r="P11">
        <f>IF($A11="","",IF(F11=0,"Zero Hours",IF(J11=1,"Explained: Paired transfer",IF(AND(G11=1,H11=0,J11=0),"Explained: Starter",IF(AND(H11=1,G11=0,J11=0),"Explained: Leaver",IF(O11=1,"Review required","OK"))))))</f>
        <v/>
      </c>
      <c r="Q11">
        <f>IF(AND(F11=1,OR(C11="",C11=0),H11=0,J11=0),1,0)</f>
        <v/>
      </c>
      <c r="R11">
        <f>IF(F11=0,0,IF(P11="Review required",1,IF(AND(P11="Explained: Starter",ISNUMBER(C11),C11&gt;=1500),1,0)))</f>
        <v/>
      </c>
      <c r="S11">
        <f>IF(R11=0,"",IF(Q11=1,"High",IF(AND(P11="Explained: Starter",C11&gt;=1500),"High",IF(ABS(L11)&gt;=2000,"High",IF(ABS(L11)&gt;=500,"Medium","Low")))))</f>
        <v/>
      </c>
      <c r="T11">
        <f>SUMIFS('Payment Breakdown Prior'!$S$15:$S$164,'Payment Breakdown Prior'!$AE$15:$AE$164,$A11)</f>
        <v/>
      </c>
      <c r="U11">
        <f>SUMIFS('Payment Breakdown Current'!$S$15:$S$164,'Payment Breakdown Current'!$AE$15:$AE$164,$A11)</f>
        <v/>
      </c>
      <c r="V11">
        <f>IFERROR((U11-T11)/T11,"")</f>
        <v/>
      </c>
      <c r="W11">
        <f>(SUMIFS('Payment Breakdown Current'!$S$15:$S$164,'Payment Breakdown Current'!$AE$15:$AE$164,$A11))-(SUMIFS('Payment Breakdown Prior'!$S$15:$S$164,'Payment Breakdown Prior'!$AE$15:$AE$164,$A11))</f>
        <v/>
      </c>
      <c r="X11">
        <f>(SUMIFS('Payment Breakdown Current'!$T$15:$T$164,'Payment Breakdown Current'!$AE$15:$AE$164,$A11))-(SUMIFS('Payment Breakdown Prior'!$T$15:$T$164,'Payment Breakdown Prior'!$AE$15:$AE$164,$A11))</f>
        <v/>
      </c>
      <c r="Y11">
        <f>(SUMIFS('Payment Breakdown Current'!$U$15:$U$164,'Payment Breakdown Current'!$AE$15:$AE$164,$A11))-(SUMIFS('Payment Breakdown Prior'!$U$15:$U$164,'Payment Breakdown Prior'!$AE$15:$AE$164,$A11))</f>
        <v/>
      </c>
      <c r="Z11">
        <f>(SUMIFS('Payment Breakdown Current'!$V$15:$V$164,'Payment Breakdown Current'!$AE$15:$AE$164,$A11))-(SUMIFS('Payment Breakdown Prior'!$V$15:$V$164,'Payment Breakdown Prior'!$AE$15:$AE$164,$A11))</f>
        <v/>
      </c>
      <c r="AA11">
        <f>(SUMIFS('Payment Breakdown Current'!$W$15:$W$164,'Payment Breakdown Current'!$AE$15:$AE$164,$A11))-(SUMIFS('Payment Breakdown Prior'!$W$15:$W$164,'Payment Breakdown Prior'!$AE$15:$AE$164,$A11))</f>
        <v/>
      </c>
      <c r="AB11">
        <f>(SUMIFS('Payment Breakdown Current'!$X$15:$X$164,'Payment Breakdown Current'!$AE$15:$AE$164,$A11))-(SUMIFS('Payment Breakdown Prior'!$X$15:$X$164,'Payment Breakdown Prior'!$AE$15:$AE$164,$A11))</f>
        <v/>
      </c>
      <c r="AC11">
        <f>(SUMIFS('Payment Breakdown Current'!$Y$15:$Y$164,'Payment Breakdown Current'!$AE$15:$AE$164,$A11))-(SUMIFS('Payment Breakdown Prior'!$Y$15:$Y$164,'Payment Breakdown Prior'!$AE$15:$AE$164,$A11))</f>
        <v/>
      </c>
      <c r="AD11">
        <f>(SUMIFS('Payment Breakdown Current'!$Z$15:$Z$164,'Payment Breakdown Current'!$AE$15:$AE$164,$A11))-(SUMIFS('Payment Breakdown Prior'!$Z$15:$Z$164,'Payment Breakdown Prior'!$AE$15:$AE$164,$A11))</f>
        <v/>
      </c>
      <c r="AE11">
        <f>(SUMIFS('Payment Breakdown Current'!$AA$15:$AA$164,'Payment Breakdown Current'!$AE$15:$AE$164,$A11))-(SUMIFS('Payment Breakdown Prior'!$AA$15:$AA$164,'Payment Breakdown Prior'!$AE$15:$AE$164,$A11))</f>
        <v/>
      </c>
      <c r="AF11">
        <f>(SUMIFS('Payment Breakdown Current'!$AB$15:$AB$164,'Payment Breakdown Current'!$AE$15:$AE$164,$A11))-(SUMIFS('Payment Breakdown Prior'!$AB$15:$AB$164,'Payment Breakdown Prior'!$AE$15:$AE$164,$A11))</f>
        <v/>
      </c>
      <c r="AG11">
        <f>(SUMIFS('Payment Breakdown Current'!$AC$15:$AC$164,'Payment Breakdown Current'!$AE$15:$AE$164,$A11))-(SUMIFS('Payment Breakdown Prior'!$AC$15:$AC$164,'Payment Breakdown Prior'!$AE$15:$AE$164,$A11))</f>
        <v/>
      </c>
      <c r="AH11">
        <f>(SUMIFS('Payment Breakdown Current'!$AD$15:$AD$164,'Payment Breakdown Current'!$AE$15:$AE$164,$A11))-(SUMIFS('Payment Breakdown Prior'!$AD$15:$AD$164,'Payment Breakdown Prior'!$AE$15:$AE$164,$A11))</f>
        <v/>
      </c>
      <c r="AI11">
        <f t="array" ref="AI11">MAX(ABS(W11:AH11))</f>
        <v/>
      </c>
      <c r="AJ11">
        <f t="array" ref="AJ11">IF(AI11&lt;0.005,"",IFERROR(INDEX($W$1:$AH$1,MATCH(AI11,ABS(W11:AH11),0)),""))</f>
        <v/>
      </c>
      <c r="AK11">
        <f t="array" ref="AK11">IF(AI11&lt;0.005,"",IFERROR(INDEX(W11:AH11,MATCH(AI11,ABS(W11:AH11),0)),""))</f>
        <v/>
      </c>
      <c r="AL11">
        <f>IF(R11=1,ABS(L11)-ROW()/100000000,"")</f>
        <v/>
      </c>
    </row>
    <row r="12">
      <c r="A12">
        <f>IF('NPV Comparison'!D25="","",'NPV Comparison'!D25)</f>
        <v/>
      </c>
      <c r="B12">
        <f>IF('NPV Comparison'!E25="","",'NPV Comparison'!E25)</f>
        <v/>
      </c>
      <c r="C12">
        <f>IF('NPV Comparison'!F25="","",'NPV Comparison'!F25)</f>
        <v/>
      </c>
      <c r="D12">
        <f>IF($A12="","",IFERROR(INDEX(Structure!$E$13:$E$312,MATCH($A12,Structure!$P$13:$P$312,0)),""))</f>
        <v/>
      </c>
      <c r="E12">
        <f>IF($A12="",0,IF(COUNTIF(Structure!$P$13:$P$312,$A12)=0,0,IF(COUNTIFS(Structure!$P$13:$P$312,$A12,Structure!$N$13:$N$312,"&lt;&gt;Zero Hours")=0,1,0)))</f>
        <v/>
      </c>
      <c r="F12">
        <f>IF($A12="",0,1-E12)</f>
        <v/>
      </c>
      <c r="G12">
        <f>IF($A12="",0,IF(COUNTIF('New Starters'!$D$14:$D$73,$A12)&gt;0,1,0))</f>
        <v/>
      </c>
      <c r="H12">
        <f>IF($A12="",0,IF(COUNTIF('Leavers'!$D$12:$D$71,$A12)&gt;0,1,0))</f>
        <v/>
      </c>
      <c r="I12">
        <f>IF($A12="","",IFERROR(INDEX('New Starters'!$K$14:$K$73,MATCH($A12,'New Starters'!$D$14:$D$73,0)),IFERROR(INDEX('Leavers'!$K$12:$K$71,MATCH($A12,'Leavers'!$D$12:$D$71,0)),"")))</f>
        <v/>
      </c>
      <c r="J12">
        <f>IF(AND(G12=1,I12&lt;&gt;"",COUNTIF('Leavers'!$K$12:$K$71,I12)&gt;0),1,IF(AND(H12=1,I12&lt;&gt;"",COUNTIF('New Starters'!$K$14:$K$73,I12)&gt;0),1,0))</f>
        <v/>
      </c>
      <c r="K12">
        <f>IF(ISNUMBER(SEARCH("Head Office",D12)),'Control Sheet'!$C$6,'Control Sheet'!$C$5)</f>
        <v/>
      </c>
      <c r="L12">
        <f>IF(OR($A12="",AND(B12="",C12="")),"",IF(B12="",C12,IF(C12="",-B12,C12-B12)))</f>
        <v/>
      </c>
      <c r="M12">
        <f>IFERROR(L12/B12,"")</f>
        <v/>
      </c>
      <c r="N12">
        <f>IF($A12="",0,IF(OR(B12="",C12="",C12=0,AND(ISNUMBER(M12),ABS(M12)&gt;K12)),1,0))</f>
        <v/>
      </c>
      <c r="O12">
        <f>IF(AND(N12=1,ABS(L12)&gt;='Control Sheet'!$C$7,F12=1),1,0)</f>
        <v/>
      </c>
      <c r="P12">
        <f>IF($A12="","",IF(F12=0,"Zero Hours",IF(J12=1,"Explained: Paired transfer",IF(AND(G12=1,H12=0,J12=0),"Explained: Starter",IF(AND(H12=1,G12=0,J12=0),"Explained: Leaver",IF(O12=1,"Review required","OK"))))))</f>
        <v/>
      </c>
      <c r="Q12">
        <f>IF(AND(F12=1,OR(C12="",C12=0),H12=0,J12=0),1,0)</f>
        <v/>
      </c>
      <c r="R12">
        <f>IF(F12=0,0,IF(P12="Review required",1,IF(AND(P12="Explained: Starter",ISNUMBER(C12),C12&gt;=1500),1,0)))</f>
        <v/>
      </c>
      <c r="S12">
        <f>IF(R12=0,"",IF(Q12=1,"High",IF(AND(P12="Explained: Starter",C12&gt;=1500),"High",IF(ABS(L12)&gt;=2000,"High",IF(ABS(L12)&gt;=500,"Medium","Low")))))</f>
        <v/>
      </c>
      <c r="T12">
        <f>SUMIFS('Payment Breakdown Prior'!$S$15:$S$164,'Payment Breakdown Prior'!$AE$15:$AE$164,$A12)</f>
        <v/>
      </c>
      <c r="U12">
        <f>SUMIFS('Payment Breakdown Current'!$S$15:$S$164,'Payment Breakdown Current'!$AE$15:$AE$164,$A12)</f>
        <v/>
      </c>
      <c r="V12">
        <f>IFERROR((U12-T12)/T12,"")</f>
        <v/>
      </c>
      <c r="W12">
        <f>(SUMIFS('Payment Breakdown Current'!$S$15:$S$164,'Payment Breakdown Current'!$AE$15:$AE$164,$A12))-(SUMIFS('Payment Breakdown Prior'!$S$15:$S$164,'Payment Breakdown Prior'!$AE$15:$AE$164,$A12))</f>
        <v/>
      </c>
      <c r="X12">
        <f>(SUMIFS('Payment Breakdown Current'!$T$15:$T$164,'Payment Breakdown Current'!$AE$15:$AE$164,$A12))-(SUMIFS('Payment Breakdown Prior'!$T$15:$T$164,'Payment Breakdown Prior'!$AE$15:$AE$164,$A12))</f>
        <v/>
      </c>
      <c r="Y12">
        <f>(SUMIFS('Payment Breakdown Current'!$U$15:$U$164,'Payment Breakdown Current'!$AE$15:$AE$164,$A12))-(SUMIFS('Payment Breakdown Prior'!$U$15:$U$164,'Payment Breakdown Prior'!$AE$15:$AE$164,$A12))</f>
        <v/>
      </c>
      <c r="Z12">
        <f>(SUMIFS('Payment Breakdown Current'!$V$15:$V$164,'Payment Breakdown Current'!$AE$15:$AE$164,$A12))-(SUMIFS('Payment Breakdown Prior'!$V$15:$V$164,'Payment Breakdown Prior'!$AE$15:$AE$164,$A12))</f>
        <v/>
      </c>
      <c r="AA12">
        <f>(SUMIFS('Payment Breakdown Current'!$W$15:$W$164,'Payment Breakdown Current'!$AE$15:$AE$164,$A12))-(SUMIFS('Payment Breakdown Prior'!$W$15:$W$164,'Payment Breakdown Prior'!$AE$15:$AE$164,$A12))</f>
        <v/>
      </c>
      <c r="AB12">
        <f>(SUMIFS('Payment Breakdown Current'!$X$15:$X$164,'Payment Breakdown Current'!$AE$15:$AE$164,$A12))-(SUMIFS('Payment Breakdown Prior'!$X$15:$X$164,'Payment Breakdown Prior'!$AE$15:$AE$164,$A12))</f>
        <v/>
      </c>
      <c r="AC12">
        <f>(SUMIFS('Payment Breakdown Current'!$Y$15:$Y$164,'Payment Breakdown Current'!$AE$15:$AE$164,$A12))-(SUMIFS('Payment Breakdown Prior'!$Y$15:$Y$164,'Payment Breakdown Prior'!$AE$15:$AE$164,$A12))</f>
        <v/>
      </c>
      <c r="AD12">
        <f>(SUMIFS('Payment Breakdown Current'!$Z$15:$Z$164,'Payment Breakdown Current'!$AE$15:$AE$164,$A12))-(SUMIFS('Payment Breakdown Prior'!$Z$15:$Z$164,'Payment Breakdown Prior'!$AE$15:$AE$164,$A12))</f>
        <v/>
      </c>
      <c r="AE12">
        <f>(SUMIFS('Payment Breakdown Current'!$AA$15:$AA$164,'Payment Breakdown Current'!$AE$15:$AE$164,$A12))-(SUMIFS('Payment Breakdown Prior'!$AA$15:$AA$164,'Payment Breakdown Prior'!$AE$15:$AE$164,$A12))</f>
        <v/>
      </c>
      <c r="AF12">
        <f>(SUMIFS('Payment Breakdown Current'!$AB$15:$AB$164,'Payment Breakdown Current'!$AE$15:$AE$164,$A12))-(SUMIFS('Payment Breakdown Prior'!$AB$15:$AB$164,'Payment Breakdown Prior'!$AE$15:$AE$164,$A12))</f>
        <v/>
      </c>
      <c r="AG12">
        <f>(SUMIFS('Payment Breakdown Current'!$AC$15:$AC$164,'Payment Breakdown Current'!$AE$15:$AE$164,$A12))-(SUMIFS('Payment Breakdown Prior'!$AC$15:$AC$164,'Payment Breakdown Prior'!$AE$15:$AE$164,$A12))</f>
        <v/>
      </c>
      <c r="AH12">
        <f>(SUMIFS('Payment Breakdown Current'!$AD$15:$AD$164,'Payment Breakdown Current'!$AE$15:$AE$164,$A12))-(SUMIFS('Payment Breakdown Prior'!$AD$15:$AD$164,'Payment Breakdown Prior'!$AE$15:$AE$164,$A12))</f>
        <v/>
      </c>
      <c r="AI12">
        <f t="array" ref="AI12">MAX(ABS(W12:AH12))</f>
        <v/>
      </c>
      <c r="AJ12">
        <f t="array" ref="AJ12">IF(AI12&lt;0.005,"",IFERROR(INDEX($W$1:$AH$1,MATCH(AI12,ABS(W12:AH12),0)),""))</f>
        <v/>
      </c>
      <c r="AK12">
        <f t="array" ref="AK12">IF(AI12&lt;0.005,"",IFERROR(INDEX(W12:AH12,MATCH(AI12,ABS(W12:AH12),0)),""))</f>
        <v/>
      </c>
      <c r="AL12">
        <f>IF(R12=1,ABS(L12)-ROW()/100000000,"")</f>
        <v/>
      </c>
    </row>
    <row r="13">
      <c r="A13">
        <f>IF('NPV Comparison'!D26="","",'NPV Comparison'!D26)</f>
        <v/>
      </c>
      <c r="B13">
        <f>IF('NPV Comparison'!E26="","",'NPV Comparison'!E26)</f>
        <v/>
      </c>
      <c r="C13">
        <f>IF('NPV Comparison'!F26="","",'NPV Comparison'!F26)</f>
        <v/>
      </c>
      <c r="D13">
        <f>IF($A13="","",IFERROR(INDEX(Structure!$E$13:$E$312,MATCH($A13,Structure!$P$13:$P$312,0)),""))</f>
        <v/>
      </c>
      <c r="E13">
        <f>IF($A13="",0,IF(COUNTIF(Structure!$P$13:$P$312,$A13)=0,0,IF(COUNTIFS(Structure!$P$13:$P$312,$A13,Structure!$N$13:$N$312,"&lt;&gt;Zero Hours")=0,1,0)))</f>
        <v/>
      </c>
      <c r="F13">
        <f>IF($A13="",0,1-E13)</f>
        <v/>
      </c>
      <c r="G13">
        <f>IF($A13="",0,IF(COUNTIF('New Starters'!$D$14:$D$73,$A13)&gt;0,1,0))</f>
        <v/>
      </c>
      <c r="H13">
        <f>IF($A13="",0,IF(COUNTIF('Leavers'!$D$12:$D$71,$A13)&gt;0,1,0))</f>
        <v/>
      </c>
      <c r="I13">
        <f>IF($A13="","",IFERROR(INDEX('New Starters'!$K$14:$K$73,MATCH($A13,'New Starters'!$D$14:$D$73,0)),IFERROR(INDEX('Leavers'!$K$12:$K$71,MATCH($A13,'Leavers'!$D$12:$D$71,0)),"")))</f>
        <v/>
      </c>
      <c r="J13">
        <f>IF(AND(G13=1,I13&lt;&gt;"",COUNTIF('Leavers'!$K$12:$K$71,I13)&gt;0),1,IF(AND(H13=1,I13&lt;&gt;"",COUNTIF('New Starters'!$K$14:$K$73,I13)&gt;0),1,0))</f>
        <v/>
      </c>
      <c r="K13">
        <f>IF(ISNUMBER(SEARCH("Head Office",D13)),'Control Sheet'!$C$6,'Control Sheet'!$C$5)</f>
        <v/>
      </c>
      <c r="L13">
        <f>IF(OR($A13="",AND(B13="",C13="")),"",IF(B13="",C13,IF(C13="",-B13,C13-B13)))</f>
        <v/>
      </c>
      <c r="M13">
        <f>IFERROR(L13/B13,"")</f>
        <v/>
      </c>
      <c r="N13">
        <f>IF($A13="",0,IF(OR(B13="",C13="",C13=0,AND(ISNUMBER(M13),ABS(M13)&gt;K13)),1,0))</f>
        <v/>
      </c>
      <c r="O13">
        <f>IF(AND(N13=1,ABS(L13)&gt;='Control Sheet'!$C$7,F13=1),1,0)</f>
        <v/>
      </c>
      <c r="P13">
        <f>IF($A13="","",IF(F13=0,"Zero Hours",IF(J13=1,"Explained: Paired transfer",IF(AND(G13=1,H13=0,J13=0),"Explained: Starter",IF(AND(H13=1,G13=0,J13=0),"Explained: Leaver",IF(O13=1,"Review required","OK"))))))</f>
        <v/>
      </c>
      <c r="Q13">
        <f>IF(AND(F13=1,OR(C13="",C13=0),H13=0,J13=0),1,0)</f>
        <v/>
      </c>
      <c r="R13">
        <f>IF(F13=0,0,IF(P13="Review required",1,IF(AND(P13="Explained: Starter",ISNUMBER(C13),C13&gt;=1500),1,0)))</f>
        <v/>
      </c>
      <c r="S13">
        <f>IF(R13=0,"",IF(Q13=1,"High",IF(AND(P13="Explained: Starter",C13&gt;=1500),"High",IF(ABS(L13)&gt;=2000,"High",IF(ABS(L13)&gt;=500,"Medium","Low")))))</f>
        <v/>
      </c>
      <c r="T13">
        <f>SUMIFS('Payment Breakdown Prior'!$S$15:$S$164,'Payment Breakdown Prior'!$AE$15:$AE$164,$A13)</f>
        <v/>
      </c>
      <c r="U13">
        <f>SUMIFS('Payment Breakdown Current'!$S$15:$S$164,'Payment Breakdown Current'!$AE$15:$AE$164,$A13)</f>
        <v/>
      </c>
      <c r="V13">
        <f>IFERROR((U13-T13)/T13,"")</f>
        <v/>
      </c>
      <c r="W13">
        <f>(SUMIFS('Payment Breakdown Current'!$S$15:$S$164,'Payment Breakdown Current'!$AE$15:$AE$164,$A13))-(SUMIFS('Payment Breakdown Prior'!$S$15:$S$164,'Payment Breakdown Prior'!$AE$15:$AE$164,$A13))</f>
        <v/>
      </c>
      <c r="X13">
        <f>(SUMIFS('Payment Breakdown Current'!$T$15:$T$164,'Payment Breakdown Current'!$AE$15:$AE$164,$A13))-(SUMIFS('Payment Breakdown Prior'!$T$15:$T$164,'Payment Breakdown Prior'!$AE$15:$AE$164,$A13))</f>
        <v/>
      </c>
      <c r="Y13">
        <f>(SUMIFS('Payment Breakdown Current'!$U$15:$U$164,'Payment Breakdown Current'!$AE$15:$AE$164,$A13))-(SUMIFS('Payment Breakdown Prior'!$U$15:$U$164,'Payment Breakdown Prior'!$AE$15:$AE$164,$A13))</f>
        <v/>
      </c>
      <c r="Z13">
        <f>(SUMIFS('Payment Breakdown Current'!$V$15:$V$164,'Payment Breakdown Current'!$AE$15:$AE$164,$A13))-(SUMIFS('Payment Breakdown Prior'!$V$15:$V$164,'Payment Breakdown Prior'!$AE$15:$AE$164,$A13))</f>
        <v/>
      </c>
      <c r="AA13">
        <f>(SUMIFS('Payment Breakdown Current'!$W$15:$W$164,'Payment Breakdown Current'!$AE$15:$AE$164,$A13))-(SUMIFS('Payment Breakdown Prior'!$W$15:$W$164,'Payment Breakdown Prior'!$AE$15:$AE$164,$A13))</f>
        <v/>
      </c>
      <c r="AB13">
        <f>(SUMIFS('Payment Breakdown Current'!$X$15:$X$164,'Payment Breakdown Current'!$AE$15:$AE$164,$A13))-(SUMIFS('Payment Breakdown Prior'!$X$15:$X$164,'Payment Breakdown Prior'!$AE$15:$AE$164,$A13))</f>
        <v/>
      </c>
      <c r="AC13">
        <f>(SUMIFS('Payment Breakdown Current'!$Y$15:$Y$164,'Payment Breakdown Current'!$AE$15:$AE$164,$A13))-(SUMIFS('Payment Breakdown Prior'!$Y$15:$Y$164,'Payment Breakdown Prior'!$AE$15:$AE$164,$A13))</f>
        <v/>
      </c>
      <c r="AD13">
        <f>(SUMIFS('Payment Breakdown Current'!$Z$15:$Z$164,'Payment Breakdown Current'!$AE$15:$AE$164,$A13))-(SUMIFS('Payment Breakdown Prior'!$Z$15:$Z$164,'Payment Breakdown Prior'!$AE$15:$AE$164,$A13))</f>
        <v/>
      </c>
      <c r="AE13">
        <f>(SUMIFS('Payment Breakdown Current'!$AA$15:$AA$164,'Payment Breakdown Current'!$AE$15:$AE$164,$A13))-(SUMIFS('Payment Breakdown Prior'!$AA$15:$AA$164,'Payment Breakdown Prior'!$AE$15:$AE$164,$A13))</f>
        <v/>
      </c>
      <c r="AF13">
        <f>(SUMIFS('Payment Breakdown Current'!$AB$15:$AB$164,'Payment Breakdown Current'!$AE$15:$AE$164,$A13))-(SUMIFS('Payment Breakdown Prior'!$AB$15:$AB$164,'Payment Breakdown Prior'!$AE$15:$AE$164,$A13))</f>
        <v/>
      </c>
      <c r="AG13">
        <f>(SUMIFS('Payment Breakdown Current'!$AC$15:$AC$164,'Payment Breakdown Current'!$AE$15:$AE$164,$A13))-(SUMIFS('Payment Breakdown Prior'!$AC$15:$AC$164,'Payment Breakdown Prior'!$AE$15:$AE$164,$A13))</f>
        <v/>
      </c>
      <c r="AH13">
        <f>(SUMIFS('Payment Breakdown Current'!$AD$15:$AD$164,'Payment Breakdown Current'!$AE$15:$AE$164,$A13))-(SUMIFS('Payment Breakdown Prior'!$AD$15:$AD$164,'Payment Breakdown Prior'!$AE$15:$AE$164,$A13))</f>
        <v/>
      </c>
      <c r="AI13">
        <f t="array" ref="AI13">MAX(ABS(W13:AH13))</f>
        <v/>
      </c>
      <c r="AJ13">
        <f t="array" ref="AJ13">IF(AI13&lt;0.005,"",IFERROR(INDEX($W$1:$AH$1,MATCH(AI13,ABS(W13:AH13),0)),""))</f>
        <v/>
      </c>
      <c r="AK13">
        <f t="array" ref="AK13">IF(AI13&lt;0.005,"",IFERROR(INDEX(W13:AH13,MATCH(AI13,ABS(W13:AH13),0)),""))</f>
        <v/>
      </c>
      <c r="AL13">
        <f>IF(R13=1,ABS(L13)-ROW()/100000000,"")</f>
        <v/>
      </c>
    </row>
    <row r="14">
      <c r="A14">
        <f>IF('NPV Comparison'!D27="","",'NPV Comparison'!D27)</f>
        <v/>
      </c>
      <c r="B14">
        <f>IF('NPV Comparison'!E27="","",'NPV Comparison'!E27)</f>
        <v/>
      </c>
      <c r="C14">
        <f>IF('NPV Comparison'!F27="","",'NPV Comparison'!F27)</f>
        <v/>
      </c>
      <c r="D14">
        <f>IF($A14="","",IFERROR(INDEX(Structure!$E$13:$E$312,MATCH($A14,Structure!$P$13:$P$312,0)),""))</f>
        <v/>
      </c>
      <c r="E14">
        <f>IF($A14="",0,IF(COUNTIF(Structure!$P$13:$P$312,$A14)=0,0,IF(COUNTIFS(Structure!$P$13:$P$312,$A14,Structure!$N$13:$N$312,"&lt;&gt;Zero Hours")=0,1,0)))</f>
        <v/>
      </c>
      <c r="F14">
        <f>IF($A14="",0,1-E14)</f>
        <v/>
      </c>
      <c r="G14">
        <f>IF($A14="",0,IF(COUNTIF('New Starters'!$D$14:$D$73,$A14)&gt;0,1,0))</f>
        <v/>
      </c>
      <c r="H14">
        <f>IF($A14="",0,IF(COUNTIF('Leavers'!$D$12:$D$71,$A14)&gt;0,1,0))</f>
        <v/>
      </c>
      <c r="I14">
        <f>IF($A14="","",IFERROR(INDEX('New Starters'!$K$14:$K$73,MATCH($A14,'New Starters'!$D$14:$D$73,0)),IFERROR(INDEX('Leavers'!$K$12:$K$71,MATCH($A14,'Leavers'!$D$12:$D$71,0)),"")))</f>
        <v/>
      </c>
      <c r="J14">
        <f>IF(AND(G14=1,I14&lt;&gt;"",COUNTIF('Leavers'!$K$12:$K$71,I14)&gt;0),1,IF(AND(H14=1,I14&lt;&gt;"",COUNTIF('New Starters'!$K$14:$K$73,I14)&gt;0),1,0))</f>
        <v/>
      </c>
      <c r="K14">
        <f>IF(ISNUMBER(SEARCH("Head Office",D14)),'Control Sheet'!$C$6,'Control Sheet'!$C$5)</f>
        <v/>
      </c>
      <c r="L14">
        <f>IF(OR($A14="",AND(B14="",C14="")),"",IF(B14="",C14,IF(C14="",-B14,C14-B14)))</f>
        <v/>
      </c>
      <c r="M14">
        <f>IFERROR(L14/B14,"")</f>
        <v/>
      </c>
      <c r="N14">
        <f>IF($A14="",0,IF(OR(B14="",C14="",C14=0,AND(ISNUMBER(M14),ABS(M14)&gt;K14)),1,0))</f>
        <v/>
      </c>
      <c r="O14">
        <f>IF(AND(N14=1,ABS(L14)&gt;='Control Sheet'!$C$7,F14=1),1,0)</f>
        <v/>
      </c>
      <c r="P14">
        <f>IF($A14="","",IF(F14=0,"Zero Hours",IF(J14=1,"Explained: Paired transfer",IF(AND(G14=1,H14=0,J14=0),"Explained: Starter",IF(AND(H14=1,G14=0,J14=0),"Explained: Leaver",IF(O14=1,"Review required","OK"))))))</f>
        <v/>
      </c>
      <c r="Q14">
        <f>IF(AND(F14=1,OR(C14="",C14=0),H14=0,J14=0),1,0)</f>
        <v/>
      </c>
      <c r="R14">
        <f>IF(F14=0,0,IF(P14="Review required",1,IF(AND(P14="Explained: Starter",ISNUMBER(C14),C14&gt;=1500),1,0)))</f>
        <v/>
      </c>
      <c r="S14">
        <f>IF(R14=0,"",IF(Q14=1,"High",IF(AND(P14="Explained: Starter",C14&gt;=1500),"High",IF(ABS(L14)&gt;=2000,"High",IF(ABS(L14)&gt;=500,"Medium","Low")))))</f>
        <v/>
      </c>
      <c r="T14">
        <f>SUMIFS('Payment Breakdown Prior'!$S$15:$S$164,'Payment Breakdown Prior'!$AE$15:$AE$164,$A14)</f>
        <v/>
      </c>
      <c r="U14">
        <f>SUMIFS('Payment Breakdown Current'!$S$15:$S$164,'Payment Breakdown Current'!$AE$15:$AE$164,$A14)</f>
        <v/>
      </c>
      <c r="V14">
        <f>IFERROR((U14-T14)/T14,"")</f>
        <v/>
      </c>
      <c r="W14">
        <f>(SUMIFS('Payment Breakdown Current'!$S$15:$S$164,'Payment Breakdown Current'!$AE$15:$AE$164,$A14))-(SUMIFS('Payment Breakdown Prior'!$S$15:$S$164,'Payment Breakdown Prior'!$AE$15:$AE$164,$A14))</f>
        <v/>
      </c>
      <c r="X14">
        <f>(SUMIFS('Payment Breakdown Current'!$T$15:$T$164,'Payment Breakdown Current'!$AE$15:$AE$164,$A14))-(SUMIFS('Payment Breakdown Prior'!$T$15:$T$164,'Payment Breakdown Prior'!$AE$15:$AE$164,$A14))</f>
        <v/>
      </c>
      <c r="Y14">
        <f>(SUMIFS('Payment Breakdown Current'!$U$15:$U$164,'Payment Breakdown Current'!$AE$15:$AE$164,$A14))-(SUMIFS('Payment Breakdown Prior'!$U$15:$U$164,'Payment Breakdown Prior'!$AE$15:$AE$164,$A14))</f>
        <v/>
      </c>
      <c r="Z14">
        <f>(SUMIFS('Payment Breakdown Current'!$V$15:$V$164,'Payment Breakdown Current'!$AE$15:$AE$164,$A14))-(SUMIFS('Payment Breakdown Prior'!$V$15:$V$164,'Payment Breakdown Prior'!$AE$15:$AE$164,$A14))</f>
        <v/>
      </c>
      <c r="AA14">
        <f>(SUMIFS('Payment Breakdown Current'!$W$15:$W$164,'Payment Breakdown Current'!$AE$15:$AE$164,$A14))-(SUMIFS('Payment Breakdown Prior'!$W$15:$W$164,'Payment Breakdown Prior'!$AE$15:$AE$164,$A14))</f>
        <v/>
      </c>
      <c r="AB14">
        <f>(SUMIFS('Payment Breakdown Current'!$X$15:$X$164,'Payment Breakdown Current'!$AE$15:$AE$164,$A14))-(SUMIFS('Payment Breakdown Prior'!$X$15:$X$164,'Payment Breakdown Prior'!$AE$15:$AE$164,$A14))</f>
        <v/>
      </c>
      <c r="AC14">
        <f>(SUMIFS('Payment Breakdown Current'!$Y$15:$Y$164,'Payment Breakdown Current'!$AE$15:$AE$164,$A14))-(SUMIFS('Payment Breakdown Prior'!$Y$15:$Y$164,'Payment Breakdown Prior'!$AE$15:$AE$164,$A14))</f>
        <v/>
      </c>
      <c r="AD14">
        <f>(SUMIFS('Payment Breakdown Current'!$Z$15:$Z$164,'Payment Breakdown Current'!$AE$15:$AE$164,$A14))-(SUMIFS('Payment Breakdown Prior'!$Z$15:$Z$164,'Payment Breakdown Prior'!$AE$15:$AE$164,$A14))</f>
        <v/>
      </c>
      <c r="AE14">
        <f>(SUMIFS('Payment Breakdown Current'!$AA$15:$AA$164,'Payment Breakdown Current'!$AE$15:$AE$164,$A14))-(SUMIFS('Payment Breakdown Prior'!$AA$15:$AA$164,'Payment Breakdown Prior'!$AE$15:$AE$164,$A14))</f>
        <v/>
      </c>
      <c r="AF14">
        <f>(SUMIFS('Payment Breakdown Current'!$AB$15:$AB$164,'Payment Breakdown Current'!$AE$15:$AE$164,$A14))-(SUMIFS('Payment Breakdown Prior'!$AB$15:$AB$164,'Payment Breakdown Prior'!$AE$15:$AE$164,$A14))</f>
        <v/>
      </c>
      <c r="AG14">
        <f>(SUMIFS('Payment Breakdown Current'!$AC$15:$AC$164,'Payment Breakdown Current'!$AE$15:$AE$164,$A14))-(SUMIFS('Payment Breakdown Prior'!$AC$15:$AC$164,'Payment Breakdown Prior'!$AE$15:$AE$164,$A14))</f>
        <v/>
      </c>
      <c r="AH14">
        <f>(SUMIFS('Payment Breakdown Current'!$AD$15:$AD$164,'Payment Breakdown Current'!$AE$15:$AE$164,$A14))-(SUMIFS('Payment Breakdown Prior'!$AD$15:$AD$164,'Payment Breakdown Prior'!$AE$15:$AE$164,$A14))</f>
        <v/>
      </c>
      <c r="AI14">
        <f t="array" ref="AI14">MAX(ABS(W14:AH14))</f>
        <v/>
      </c>
      <c r="AJ14">
        <f t="array" ref="AJ14">IF(AI14&lt;0.005,"",IFERROR(INDEX($W$1:$AH$1,MATCH(AI14,ABS(W14:AH14),0)),""))</f>
        <v/>
      </c>
      <c r="AK14">
        <f t="array" ref="AK14">IF(AI14&lt;0.005,"",IFERROR(INDEX(W14:AH14,MATCH(AI14,ABS(W14:AH14),0)),""))</f>
        <v/>
      </c>
      <c r="AL14">
        <f>IF(R14=1,ABS(L14)-ROW()/100000000,"")</f>
        <v/>
      </c>
    </row>
    <row r="15">
      <c r="A15">
        <f>IF('NPV Comparison'!D28="","",'NPV Comparison'!D28)</f>
        <v/>
      </c>
      <c r="B15">
        <f>IF('NPV Comparison'!E28="","",'NPV Comparison'!E28)</f>
        <v/>
      </c>
      <c r="C15">
        <f>IF('NPV Comparison'!F28="","",'NPV Comparison'!F28)</f>
        <v/>
      </c>
      <c r="D15">
        <f>IF($A15="","",IFERROR(INDEX(Structure!$E$13:$E$312,MATCH($A15,Structure!$P$13:$P$312,0)),""))</f>
        <v/>
      </c>
      <c r="E15">
        <f>IF($A15="",0,IF(COUNTIF(Structure!$P$13:$P$312,$A15)=0,0,IF(COUNTIFS(Structure!$P$13:$P$312,$A15,Structure!$N$13:$N$312,"&lt;&gt;Zero Hours")=0,1,0)))</f>
        <v/>
      </c>
      <c r="F15">
        <f>IF($A15="",0,1-E15)</f>
        <v/>
      </c>
      <c r="G15">
        <f>IF($A15="",0,IF(COUNTIF('New Starters'!$D$14:$D$73,$A15)&gt;0,1,0))</f>
        <v/>
      </c>
      <c r="H15">
        <f>IF($A15="",0,IF(COUNTIF('Leavers'!$D$12:$D$71,$A15)&gt;0,1,0))</f>
        <v/>
      </c>
      <c r="I15">
        <f>IF($A15="","",IFERROR(INDEX('New Starters'!$K$14:$K$73,MATCH($A15,'New Starters'!$D$14:$D$73,0)),IFERROR(INDEX('Leavers'!$K$12:$K$71,MATCH($A15,'Leavers'!$D$12:$D$71,0)),"")))</f>
        <v/>
      </c>
      <c r="J15">
        <f>IF(AND(G15=1,I15&lt;&gt;"",COUNTIF('Leavers'!$K$12:$K$71,I15)&gt;0),1,IF(AND(H15=1,I15&lt;&gt;"",COUNTIF('New Starters'!$K$14:$K$73,I15)&gt;0),1,0))</f>
        <v/>
      </c>
      <c r="K15">
        <f>IF(ISNUMBER(SEARCH("Head Office",D15)),'Control Sheet'!$C$6,'Control Sheet'!$C$5)</f>
        <v/>
      </c>
      <c r="L15">
        <f>IF(OR($A15="",AND(B15="",C15="")),"",IF(B15="",C15,IF(C15="",-B15,C15-B15)))</f>
        <v/>
      </c>
      <c r="M15">
        <f>IFERROR(L15/B15,"")</f>
        <v/>
      </c>
      <c r="N15">
        <f>IF($A15="",0,IF(OR(B15="",C15="",C15=0,AND(ISNUMBER(M15),ABS(M15)&gt;K15)),1,0))</f>
        <v/>
      </c>
      <c r="O15">
        <f>IF(AND(N15=1,ABS(L15)&gt;='Control Sheet'!$C$7,F15=1),1,0)</f>
        <v/>
      </c>
      <c r="P15">
        <f>IF($A15="","",IF(F15=0,"Zero Hours",IF(J15=1,"Explained: Paired transfer",IF(AND(G15=1,H15=0,J15=0),"Explained: Starter",IF(AND(H15=1,G15=0,J15=0),"Explained: Leaver",IF(O15=1,"Review required","OK"))))))</f>
        <v/>
      </c>
      <c r="Q15">
        <f>IF(AND(F15=1,OR(C15="",C15=0),H15=0,J15=0),1,0)</f>
        <v/>
      </c>
      <c r="R15">
        <f>IF(F15=0,0,IF(P15="Review required",1,IF(AND(P15="Explained: Starter",ISNUMBER(C15),C15&gt;=1500),1,0)))</f>
        <v/>
      </c>
      <c r="S15">
        <f>IF(R15=0,"",IF(Q15=1,"High",IF(AND(P15="Explained: Starter",C15&gt;=1500),"High",IF(ABS(L15)&gt;=2000,"High",IF(ABS(L15)&gt;=500,"Medium","Low")))))</f>
        <v/>
      </c>
      <c r="T15">
        <f>SUMIFS('Payment Breakdown Prior'!$S$15:$S$164,'Payment Breakdown Prior'!$AE$15:$AE$164,$A15)</f>
        <v/>
      </c>
      <c r="U15">
        <f>SUMIFS('Payment Breakdown Current'!$S$15:$S$164,'Payment Breakdown Current'!$AE$15:$AE$164,$A15)</f>
        <v/>
      </c>
      <c r="V15">
        <f>IFERROR((U15-T15)/T15,"")</f>
        <v/>
      </c>
      <c r="W15">
        <f>(SUMIFS('Payment Breakdown Current'!$S$15:$S$164,'Payment Breakdown Current'!$AE$15:$AE$164,$A15))-(SUMIFS('Payment Breakdown Prior'!$S$15:$S$164,'Payment Breakdown Prior'!$AE$15:$AE$164,$A15))</f>
        <v/>
      </c>
      <c r="X15">
        <f>(SUMIFS('Payment Breakdown Current'!$T$15:$T$164,'Payment Breakdown Current'!$AE$15:$AE$164,$A15))-(SUMIFS('Payment Breakdown Prior'!$T$15:$T$164,'Payment Breakdown Prior'!$AE$15:$AE$164,$A15))</f>
        <v/>
      </c>
      <c r="Y15">
        <f>(SUMIFS('Payment Breakdown Current'!$U$15:$U$164,'Payment Breakdown Current'!$AE$15:$AE$164,$A15))-(SUMIFS('Payment Breakdown Prior'!$U$15:$U$164,'Payment Breakdown Prior'!$AE$15:$AE$164,$A15))</f>
        <v/>
      </c>
      <c r="Z15">
        <f>(SUMIFS('Payment Breakdown Current'!$V$15:$V$164,'Payment Breakdown Current'!$AE$15:$AE$164,$A15))-(SUMIFS('Payment Breakdown Prior'!$V$15:$V$164,'Payment Breakdown Prior'!$AE$15:$AE$164,$A15))</f>
        <v/>
      </c>
      <c r="AA15">
        <f>(SUMIFS('Payment Breakdown Current'!$W$15:$W$164,'Payment Breakdown Current'!$AE$15:$AE$164,$A15))-(SUMIFS('Payment Breakdown Prior'!$W$15:$W$164,'Payment Breakdown Prior'!$AE$15:$AE$164,$A15))</f>
        <v/>
      </c>
      <c r="AB15">
        <f>(SUMIFS('Payment Breakdown Current'!$X$15:$X$164,'Payment Breakdown Current'!$AE$15:$AE$164,$A15))-(SUMIFS('Payment Breakdown Prior'!$X$15:$X$164,'Payment Breakdown Prior'!$AE$15:$AE$164,$A15))</f>
        <v/>
      </c>
      <c r="AC15">
        <f>(SUMIFS('Payment Breakdown Current'!$Y$15:$Y$164,'Payment Breakdown Current'!$AE$15:$AE$164,$A15))-(SUMIFS('Payment Breakdown Prior'!$Y$15:$Y$164,'Payment Breakdown Prior'!$AE$15:$AE$164,$A15))</f>
        <v/>
      </c>
      <c r="AD15">
        <f>(SUMIFS('Payment Breakdown Current'!$Z$15:$Z$164,'Payment Breakdown Current'!$AE$15:$AE$164,$A15))-(SUMIFS('Payment Breakdown Prior'!$Z$15:$Z$164,'Payment Breakdown Prior'!$AE$15:$AE$164,$A15))</f>
        <v/>
      </c>
      <c r="AE15">
        <f>(SUMIFS('Payment Breakdown Current'!$AA$15:$AA$164,'Payment Breakdown Current'!$AE$15:$AE$164,$A15))-(SUMIFS('Payment Breakdown Prior'!$AA$15:$AA$164,'Payment Breakdown Prior'!$AE$15:$AE$164,$A15))</f>
        <v/>
      </c>
      <c r="AF15">
        <f>(SUMIFS('Payment Breakdown Current'!$AB$15:$AB$164,'Payment Breakdown Current'!$AE$15:$AE$164,$A15))-(SUMIFS('Payment Breakdown Prior'!$AB$15:$AB$164,'Payment Breakdown Prior'!$AE$15:$AE$164,$A15))</f>
        <v/>
      </c>
      <c r="AG15">
        <f>(SUMIFS('Payment Breakdown Current'!$AC$15:$AC$164,'Payment Breakdown Current'!$AE$15:$AE$164,$A15))-(SUMIFS('Payment Breakdown Prior'!$AC$15:$AC$164,'Payment Breakdown Prior'!$AE$15:$AE$164,$A15))</f>
        <v/>
      </c>
      <c r="AH15">
        <f>(SUMIFS('Payment Breakdown Current'!$AD$15:$AD$164,'Payment Breakdown Current'!$AE$15:$AE$164,$A15))-(SUMIFS('Payment Breakdown Prior'!$AD$15:$AD$164,'Payment Breakdown Prior'!$AE$15:$AE$164,$A15))</f>
        <v/>
      </c>
      <c r="AI15">
        <f t="array" ref="AI15">MAX(ABS(W15:AH15))</f>
        <v/>
      </c>
      <c r="AJ15">
        <f t="array" ref="AJ15">IF(AI15&lt;0.005,"",IFERROR(INDEX($W$1:$AH$1,MATCH(AI15,ABS(W15:AH15),0)),""))</f>
        <v/>
      </c>
      <c r="AK15">
        <f t="array" ref="AK15">IF(AI15&lt;0.005,"",IFERROR(INDEX(W15:AH15,MATCH(AI15,ABS(W15:AH15),0)),""))</f>
        <v/>
      </c>
      <c r="AL15">
        <f>IF(R15=1,ABS(L15)-ROW()/100000000,"")</f>
        <v/>
      </c>
    </row>
    <row r="16">
      <c r="A16">
        <f>IF('NPV Comparison'!D29="","",'NPV Comparison'!D29)</f>
        <v/>
      </c>
      <c r="B16">
        <f>IF('NPV Comparison'!E29="","",'NPV Comparison'!E29)</f>
        <v/>
      </c>
      <c r="C16">
        <f>IF('NPV Comparison'!F29="","",'NPV Comparison'!F29)</f>
        <v/>
      </c>
      <c r="D16">
        <f>IF($A16="","",IFERROR(INDEX(Structure!$E$13:$E$312,MATCH($A16,Structure!$P$13:$P$312,0)),""))</f>
        <v/>
      </c>
      <c r="E16">
        <f>IF($A16="",0,IF(COUNTIF(Structure!$P$13:$P$312,$A16)=0,0,IF(COUNTIFS(Structure!$P$13:$P$312,$A16,Structure!$N$13:$N$312,"&lt;&gt;Zero Hours")=0,1,0)))</f>
        <v/>
      </c>
      <c r="F16">
        <f>IF($A16="",0,1-E16)</f>
        <v/>
      </c>
      <c r="G16">
        <f>IF($A16="",0,IF(COUNTIF('New Starters'!$D$14:$D$73,$A16)&gt;0,1,0))</f>
        <v/>
      </c>
      <c r="H16">
        <f>IF($A16="",0,IF(COUNTIF('Leavers'!$D$12:$D$71,$A16)&gt;0,1,0))</f>
        <v/>
      </c>
      <c r="I16">
        <f>IF($A16="","",IFERROR(INDEX('New Starters'!$K$14:$K$73,MATCH($A16,'New Starters'!$D$14:$D$73,0)),IFERROR(INDEX('Leavers'!$K$12:$K$71,MATCH($A16,'Leavers'!$D$12:$D$71,0)),"")))</f>
        <v/>
      </c>
      <c r="J16">
        <f>IF(AND(G16=1,I16&lt;&gt;"",COUNTIF('Leavers'!$K$12:$K$71,I16)&gt;0),1,IF(AND(H16=1,I16&lt;&gt;"",COUNTIF('New Starters'!$K$14:$K$73,I16)&gt;0),1,0))</f>
        <v/>
      </c>
      <c r="K16">
        <f>IF(ISNUMBER(SEARCH("Head Office",D16)),'Control Sheet'!$C$6,'Control Sheet'!$C$5)</f>
        <v/>
      </c>
      <c r="L16">
        <f>IF(OR($A16="",AND(B16="",C16="")),"",IF(B16="",C16,IF(C16="",-B16,C16-B16)))</f>
        <v/>
      </c>
      <c r="M16">
        <f>IFERROR(L16/B16,"")</f>
        <v/>
      </c>
      <c r="N16">
        <f>IF($A16="",0,IF(OR(B16="",C16="",C16=0,AND(ISNUMBER(M16),ABS(M16)&gt;K16)),1,0))</f>
        <v/>
      </c>
      <c r="O16">
        <f>IF(AND(N16=1,ABS(L16)&gt;='Control Sheet'!$C$7,F16=1),1,0)</f>
        <v/>
      </c>
      <c r="P16">
        <f>IF($A16="","",IF(F16=0,"Zero Hours",IF(J16=1,"Explained: Paired transfer",IF(AND(G16=1,H16=0,J16=0),"Explained: Starter",IF(AND(H16=1,G16=0,J16=0),"Explained: Leaver",IF(O16=1,"Review required","OK"))))))</f>
        <v/>
      </c>
      <c r="Q16">
        <f>IF(AND(F16=1,OR(C16="",C16=0),H16=0,J16=0),1,0)</f>
        <v/>
      </c>
      <c r="R16">
        <f>IF(F16=0,0,IF(P16="Review required",1,IF(AND(P16="Explained: Starter",ISNUMBER(C16),C16&gt;=1500),1,0)))</f>
        <v/>
      </c>
      <c r="S16">
        <f>IF(R16=0,"",IF(Q16=1,"High",IF(AND(P16="Explained: Starter",C16&gt;=1500),"High",IF(ABS(L16)&gt;=2000,"High",IF(ABS(L16)&gt;=500,"Medium","Low")))))</f>
        <v/>
      </c>
      <c r="T16">
        <f>SUMIFS('Payment Breakdown Prior'!$S$15:$S$164,'Payment Breakdown Prior'!$AE$15:$AE$164,$A16)</f>
        <v/>
      </c>
      <c r="U16">
        <f>SUMIFS('Payment Breakdown Current'!$S$15:$S$164,'Payment Breakdown Current'!$AE$15:$AE$164,$A16)</f>
        <v/>
      </c>
      <c r="V16">
        <f>IFERROR((U16-T16)/T16,"")</f>
        <v/>
      </c>
      <c r="W16">
        <f>(SUMIFS('Payment Breakdown Current'!$S$15:$S$164,'Payment Breakdown Current'!$AE$15:$AE$164,$A16))-(SUMIFS('Payment Breakdown Prior'!$S$15:$S$164,'Payment Breakdown Prior'!$AE$15:$AE$164,$A16))</f>
        <v/>
      </c>
      <c r="X16">
        <f>(SUMIFS('Payment Breakdown Current'!$T$15:$T$164,'Payment Breakdown Current'!$AE$15:$AE$164,$A16))-(SUMIFS('Payment Breakdown Prior'!$T$15:$T$164,'Payment Breakdown Prior'!$AE$15:$AE$164,$A16))</f>
        <v/>
      </c>
      <c r="Y16">
        <f>(SUMIFS('Payment Breakdown Current'!$U$15:$U$164,'Payment Breakdown Current'!$AE$15:$AE$164,$A16))-(SUMIFS('Payment Breakdown Prior'!$U$15:$U$164,'Payment Breakdown Prior'!$AE$15:$AE$164,$A16))</f>
        <v/>
      </c>
      <c r="Z16">
        <f>(SUMIFS('Payment Breakdown Current'!$V$15:$V$164,'Payment Breakdown Current'!$AE$15:$AE$164,$A16))-(SUMIFS('Payment Breakdown Prior'!$V$15:$V$164,'Payment Breakdown Prior'!$AE$15:$AE$164,$A16))</f>
        <v/>
      </c>
      <c r="AA16">
        <f>(SUMIFS('Payment Breakdown Current'!$W$15:$W$164,'Payment Breakdown Current'!$AE$15:$AE$164,$A16))-(SUMIFS('Payment Breakdown Prior'!$W$15:$W$164,'Payment Breakdown Prior'!$AE$15:$AE$164,$A16))</f>
        <v/>
      </c>
      <c r="AB16">
        <f>(SUMIFS('Payment Breakdown Current'!$X$15:$X$164,'Payment Breakdown Current'!$AE$15:$AE$164,$A16))-(SUMIFS('Payment Breakdown Prior'!$X$15:$X$164,'Payment Breakdown Prior'!$AE$15:$AE$164,$A16))</f>
        <v/>
      </c>
      <c r="AC16">
        <f>(SUMIFS('Payment Breakdown Current'!$Y$15:$Y$164,'Payment Breakdown Current'!$AE$15:$AE$164,$A16))-(SUMIFS('Payment Breakdown Prior'!$Y$15:$Y$164,'Payment Breakdown Prior'!$AE$15:$AE$164,$A16))</f>
        <v/>
      </c>
      <c r="AD16">
        <f>(SUMIFS('Payment Breakdown Current'!$Z$15:$Z$164,'Payment Breakdown Current'!$AE$15:$AE$164,$A16))-(SUMIFS('Payment Breakdown Prior'!$Z$15:$Z$164,'Payment Breakdown Prior'!$AE$15:$AE$164,$A16))</f>
        <v/>
      </c>
      <c r="AE16">
        <f>(SUMIFS('Payment Breakdown Current'!$AA$15:$AA$164,'Payment Breakdown Current'!$AE$15:$AE$164,$A16))-(SUMIFS('Payment Breakdown Prior'!$AA$15:$AA$164,'Payment Breakdown Prior'!$AE$15:$AE$164,$A16))</f>
        <v/>
      </c>
      <c r="AF16">
        <f>(SUMIFS('Payment Breakdown Current'!$AB$15:$AB$164,'Payment Breakdown Current'!$AE$15:$AE$164,$A16))-(SUMIFS('Payment Breakdown Prior'!$AB$15:$AB$164,'Payment Breakdown Prior'!$AE$15:$AE$164,$A16))</f>
        <v/>
      </c>
      <c r="AG16">
        <f>(SUMIFS('Payment Breakdown Current'!$AC$15:$AC$164,'Payment Breakdown Current'!$AE$15:$AE$164,$A16))-(SUMIFS('Payment Breakdown Prior'!$AC$15:$AC$164,'Payment Breakdown Prior'!$AE$15:$AE$164,$A16))</f>
        <v/>
      </c>
      <c r="AH16">
        <f>(SUMIFS('Payment Breakdown Current'!$AD$15:$AD$164,'Payment Breakdown Current'!$AE$15:$AE$164,$A16))-(SUMIFS('Payment Breakdown Prior'!$AD$15:$AD$164,'Payment Breakdown Prior'!$AE$15:$AE$164,$A16))</f>
        <v/>
      </c>
      <c r="AI16">
        <f t="array" ref="AI16">MAX(ABS(W16:AH16))</f>
        <v/>
      </c>
      <c r="AJ16">
        <f t="array" ref="AJ16">IF(AI16&lt;0.005,"",IFERROR(INDEX($W$1:$AH$1,MATCH(AI16,ABS(W16:AH16),0)),""))</f>
        <v/>
      </c>
      <c r="AK16">
        <f t="array" ref="AK16">IF(AI16&lt;0.005,"",IFERROR(INDEX(W16:AH16,MATCH(AI16,ABS(W16:AH16),0)),""))</f>
        <v/>
      </c>
      <c r="AL16">
        <f>IF(R16=1,ABS(L16)-ROW()/100000000,"")</f>
        <v/>
      </c>
    </row>
    <row r="17">
      <c r="A17">
        <f>IF('NPV Comparison'!D30="","",'NPV Comparison'!D30)</f>
        <v/>
      </c>
      <c r="B17">
        <f>IF('NPV Comparison'!E30="","",'NPV Comparison'!E30)</f>
        <v/>
      </c>
      <c r="C17">
        <f>IF('NPV Comparison'!F30="","",'NPV Comparison'!F30)</f>
        <v/>
      </c>
      <c r="D17">
        <f>IF($A17="","",IFERROR(INDEX(Structure!$E$13:$E$312,MATCH($A17,Structure!$P$13:$P$312,0)),""))</f>
        <v/>
      </c>
      <c r="E17">
        <f>IF($A17="",0,IF(COUNTIF(Structure!$P$13:$P$312,$A17)=0,0,IF(COUNTIFS(Structure!$P$13:$P$312,$A17,Structure!$N$13:$N$312,"&lt;&gt;Zero Hours")=0,1,0)))</f>
        <v/>
      </c>
      <c r="F17">
        <f>IF($A17="",0,1-E17)</f>
        <v/>
      </c>
      <c r="G17">
        <f>IF($A17="",0,IF(COUNTIF('New Starters'!$D$14:$D$73,$A17)&gt;0,1,0))</f>
        <v/>
      </c>
      <c r="H17">
        <f>IF($A17="",0,IF(COUNTIF('Leavers'!$D$12:$D$71,$A17)&gt;0,1,0))</f>
        <v/>
      </c>
      <c r="I17">
        <f>IF($A17="","",IFERROR(INDEX('New Starters'!$K$14:$K$73,MATCH($A17,'New Starters'!$D$14:$D$73,0)),IFERROR(INDEX('Leavers'!$K$12:$K$71,MATCH($A17,'Leavers'!$D$12:$D$71,0)),"")))</f>
        <v/>
      </c>
      <c r="J17">
        <f>IF(AND(G17=1,I17&lt;&gt;"",COUNTIF('Leavers'!$K$12:$K$71,I17)&gt;0),1,IF(AND(H17=1,I17&lt;&gt;"",COUNTIF('New Starters'!$K$14:$K$73,I17)&gt;0),1,0))</f>
        <v/>
      </c>
      <c r="K17">
        <f>IF(ISNUMBER(SEARCH("Head Office",D17)),'Control Sheet'!$C$6,'Control Sheet'!$C$5)</f>
        <v/>
      </c>
      <c r="L17">
        <f>IF(OR($A17="",AND(B17="",C17="")),"",IF(B17="",C17,IF(C17="",-B17,C17-B17)))</f>
        <v/>
      </c>
      <c r="M17">
        <f>IFERROR(L17/B17,"")</f>
        <v/>
      </c>
      <c r="N17">
        <f>IF($A17="",0,IF(OR(B17="",C17="",C17=0,AND(ISNUMBER(M17),ABS(M17)&gt;K17)),1,0))</f>
        <v/>
      </c>
      <c r="O17">
        <f>IF(AND(N17=1,ABS(L17)&gt;='Control Sheet'!$C$7,F17=1),1,0)</f>
        <v/>
      </c>
      <c r="P17">
        <f>IF($A17="","",IF(F17=0,"Zero Hours",IF(J17=1,"Explained: Paired transfer",IF(AND(G17=1,H17=0,J17=0),"Explained: Starter",IF(AND(H17=1,G17=0,J17=0),"Explained: Leaver",IF(O17=1,"Review required","OK"))))))</f>
        <v/>
      </c>
      <c r="Q17">
        <f>IF(AND(F17=1,OR(C17="",C17=0),H17=0,J17=0),1,0)</f>
        <v/>
      </c>
      <c r="R17">
        <f>IF(F17=0,0,IF(P17="Review required",1,IF(AND(P17="Explained: Starter",ISNUMBER(C17),C17&gt;=1500),1,0)))</f>
        <v/>
      </c>
      <c r="S17">
        <f>IF(R17=0,"",IF(Q17=1,"High",IF(AND(P17="Explained: Starter",C17&gt;=1500),"High",IF(ABS(L17)&gt;=2000,"High",IF(ABS(L17)&gt;=500,"Medium","Low")))))</f>
        <v/>
      </c>
      <c r="T17">
        <f>SUMIFS('Payment Breakdown Prior'!$S$15:$S$164,'Payment Breakdown Prior'!$AE$15:$AE$164,$A17)</f>
        <v/>
      </c>
      <c r="U17">
        <f>SUMIFS('Payment Breakdown Current'!$S$15:$S$164,'Payment Breakdown Current'!$AE$15:$AE$164,$A17)</f>
        <v/>
      </c>
      <c r="V17">
        <f>IFERROR((U17-T17)/T17,"")</f>
        <v/>
      </c>
      <c r="W17">
        <f>(SUMIFS('Payment Breakdown Current'!$S$15:$S$164,'Payment Breakdown Current'!$AE$15:$AE$164,$A17))-(SUMIFS('Payment Breakdown Prior'!$S$15:$S$164,'Payment Breakdown Prior'!$AE$15:$AE$164,$A17))</f>
        <v/>
      </c>
      <c r="X17">
        <f>(SUMIFS('Payment Breakdown Current'!$T$15:$T$164,'Payment Breakdown Current'!$AE$15:$AE$164,$A17))-(SUMIFS('Payment Breakdown Prior'!$T$15:$T$164,'Payment Breakdown Prior'!$AE$15:$AE$164,$A17))</f>
        <v/>
      </c>
      <c r="Y17">
        <f>(SUMIFS('Payment Breakdown Current'!$U$15:$U$164,'Payment Breakdown Current'!$AE$15:$AE$164,$A17))-(SUMIFS('Payment Breakdown Prior'!$U$15:$U$164,'Payment Breakdown Prior'!$AE$15:$AE$164,$A17))</f>
        <v/>
      </c>
      <c r="Z17">
        <f>(SUMIFS('Payment Breakdown Current'!$V$15:$V$164,'Payment Breakdown Current'!$AE$15:$AE$164,$A17))-(SUMIFS('Payment Breakdown Prior'!$V$15:$V$164,'Payment Breakdown Prior'!$AE$15:$AE$164,$A17))</f>
        <v/>
      </c>
      <c r="AA17">
        <f>(SUMIFS('Payment Breakdown Current'!$W$15:$W$164,'Payment Breakdown Current'!$AE$15:$AE$164,$A17))-(SUMIFS('Payment Breakdown Prior'!$W$15:$W$164,'Payment Breakdown Prior'!$AE$15:$AE$164,$A17))</f>
        <v/>
      </c>
      <c r="AB17">
        <f>(SUMIFS('Payment Breakdown Current'!$X$15:$X$164,'Payment Breakdown Current'!$AE$15:$AE$164,$A17))-(SUMIFS('Payment Breakdown Prior'!$X$15:$X$164,'Payment Breakdown Prior'!$AE$15:$AE$164,$A17))</f>
        <v/>
      </c>
      <c r="AC17">
        <f>(SUMIFS('Payment Breakdown Current'!$Y$15:$Y$164,'Payment Breakdown Current'!$AE$15:$AE$164,$A17))-(SUMIFS('Payment Breakdown Prior'!$Y$15:$Y$164,'Payment Breakdown Prior'!$AE$15:$AE$164,$A17))</f>
        <v/>
      </c>
      <c r="AD17">
        <f>(SUMIFS('Payment Breakdown Current'!$Z$15:$Z$164,'Payment Breakdown Current'!$AE$15:$AE$164,$A17))-(SUMIFS('Payment Breakdown Prior'!$Z$15:$Z$164,'Payment Breakdown Prior'!$AE$15:$AE$164,$A17))</f>
        <v/>
      </c>
      <c r="AE17">
        <f>(SUMIFS('Payment Breakdown Current'!$AA$15:$AA$164,'Payment Breakdown Current'!$AE$15:$AE$164,$A17))-(SUMIFS('Payment Breakdown Prior'!$AA$15:$AA$164,'Payment Breakdown Prior'!$AE$15:$AE$164,$A17))</f>
        <v/>
      </c>
      <c r="AF17">
        <f>(SUMIFS('Payment Breakdown Current'!$AB$15:$AB$164,'Payment Breakdown Current'!$AE$15:$AE$164,$A17))-(SUMIFS('Payment Breakdown Prior'!$AB$15:$AB$164,'Payment Breakdown Prior'!$AE$15:$AE$164,$A17))</f>
        <v/>
      </c>
      <c r="AG17">
        <f>(SUMIFS('Payment Breakdown Current'!$AC$15:$AC$164,'Payment Breakdown Current'!$AE$15:$AE$164,$A17))-(SUMIFS('Payment Breakdown Prior'!$AC$15:$AC$164,'Payment Breakdown Prior'!$AE$15:$AE$164,$A17))</f>
        <v/>
      </c>
      <c r="AH17">
        <f>(SUMIFS('Payment Breakdown Current'!$AD$15:$AD$164,'Payment Breakdown Current'!$AE$15:$AE$164,$A17))-(SUMIFS('Payment Breakdown Prior'!$AD$15:$AD$164,'Payment Breakdown Prior'!$AE$15:$AE$164,$A17))</f>
        <v/>
      </c>
      <c r="AI17">
        <f t="array" ref="AI17">MAX(ABS(W17:AH17))</f>
        <v/>
      </c>
      <c r="AJ17">
        <f t="array" ref="AJ17">IF(AI17&lt;0.005,"",IFERROR(INDEX($W$1:$AH$1,MATCH(AI17,ABS(W17:AH17),0)),""))</f>
        <v/>
      </c>
      <c r="AK17">
        <f t="array" ref="AK17">IF(AI17&lt;0.005,"",IFERROR(INDEX(W17:AH17,MATCH(AI17,ABS(W17:AH17),0)),""))</f>
        <v/>
      </c>
      <c r="AL17">
        <f>IF(R17=1,ABS(L17)-ROW()/100000000,"")</f>
        <v/>
      </c>
    </row>
    <row r="18">
      <c r="A18">
        <f>IF('NPV Comparison'!D31="","",'NPV Comparison'!D31)</f>
        <v/>
      </c>
      <c r="B18">
        <f>IF('NPV Comparison'!E31="","",'NPV Comparison'!E31)</f>
        <v/>
      </c>
      <c r="C18">
        <f>IF('NPV Comparison'!F31="","",'NPV Comparison'!F31)</f>
        <v/>
      </c>
      <c r="D18">
        <f>IF($A18="","",IFERROR(INDEX(Structure!$E$13:$E$312,MATCH($A18,Structure!$P$13:$P$312,0)),""))</f>
        <v/>
      </c>
      <c r="E18">
        <f>IF($A18="",0,IF(COUNTIF(Structure!$P$13:$P$312,$A18)=0,0,IF(COUNTIFS(Structure!$P$13:$P$312,$A18,Structure!$N$13:$N$312,"&lt;&gt;Zero Hours")=0,1,0)))</f>
        <v/>
      </c>
      <c r="F18">
        <f>IF($A18="",0,1-E18)</f>
        <v/>
      </c>
      <c r="G18">
        <f>IF($A18="",0,IF(COUNTIF('New Starters'!$D$14:$D$73,$A18)&gt;0,1,0))</f>
        <v/>
      </c>
      <c r="H18">
        <f>IF($A18="",0,IF(COUNTIF('Leavers'!$D$12:$D$71,$A18)&gt;0,1,0))</f>
        <v/>
      </c>
      <c r="I18">
        <f>IF($A18="","",IFERROR(INDEX('New Starters'!$K$14:$K$73,MATCH($A18,'New Starters'!$D$14:$D$73,0)),IFERROR(INDEX('Leavers'!$K$12:$K$71,MATCH($A18,'Leavers'!$D$12:$D$71,0)),"")))</f>
        <v/>
      </c>
      <c r="J18">
        <f>IF(AND(G18=1,I18&lt;&gt;"",COUNTIF('Leavers'!$K$12:$K$71,I18)&gt;0),1,IF(AND(H18=1,I18&lt;&gt;"",COUNTIF('New Starters'!$K$14:$K$73,I18)&gt;0),1,0))</f>
        <v/>
      </c>
      <c r="K18">
        <f>IF(ISNUMBER(SEARCH("Head Office",D18)),'Control Sheet'!$C$6,'Control Sheet'!$C$5)</f>
        <v/>
      </c>
      <c r="L18">
        <f>IF(OR($A18="",AND(B18="",C18="")),"",IF(B18="",C18,IF(C18="",-B18,C18-B18)))</f>
        <v/>
      </c>
      <c r="M18">
        <f>IFERROR(L18/B18,"")</f>
        <v/>
      </c>
      <c r="N18">
        <f>IF($A18="",0,IF(OR(B18="",C18="",C18=0,AND(ISNUMBER(M18),ABS(M18)&gt;K18)),1,0))</f>
        <v/>
      </c>
      <c r="O18">
        <f>IF(AND(N18=1,ABS(L18)&gt;='Control Sheet'!$C$7,F18=1),1,0)</f>
        <v/>
      </c>
      <c r="P18">
        <f>IF($A18="","",IF(F18=0,"Zero Hours",IF(J18=1,"Explained: Paired transfer",IF(AND(G18=1,H18=0,J18=0),"Explained: Starter",IF(AND(H18=1,G18=0,J18=0),"Explained: Leaver",IF(O18=1,"Review required","OK"))))))</f>
        <v/>
      </c>
      <c r="Q18">
        <f>IF(AND(F18=1,OR(C18="",C18=0),H18=0,J18=0),1,0)</f>
        <v/>
      </c>
      <c r="R18">
        <f>IF(F18=0,0,IF(P18="Review required",1,IF(AND(P18="Explained: Starter",ISNUMBER(C18),C18&gt;=1500),1,0)))</f>
        <v/>
      </c>
      <c r="S18">
        <f>IF(R18=0,"",IF(Q18=1,"High",IF(AND(P18="Explained: Starter",C18&gt;=1500),"High",IF(ABS(L18)&gt;=2000,"High",IF(ABS(L18)&gt;=500,"Medium","Low")))))</f>
        <v/>
      </c>
      <c r="T18">
        <f>SUMIFS('Payment Breakdown Prior'!$S$15:$S$164,'Payment Breakdown Prior'!$AE$15:$AE$164,$A18)</f>
        <v/>
      </c>
      <c r="U18">
        <f>SUMIFS('Payment Breakdown Current'!$S$15:$S$164,'Payment Breakdown Current'!$AE$15:$AE$164,$A18)</f>
        <v/>
      </c>
      <c r="V18">
        <f>IFERROR((U18-T18)/T18,"")</f>
        <v/>
      </c>
      <c r="W18">
        <f>(SUMIFS('Payment Breakdown Current'!$S$15:$S$164,'Payment Breakdown Current'!$AE$15:$AE$164,$A18))-(SUMIFS('Payment Breakdown Prior'!$S$15:$S$164,'Payment Breakdown Prior'!$AE$15:$AE$164,$A18))</f>
        <v/>
      </c>
      <c r="X18">
        <f>(SUMIFS('Payment Breakdown Current'!$T$15:$T$164,'Payment Breakdown Current'!$AE$15:$AE$164,$A18))-(SUMIFS('Payment Breakdown Prior'!$T$15:$T$164,'Payment Breakdown Prior'!$AE$15:$AE$164,$A18))</f>
        <v/>
      </c>
      <c r="Y18">
        <f>(SUMIFS('Payment Breakdown Current'!$U$15:$U$164,'Payment Breakdown Current'!$AE$15:$AE$164,$A18))-(SUMIFS('Payment Breakdown Prior'!$U$15:$U$164,'Payment Breakdown Prior'!$AE$15:$AE$164,$A18))</f>
        <v/>
      </c>
      <c r="Z18">
        <f>(SUMIFS('Payment Breakdown Current'!$V$15:$V$164,'Payment Breakdown Current'!$AE$15:$AE$164,$A18))-(SUMIFS('Payment Breakdown Prior'!$V$15:$V$164,'Payment Breakdown Prior'!$AE$15:$AE$164,$A18))</f>
        <v/>
      </c>
      <c r="AA18">
        <f>(SUMIFS('Payment Breakdown Current'!$W$15:$W$164,'Payment Breakdown Current'!$AE$15:$AE$164,$A18))-(SUMIFS('Payment Breakdown Prior'!$W$15:$W$164,'Payment Breakdown Prior'!$AE$15:$AE$164,$A18))</f>
        <v/>
      </c>
      <c r="AB18">
        <f>(SUMIFS('Payment Breakdown Current'!$X$15:$X$164,'Payment Breakdown Current'!$AE$15:$AE$164,$A18))-(SUMIFS('Payment Breakdown Prior'!$X$15:$X$164,'Payment Breakdown Prior'!$AE$15:$AE$164,$A18))</f>
        <v/>
      </c>
      <c r="AC18">
        <f>(SUMIFS('Payment Breakdown Current'!$Y$15:$Y$164,'Payment Breakdown Current'!$AE$15:$AE$164,$A18))-(SUMIFS('Payment Breakdown Prior'!$Y$15:$Y$164,'Payment Breakdown Prior'!$AE$15:$AE$164,$A18))</f>
        <v/>
      </c>
      <c r="AD18">
        <f>(SUMIFS('Payment Breakdown Current'!$Z$15:$Z$164,'Payment Breakdown Current'!$AE$15:$AE$164,$A18))-(SUMIFS('Payment Breakdown Prior'!$Z$15:$Z$164,'Payment Breakdown Prior'!$AE$15:$AE$164,$A18))</f>
        <v/>
      </c>
      <c r="AE18">
        <f>(SUMIFS('Payment Breakdown Current'!$AA$15:$AA$164,'Payment Breakdown Current'!$AE$15:$AE$164,$A18))-(SUMIFS('Payment Breakdown Prior'!$AA$15:$AA$164,'Payment Breakdown Prior'!$AE$15:$AE$164,$A18))</f>
        <v/>
      </c>
      <c r="AF18">
        <f>(SUMIFS('Payment Breakdown Current'!$AB$15:$AB$164,'Payment Breakdown Current'!$AE$15:$AE$164,$A18))-(SUMIFS('Payment Breakdown Prior'!$AB$15:$AB$164,'Payment Breakdown Prior'!$AE$15:$AE$164,$A18))</f>
        <v/>
      </c>
      <c r="AG18">
        <f>(SUMIFS('Payment Breakdown Current'!$AC$15:$AC$164,'Payment Breakdown Current'!$AE$15:$AE$164,$A18))-(SUMIFS('Payment Breakdown Prior'!$AC$15:$AC$164,'Payment Breakdown Prior'!$AE$15:$AE$164,$A18))</f>
        <v/>
      </c>
      <c r="AH18">
        <f>(SUMIFS('Payment Breakdown Current'!$AD$15:$AD$164,'Payment Breakdown Current'!$AE$15:$AE$164,$A18))-(SUMIFS('Payment Breakdown Prior'!$AD$15:$AD$164,'Payment Breakdown Prior'!$AE$15:$AE$164,$A18))</f>
        <v/>
      </c>
      <c r="AI18">
        <f t="array" ref="AI18">MAX(ABS(W18:AH18))</f>
        <v/>
      </c>
      <c r="AJ18">
        <f t="array" ref="AJ18">IF(AI18&lt;0.005,"",IFERROR(INDEX($W$1:$AH$1,MATCH(AI18,ABS(W18:AH18),0)),""))</f>
        <v/>
      </c>
      <c r="AK18">
        <f t="array" ref="AK18">IF(AI18&lt;0.005,"",IFERROR(INDEX(W18:AH18,MATCH(AI18,ABS(W18:AH18),0)),""))</f>
        <v/>
      </c>
      <c r="AL18">
        <f>IF(R18=1,ABS(L18)-ROW()/100000000,"")</f>
        <v/>
      </c>
    </row>
    <row r="19">
      <c r="A19">
        <f>IF('NPV Comparison'!D32="","",'NPV Comparison'!D32)</f>
        <v/>
      </c>
      <c r="B19">
        <f>IF('NPV Comparison'!E32="","",'NPV Comparison'!E32)</f>
        <v/>
      </c>
      <c r="C19">
        <f>IF('NPV Comparison'!F32="","",'NPV Comparison'!F32)</f>
        <v/>
      </c>
      <c r="D19">
        <f>IF($A19="","",IFERROR(INDEX(Structure!$E$13:$E$312,MATCH($A19,Structure!$P$13:$P$312,0)),""))</f>
        <v/>
      </c>
      <c r="E19">
        <f>IF($A19="",0,IF(COUNTIF(Structure!$P$13:$P$312,$A19)=0,0,IF(COUNTIFS(Structure!$P$13:$P$312,$A19,Structure!$N$13:$N$312,"&lt;&gt;Zero Hours")=0,1,0)))</f>
        <v/>
      </c>
      <c r="F19">
        <f>IF($A19="",0,1-E19)</f>
        <v/>
      </c>
      <c r="G19">
        <f>IF($A19="",0,IF(COUNTIF('New Starters'!$D$14:$D$73,$A19)&gt;0,1,0))</f>
        <v/>
      </c>
      <c r="H19">
        <f>IF($A19="",0,IF(COUNTIF('Leavers'!$D$12:$D$71,$A19)&gt;0,1,0))</f>
        <v/>
      </c>
      <c r="I19">
        <f>IF($A19="","",IFERROR(INDEX('New Starters'!$K$14:$K$73,MATCH($A19,'New Starters'!$D$14:$D$73,0)),IFERROR(INDEX('Leavers'!$K$12:$K$71,MATCH($A19,'Leavers'!$D$12:$D$71,0)),"")))</f>
        <v/>
      </c>
      <c r="J19">
        <f>IF(AND(G19=1,I19&lt;&gt;"",COUNTIF('Leavers'!$K$12:$K$71,I19)&gt;0),1,IF(AND(H19=1,I19&lt;&gt;"",COUNTIF('New Starters'!$K$14:$K$73,I19)&gt;0),1,0))</f>
        <v/>
      </c>
      <c r="K19">
        <f>IF(ISNUMBER(SEARCH("Head Office",D19)),'Control Sheet'!$C$6,'Control Sheet'!$C$5)</f>
        <v/>
      </c>
      <c r="L19">
        <f>IF(OR($A19="",AND(B19="",C19="")),"",IF(B19="",C19,IF(C19="",-B19,C19-B19)))</f>
        <v/>
      </c>
      <c r="M19">
        <f>IFERROR(L19/B19,"")</f>
        <v/>
      </c>
      <c r="N19">
        <f>IF($A19="",0,IF(OR(B19="",C19="",C19=0,AND(ISNUMBER(M19),ABS(M19)&gt;K19)),1,0))</f>
        <v/>
      </c>
      <c r="O19">
        <f>IF(AND(N19=1,ABS(L19)&gt;='Control Sheet'!$C$7,F19=1),1,0)</f>
        <v/>
      </c>
      <c r="P19">
        <f>IF($A19="","",IF(F19=0,"Zero Hours",IF(J19=1,"Explained: Paired transfer",IF(AND(G19=1,H19=0,J19=0),"Explained: Starter",IF(AND(H19=1,G19=0,J19=0),"Explained: Leaver",IF(O19=1,"Review required","OK"))))))</f>
        <v/>
      </c>
      <c r="Q19">
        <f>IF(AND(F19=1,OR(C19="",C19=0),H19=0,J19=0),1,0)</f>
        <v/>
      </c>
      <c r="R19">
        <f>IF(F19=0,0,IF(P19="Review required",1,IF(AND(P19="Explained: Starter",ISNUMBER(C19),C19&gt;=1500),1,0)))</f>
        <v/>
      </c>
      <c r="S19">
        <f>IF(R19=0,"",IF(Q19=1,"High",IF(AND(P19="Explained: Starter",C19&gt;=1500),"High",IF(ABS(L19)&gt;=2000,"High",IF(ABS(L19)&gt;=500,"Medium","Low")))))</f>
        <v/>
      </c>
      <c r="T19">
        <f>SUMIFS('Payment Breakdown Prior'!$S$15:$S$164,'Payment Breakdown Prior'!$AE$15:$AE$164,$A19)</f>
        <v/>
      </c>
      <c r="U19">
        <f>SUMIFS('Payment Breakdown Current'!$S$15:$S$164,'Payment Breakdown Current'!$AE$15:$AE$164,$A19)</f>
        <v/>
      </c>
      <c r="V19">
        <f>IFERROR((U19-T19)/T19,"")</f>
        <v/>
      </c>
      <c r="W19">
        <f>(SUMIFS('Payment Breakdown Current'!$S$15:$S$164,'Payment Breakdown Current'!$AE$15:$AE$164,$A19))-(SUMIFS('Payment Breakdown Prior'!$S$15:$S$164,'Payment Breakdown Prior'!$AE$15:$AE$164,$A19))</f>
        <v/>
      </c>
      <c r="X19">
        <f>(SUMIFS('Payment Breakdown Current'!$T$15:$T$164,'Payment Breakdown Current'!$AE$15:$AE$164,$A19))-(SUMIFS('Payment Breakdown Prior'!$T$15:$T$164,'Payment Breakdown Prior'!$AE$15:$AE$164,$A19))</f>
        <v/>
      </c>
      <c r="Y19">
        <f>(SUMIFS('Payment Breakdown Current'!$U$15:$U$164,'Payment Breakdown Current'!$AE$15:$AE$164,$A19))-(SUMIFS('Payment Breakdown Prior'!$U$15:$U$164,'Payment Breakdown Prior'!$AE$15:$AE$164,$A19))</f>
        <v/>
      </c>
      <c r="Z19">
        <f>(SUMIFS('Payment Breakdown Current'!$V$15:$V$164,'Payment Breakdown Current'!$AE$15:$AE$164,$A19))-(SUMIFS('Payment Breakdown Prior'!$V$15:$V$164,'Payment Breakdown Prior'!$AE$15:$AE$164,$A19))</f>
        <v/>
      </c>
      <c r="AA19">
        <f>(SUMIFS('Payment Breakdown Current'!$W$15:$W$164,'Payment Breakdown Current'!$AE$15:$AE$164,$A19))-(SUMIFS('Payment Breakdown Prior'!$W$15:$W$164,'Payment Breakdown Prior'!$AE$15:$AE$164,$A19))</f>
        <v/>
      </c>
      <c r="AB19">
        <f>(SUMIFS('Payment Breakdown Current'!$X$15:$X$164,'Payment Breakdown Current'!$AE$15:$AE$164,$A19))-(SUMIFS('Payment Breakdown Prior'!$X$15:$X$164,'Payment Breakdown Prior'!$AE$15:$AE$164,$A19))</f>
        <v/>
      </c>
      <c r="AC19">
        <f>(SUMIFS('Payment Breakdown Current'!$Y$15:$Y$164,'Payment Breakdown Current'!$AE$15:$AE$164,$A19))-(SUMIFS('Payment Breakdown Prior'!$Y$15:$Y$164,'Payment Breakdown Prior'!$AE$15:$AE$164,$A19))</f>
        <v/>
      </c>
      <c r="AD19">
        <f>(SUMIFS('Payment Breakdown Current'!$Z$15:$Z$164,'Payment Breakdown Current'!$AE$15:$AE$164,$A19))-(SUMIFS('Payment Breakdown Prior'!$Z$15:$Z$164,'Payment Breakdown Prior'!$AE$15:$AE$164,$A19))</f>
        <v/>
      </c>
      <c r="AE19">
        <f>(SUMIFS('Payment Breakdown Current'!$AA$15:$AA$164,'Payment Breakdown Current'!$AE$15:$AE$164,$A19))-(SUMIFS('Payment Breakdown Prior'!$AA$15:$AA$164,'Payment Breakdown Prior'!$AE$15:$AE$164,$A19))</f>
        <v/>
      </c>
      <c r="AF19">
        <f>(SUMIFS('Payment Breakdown Current'!$AB$15:$AB$164,'Payment Breakdown Current'!$AE$15:$AE$164,$A19))-(SUMIFS('Payment Breakdown Prior'!$AB$15:$AB$164,'Payment Breakdown Prior'!$AE$15:$AE$164,$A19))</f>
        <v/>
      </c>
      <c r="AG19">
        <f>(SUMIFS('Payment Breakdown Current'!$AC$15:$AC$164,'Payment Breakdown Current'!$AE$15:$AE$164,$A19))-(SUMIFS('Payment Breakdown Prior'!$AC$15:$AC$164,'Payment Breakdown Prior'!$AE$15:$AE$164,$A19))</f>
        <v/>
      </c>
      <c r="AH19">
        <f>(SUMIFS('Payment Breakdown Current'!$AD$15:$AD$164,'Payment Breakdown Current'!$AE$15:$AE$164,$A19))-(SUMIFS('Payment Breakdown Prior'!$AD$15:$AD$164,'Payment Breakdown Prior'!$AE$15:$AE$164,$A19))</f>
        <v/>
      </c>
      <c r="AI19">
        <f t="array" ref="AI19">MAX(ABS(W19:AH19))</f>
        <v/>
      </c>
      <c r="AJ19">
        <f t="array" ref="AJ19">IF(AI19&lt;0.005,"",IFERROR(INDEX($W$1:$AH$1,MATCH(AI19,ABS(W19:AH19),0)),""))</f>
        <v/>
      </c>
      <c r="AK19">
        <f t="array" ref="AK19">IF(AI19&lt;0.005,"",IFERROR(INDEX(W19:AH19,MATCH(AI19,ABS(W19:AH19),0)),""))</f>
        <v/>
      </c>
      <c r="AL19">
        <f>IF(R19=1,ABS(L19)-ROW()/100000000,"")</f>
        <v/>
      </c>
    </row>
    <row r="20">
      <c r="A20">
        <f>IF('NPV Comparison'!D33="","",'NPV Comparison'!D33)</f>
        <v/>
      </c>
      <c r="B20">
        <f>IF('NPV Comparison'!E33="","",'NPV Comparison'!E33)</f>
        <v/>
      </c>
      <c r="C20">
        <f>IF('NPV Comparison'!F33="","",'NPV Comparison'!F33)</f>
        <v/>
      </c>
      <c r="D20">
        <f>IF($A20="","",IFERROR(INDEX(Structure!$E$13:$E$312,MATCH($A20,Structure!$P$13:$P$312,0)),""))</f>
        <v/>
      </c>
      <c r="E20">
        <f>IF($A20="",0,IF(COUNTIF(Structure!$P$13:$P$312,$A20)=0,0,IF(COUNTIFS(Structure!$P$13:$P$312,$A20,Structure!$N$13:$N$312,"&lt;&gt;Zero Hours")=0,1,0)))</f>
        <v/>
      </c>
      <c r="F20">
        <f>IF($A20="",0,1-E20)</f>
        <v/>
      </c>
      <c r="G20">
        <f>IF($A20="",0,IF(COUNTIF('New Starters'!$D$14:$D$73,$A20)&gt;0,1,0))</f>
        <v/>
      </c>
      <c r="H20">
        <f>IF($A20="",0,IF(COUNTIF('Leavers'!$D$12:$D$71,$A20)&gt;0,1,0))</f>
        <v/>
      </c>
      <c r="I20">
        <f>IF($A20="","",IFERROR(INDEX('New Starters'!$K$14:$K$73,MATCH($A20,'New Starters'!$D$14:$D$73,0)),IFERROR(INDEX('Leavers'!$K$12:$K$71,MATCH($A20,'Leavers'!$D$12:$D$71,0)),"")))</f>
        <v/>
      </c>
      <c r="J20">
        <f>IF(AND(G20=1,I20&lt;&gt;"",COUNTIF('Leavers'!$K$12:$K$71,I20)&gt;0),1,IF(AND(H20=1,I20&lt;&gt;"",COUNTIF('New Starters'!$K$14:$K$73,I20)&gt;0),1,0))</f>
        <v/>
      </c>
      <c r="K20">
        <f>IF(ISNUMBER(SEARCH("Head Office",D20)),'Control Sheet'!$C$6,'Control Sheet'!$C$5)</f>
        <v/>
      </c>
      <c r="L20">
        <f>IF(OR($A20="",AND(B20="",C20="")),"",IF(B20="",C20,IF(C20="",-B20,C20-B20)))</f>
        <v/>
      </c>
      <c r="M20">
        <f>IFERROR(L20/B20,"")</f>
        <v/>
      </c>
      <c r="N20">
        <f>IF($A20="",0,IF(OR(B20="",C20="",C20=0,AND(ISNUMBER(M20),ABS(M20)&gt;K20)),1,0))</f>
        <v/>
      </c>
      <c r="O20">
        <f>IF(AND(N20=1,ABS(L20)&gt;='Control Sheet'!$C$7,F20=1),1,0)</f>
        <v/>
      </c>
      <c r="P20">
        <f>IF($A20="","",IF(F20=0,"Zero Hours",IF(J20=1,"Explained: Paired transfer",IF(AND(G20=1,H20=0,J20=0),"Explained: Starter",IF(AND(H20=1,G20=0,J20=0),"Explained: Leaver",IF(O20=1,"Review required","OK"))))))</f>
        <v/>
      </c>
      <c r="Q20">
        <f>IF(AND(F20=1,OR(C20="",C20=0),H20=0,J20=0),1,0)</f>
        <v/>
      </c>
      <c r="R20">
        <f>IF(F20=0,0,IF(P20="Review required",1,IF(AND(P20="Explained: Starter",ISNUMBER(C20),C20&gt;=1500),1,0)))</f>
        <v/>
      </c>
      <c r="S20">
        <f>IF(R20=0,"",IF(Q20=1,"High",IF(AND(P20="Explained: Starter",C20&gt;=1500),"High",IF(ABS(L20)&gt;=2000,"High",IF(ABS(L20)&gt;=500,"Medium","Low")))))</f>
        <v/>
      </c>
      <c r="T20">
        <f>SUMIFS('Payment Breakdown Prior'!$S$15:$S$164,'Payment Breakdown Prior'!$AE$15:$AE$164,$A20)</f>
        <v/>
      </c>
      <c r="U20">
        <f>SUMIFS('Payment Breakdown Current'!$S$15:$S$164,'Payment Breakdown Current'!$AE$15:$AE$164,$A20)</f>
        <v/>
      </c>
      <c r="V20">
        <f>IFERROR((U20-T20)/T20,"")</f>
        <v/>
      </c>
      <c r="W20">
        <f>(SUMIFS('Payment Breakdown Current'!$S$15:$S$164,'Payment Breakdown Current'!$AE$15:$AE$164,$A20))-(SUMIFS('Payment Breakdown Prior'!$S$15:$S$164,'Payment Breakdown Prior'!$AE$15:$AE$164,$A20))</f>
        <v/>
      </c>
      <c r="X20">
        <f>(SUMIFS('Payment Breakdown Current'!$T$15:$T$164,'Payment Breakdown Current'!$AE$15:$AE$164,$A20))-(SUMIFS('Payment Breakdown Prior'!$T$15:$T$164,'Payment Breakdown Prior'!$AE$15:$AE$164,$A20))</f>
        <v/>
      </c>
      <c r="Y20">
        <f>(SUMIFS('Payment Breakdown Current'!$U$15:$U$164,'Payment Breakdown Current'!$AE$15:$AE$164,$A20))-(SUMIFS('Payment Breakdown Prior'!$U$15:$U$164,'Payment Breakdown Prior'!$AE$15:$AE$164,$A20))</f>
        <v/>
      </c>
      <c r="Z20">
        <f>(SUMIFS('Payment Breakdown Current'!$V$15:$V$164,'Payment Breakdown Current'!$AE$15:$AE$164,$A20))-(SUMIFS('Payment Breakdown Prior'!$V$15:$V$164,'Payment Breakdown Prior'!$AE$15:$AE$164,$A20))</f>
        <v/>
      </c>
      <c r="AA20">
        <f>(SUMIFS('Payment Breakdown Current'!$W$15:$W$164,'Payment Breakdown Current'!$AE$15:$AE$164,$A20))-(SUMIFS('Payment Breakdown Prior'!$W$15:$W$164,'Payment Breakdown Prior'!$AE$15:$AE$164,$A20))</f>
        <v/>
      </c>
      <c r="AB20">
        <f>(SUMIFS('Payment Breakdown Current'!$X$15:$X$164,'Payment Breakdown Current'!$AE$15:$AE$164,$A20))-(SUMIFS('Payment Breakdown Prior'!$X$15:$X$164,'Payment Breakdown Prior'!$AE$15:$AE$164,$A20))</f>
        <v/>
      </c>
      <c r="AC20">
        <f>(SUMIFS('Payment Breakdown Current'!$Y$15:$Y$164,'Payment Breakdown Current'!$AE$15:$AE$164,$A20))-(SUMIFS('Payment Breakdown Prior'!$Y$15:$Y$164,'Payment Breakdown Prior'!$AE$15:$AE$164,$A20))</f>
        <v/>
      </c>
      <c r="AD20">
        <f>(SUMIFS('Payment Breakdown Current'!$Z$15:$Z$164,'Payment Breakdown Current'!$AE$15:$AE$164,$A20))-(SUMIFS('Payment Breakdown Prior'!$Z$15:$Z$164,'Payment Breakdown Prior'!$AE$15:$AE$164,$A20))</f>
        <v/>
      </c>
      <c r="AE20">
        <f>(SUMIFS('Payment Breakdown Current'!$AA$15:$AA$164,'Payment Breakdown Current'!$AE$15:$AE$164,$A20))-(SUMIFS('Payment Breakdown Prior'!$AA$15:$AA$164,'Payment Breakdown Prior'!$AE$15:$AE$164,$A20))</f>
        <v/>
      </c>
      <c r="AF20">
        <f>(SUMIFS('Payment Breakdown Current'!$AB$15:$AB$164,'Payment Breakdown Current'!$AE$15:$AE$164,$A20))-(SUMIFS('Payment Breakdown Prior'!$AB$15:$AB$164,'Payment Breakdown Prior'!$AE$15:$AE$164,$A20))</f>
        <v/>
      </c>
      <c r="AG20">
        <f>(SUMIFS('Payment Breakdown Current'!$AC$15:$AC$164,'Payment Breakdown Current'!$AE$15:$AE$164,$A20))-(SUMIFS('Payment Breakdown Prior'!$AC$15:$AC$164,'Payment Breakdown Prior'!$AE$15:$AE$164,$A20))</f>
        <v/>
      </c>
      <c r="AH20">
        <f>(SUMIFS('Payment Breakdown Current'!$AD$15:$AD$164,'Payment Breakdown Current'!$AE$15:$AE$164,$A20))-(SUMIFS('Payment Breakdown Prior'!$AD$15:$AD$164,'Payment Breakdown Prior'!$AE$15:$AE$164,$A20))</f>
        <v/>
      </c>
      <c r="AI20">
        <f t="array" ref="AI20">MAX(ABS(W20:AH20))</f>
        <v/>
      </c>
      <c r="AJ20">
        <f t="array" ref="AJ20">IF(AI20&lt;0.005,"",IFERROR(INDEX($W$1:$AH$1,MATCH(AI20,ABS(W20:AH20),0)),""))</f>
        <v/>
      </c>
      <c r="AK20">
        <f t="array" ref="AK20">IF(AI20&lt;0.005,"",IFERROR(INDEX(W20:AH20,MATCH(AI20,ABS(W20:AH20),0)),""))</f>
        <v/>
      </c>
      <c r="AL20">
        <f>IF(R20=1,ABS(L20)-ROW()/100000000,"")</f>
        <v/>
      </c>
    </row>
    <row r="21">
      <c r="A21">
        <f>IF('NPV Comparison'!D34="","",'NPV Comparison'!D34)</f>
        <v/>
      </c>
      <c r="B21">
        <f>IF('NPV Comparison'!E34="","",'NPV Comparison'!E34)</f>
        <v/>
      </c>
      <c r="C21">
        <f>IF('NPV Comparison'!F34="","",'NPV Comparison'!F34)</f>
        <v/>
      </c>
      <c r="D21">
        <f>IF($A21="","",IFERROR(INDEX(Structure!$E$13:$E$312,MATCH($A21,Structure!$P$13:$P$312,0)),""))</f>
        <v/>
      </c>
      <c r="E21">
        <f>IF($A21="",0,IF(COUNTIF(Structure!$P$13:$P$312,$A21)=0,0,IF(COUNTIFS(Structure!$P$13:$P$312,$A21,Structure!$N$13:$N$312,"&lt;&gt;Zero Hours")=0,1,0)))</f>
        <v/>
      </c>
      <c r="F21">
        <f>IF($A21="",0,1-E21)</f>
        <v/>
      </c>
      <c r="G21">
        <f>IF($A21="",0,IF(COUNTIF('New Starters'!$D$14:$D$73,$A21)&gt;0,1,0))</f>
        <v/>
      </c>
      <c r="H21">
        <f>IF($A21="",0,IF(COUNTIF('Leavers'!$D$12:$D$71,$A21)&gt;0,1,0))</f>
        <v/>
      </c>
      <c r="I21">
        <f>IF($A21="","",IFERROR(INDEX('New Starters'!$K$14:$K$73,MATCH($A21,'New Starters'!$D$14:$D$73,0)),IFERROR(INDEX('Leavers'!$K$12:$K$71,MATCH($A21,'Leavers'!$D$12:$D$71,0)),"")))</f>
        <v/>
      </c>
      <c r="J21">
        <f>IF(AND(G21=1,I21&lt;&gt;"",COUNTIF('Leavers'!$K$12:$K$71,I21)&gt;0),1,IF(AND(H21=1,I21&lt;&gt;"",COUNTIF('New Starters'!$K$14:$K$73,I21)&gt;0),1,0))</f>
        <v/>
      </c>
      <c r="K21">
        <f>IF(ISNUMBER(SEARCH("Head Office",D21)),'Control Sheet'!$C$6,'Control Sheet'!$C$5)</f>
        <v/>
      </c>
      <c r="L21">
        <f>IF(OR($A21="",AND(B21="",C21="")),"",IF(B21="",C21,IF(C21="",-B21,C21-B21)))</f>
        <v/>
      </c>
      <c r="M21">
        <f>IFERROR(L21/B21,"")</f>
        <v/>
      </c>
      <c r="N21">
        <f>IF($A21="",0,IF(OR(B21="",C21="",C21=0,AND(ISNUMBER(M21),ABS(M21)&gt;K21)),1,0))</f>
        <v/>
      </c>
      <c r="O21">
        <f>IF(AND(N21=1,ABS(L21)&gt;='Control Sheet'!$C$7,F21=1),1,0)</f>
        <v/>
      </c>
      <c r="P21">
        <f>IF($A21="","",IF(F21=0,"Zero Hours",IF(J21=1,"Explained: Paired transfer",IF(AND(G21=1,H21=0,J21=0),"Explained: Starter",IF(AND(H21=1,G21=0,J21=0),"Explained: Leaver",IF(O21=1,"Review required","OK"))))))</f>
        <v/>
      </c>
      <c r="Q21">
        <f>IF(AND(F21=1,OR(C21="",C21=0),H21=0,J21=0),1,0)</f>
        <v/>
      </c>
      <c r="R21">
        <f>IF(F21=0,0,IF(P21="Review required",1,IF(AND(P21="Explained: Starter",ISNUMBER(C21),C21&gt;=1500),1,0)))</f>
        <v/>
      </c>
      <c r="S21">
        <f>IF(R21=0,"",IF(Q21=1,"High",IF(AND(P21="Explained: Starter",C21&gt;=1500),"High",IF(ABS(L21)&gt;=2000,"High",IF(ABS(L21)&gt;=500,"Medium","Low")))))</f>
        <v/>
      </c>
      <c r="T21">
        <f>SUMIFS('Payment Breakdown Prior'!$S$15:$S$164,'Payment Breakdown Prior'!$AE$15:$AE$164,$A21)</f>
        <v/>
      </c>
      <c r="U21">
        <f>SUMIFS('Payment Breakdown Current'!$S$15:$S$164,'Payment Breakdown Current'!$AE$15:$AE$164,$A21)</f>
        <v/>
      </c>
      <c r="V21">
        <f>IFERROR((U21-T21)/T21,"")</f>
        <v/>
      </c>
      <c r="W21">
        <f>(SUMIFS('Payment Breakdown Current'!$S$15:$S$164,'Payment Breakdown Current'!$AE$15:$AE$164,$A21))-(SUMIFS('Payment Breakdown Prior'!$S$15:$S$164,'Payment Breakdown Prior'!$AE$15:$AE$164,$A21))</f>
        <v/>
      </c>
      <c r="X21">
        <f>(SUMIFS('Payment Breakdown Current'!$T$15:$T$164,'Payment Breakdown Current'!$AE$15:$AE$164,$A21))-(SUMIFS('Payment Breakdown Prior'!$T$15:$T$164,'Payment Breakdown Prior'!$AE$15:$AE$164,$A21))</f>
        <v/>
      </c>
      <c r="Y21">
        <f>(SUMIFS('Payment Breakdown Current'!$U$15:$U$164,'Payment Breakdown Current'!$AE$15:$AE$164,$A21))-(SUMIFS('Payment Breakdown Prior'!$U$15:$U$164,'Payment Breakdown Prior'!$AE$15:$AE$164,$A21))</f>
        <v/>
      </c>
      <c r="Z21">
        <f>(SUMIFS('Payment Breakdown Current'!$V$15:$V$164,'Payment Breakdown Current'!$AE$15:$AE$164,$A21))-(SUMIFS('Payment Breakdown Prior'!$V$15:$V$164,'Payment Breakdown Prior'!$AE$15:$AE$164,$A21))</f>
        <v/>
      </c>
      <c r="AA21">
        <f>(SUMIFS('Payment Breakdown Current'!$W$15:$W$164,'Payment Breakdown Current'!$AE$15:$AE$164,$A21))-(SUMIFS('Payment Breakdown Prior'!$W$15:$W$164,'Payment Breakdown Prior'!$AE$15:$AE$164,$A21))</f>
        <v/>
      </c>
      <c r="AB21">
        <f>(SUMIFS('Payment Breakdown Current'!$X$15:$X$164,'Payment Breakdown Current'!$AE$15:$AE$164,$A21))-(SUMIFS('Payment Breakdown Prior'!$X$15:$X$164,'Payment Breakdown Prior'!$AE$15:$AE$164,$A21))</f>
        <v/>
      </c>
      <c r="AC21">
        <f>(SUMIFS('Payment Breakdown Current'!$Y$15:$Y$164,'Payment Breakdown Current'!$AE$15:$AE$164,$A21))-(SUMIFS('Payment Breakdown Prior'!$Y$15:$Y$164,'Payment Breakdown Prior'!$AE$15:$AE$164,$A21))</f>
        <v/>
      </c>
      <c r="AD21">
        <f>(SUMIFS('Payment Breakdown Current'!$Z$15:$Z$164,'Payment Breakdown Current'!$AE$15:$AE$164,$A21))-(SUMIFS('Payment Breakdown Prior'!$Z$15:$Z$164,'Payment Breakdown Prior'!$AE$15:$AE$164,$A21))</f>
        <v/>
      </c>
      <c r="AE21">
        <f>(SUMIFS('Payment Breakdown Current'!$AA$15:$AA$164,'Payment Breakdown Current'!$AE$15:$AE$164,$A21))-(SUMIFS('Payment Breakdown Prior'!$AA$15:$AA$164,'Payment Breakdown Prior'!$AE$15:$AE$164,$A21))</f>
        <v/>
      </c>
      <c r="AF21">
        <f>(SUMIFS('Payment Breakdown Current'!$AB$15:$AB$164,'Payment Breakdown Current'!$AE$15:$AE$164,$A21))-(SUMIFS('Payment Breakdown Prior'!$AB$15:$AB$164,'Payment Breakdown Prior'!$AE$15:$AE$164,$A21))</f>
        <v/>
      </c>
      <c r="AG21">
        <f>(SUMIFS('Payment Breakdown Current'!$AC$15:$AC$164,'Payment Breakdown Current'!$AE$15:$AE$164,$A21))-(SUMIFS('Payment Breakdown Prior'!$AC$15:$AC$164,'Payment Breakdown Prior'!$AE$15:$AE$164,$A21))</f>
        <v/>
      </c>
      <c r="AH21">
        <f>(SUMIFS('Payment Breakdown Current'!$AD$15:$AD$164,'Payment Breakdown Current'!$AE$15:$AE$164,$A21))-(SUMIFS('Payment Breakdown Prior'!$AD$15:$AD$164,'Payment Breakdown Prior'!$AE$15:$AE$164,$A21))</f>
        <v/>
      </c>
      <c r="AI21">
        <f t="array" ref="AI21">MAX(ABS(W21:AH21))</f>
        <v/>
      </c>
      <c r="AJ21">
        <f t="array" ref="AJ21">IF(AI21&lt;0.005,"",IFERROR(INDEX($W$1:$AH$1,MATCH(AI21,ABS(W21:AH21),0)),""))</f>
        <v/>
      </c>
      <c r="AK21">
        <f t="array" ref="AK21">IF(AI21&lt;0.005,"",IFERROR(INDEX(W21:AH21,MATCH(AI21,ABS(W21:AH21),0)),""))</f>
        <v/>
      </c>
      <c r="AL21">
        <f>IF(R21=1,ABS(L21)-ROW()/100000000,"")</f>
        <v/>
      </c>
    </row>
    <row r="22">
      <c r="A22">
        <f>IF('NPV Comparison'!D35="","",'NPV Comparison'!D35)</f>
        <v/>
      </c>
      <c r="B22">
        <f>IF('NPV Comparison'!E35="","",'NPV Comparison'!E35)</f>
        <v/>
      </c>
      <c r="C22">
        <f>IF('NPV Comparison'!F35="","",'NPV Comparison'!F35)</f>
        <v/>
      </c>
      <c r="D22">
        <f>IF($A22="","",IFERROR(INDEX(Structure!$E$13:$E$312,MATCH($A22,Structure!$P$13:$P$312,0)),""))</f>
        <v/>
      </c>
      <c r="E22">
        <f>IF($A22="",0,IF(COUNTIF(Structure!$P$13:$P$312,$A22)=0,0,IF(COUNTIFS(Structure!$P$13:$P$312,$A22,Structure!$N$13:$N$312,"&lt;&gt;Zero Hours")=0,1,0)))</f>
        <v/>
      </c>
      <c r="F22">
        <f>IF($A22="",0,1-E22)</f>
        <v/>
      </c>
      <c r="G22">
        <f>IF($A22="",0,IF(COUNTIF('New Starters'!$D$14:$D$73,$A22)&gt;0,1,0))</f>
        <v/>
      </c>
      <c r="H22">
        <f>IF($A22="",0,IF(COUNTIF('Leavers'!$D$12:$D$71,$A22)&gt;0,1,0))</f>
        <v/>
      </c>
      <c r="I22">
        <f>IF($A22="","",IFERROR(INDEX('New Starters'!$K$14:$K$73,MATCH($A22,'New Starters'!$D$14:$D$73,0)),IFERROR(INDEX('Leavers'!$K$12:$K$71,MATCH($A22,'Leavers'!$D$12:$D$71,0)),"")))</f>
        <v/>
      </c>
      <c r="J22">
        <f>IF(AND(G22=1,I22&lt;&gt;"",COUNTIF('Leavers'!$K$12:$K$71,I22)&gt;0),1,IF(AND(H22=1,I22&lt;&gt;"",COUNTIF('New Starters'!$K$14:$K$73,I22)&gt;0),1,0))</f>
        <v/>
      </c>
      <c r="K22">
        <f>IF(ISNUMBER(SEARCH("Head Office",D22)),'Control Sheet'!$C$6,'Control Sheet'!$C$5)</f>
        <v/>
      </c>
      <c r="L22">
        <f>IF(OR($A22="",AND(B22="",C22="")),"",IF(B22="",C22,IF(C22="",-B22,C22-B22)))</f>
        <v/>
      </c>
      <c r="M22">
        <f>IFERROR(L22/B22,"")</f>
        <v/>
      </c>
      <c r="N22">
        <f>IF($A22="",0,IF(OR(B22="",C22="",C22=0,AND(ISNUMBER(M22),ABS(M22)&gt;K22)),1,0))</f>
        <v/>
      </c>
      <c r="O22">
        <f>IF(AND(N22=1,ABS(L22)&gt;='Control Sheet'!$C$7,F22=1),1,0)</f>
        <v/>
      </c>
      <c r="P22">
        <f>IF($A22="","",IF(F22=0,"Zero Hours",IF(J22=1,"Explained: Paired transfer",IF(AND(G22=1,H22=0,J22=0),"Explained: Starter",IF(AND(H22=1,G22=0,J22=0),"Explained: Leaver",IF(O22=1,"Review required","OK"))))))</f>
        <v/>
      </c>
      <c r="Q22">
        <f>IF(AND(F22=1,OR(C22="",C22=0),H22=0,J22=0),1,0)</f>
        <v/>
      </c>
      <c r="R22">
        <f>IF(F22=0,0,IF(P22="Review required",1,IF(AND(P22="Explained: Starter",ISNUMBER(C22),C22&gt;=1500),1,0)))</f>
        <v/>
      </c>
      <c r="S22">
        <f>IF(R22=0,"",IF(Q22=1,"High",IF(AND(P22="Explained: Starter",C22&gt;=1500),"High",IF(ABS(L22)&gt;=2000,"High",IF(ABS(L22)&gt;=500,"Medium","Low")))))</f>
        <v/>
      </c>
      <c r="T22">
        <f>SUMIFS('Payment Breakdown Prior'!$S$15:$S$164,'Payment Breakdown Prior'!$AE$15:$AE$164,$A22)</f>
        <v/>
      </c>
      <c r="U22">
        <f>SUMIFS('Payment Breakdown Current'!$S$15:$S$164,'Payment Breakdown Current'!$AE$15:$AE$164,$A22)</f>
        <v/>
      </c>
      <c r="V22">
        <f>IFERROR((U22-T22)/T22,"")</f>
        <v/>
      </c>
      <c r="W22">
        <f>(SUMIFS('Payment Breakdown Current'!$S$15:$S$164,'Payment Breakdown Current'!$AE$15:$AE$164,$A22))-(SUMIFS('Payment Breakdown Prior'!$S$15:$S$164,'Payment Breakdown Prior'!$AE$15:$AE$164,$A22))</f>
        <v/>
      </c>
      <c r="X22">
        <f>(SUMIFS('Payment Breakdown Current'!$T$15:$T$164,'Payment Breakdown Current'!$AE$15:$AE$164,$A22))-(SUMIFS('Payment Breakdown Prior'!$T$15:$T$164,'Payment Breakdown Prior'!$AE$15:$AE$164,$A22))</f>
        <v/>
      </c>
      <c r="Y22">
        <f>(SUMIFS('Payment Breakdown Current'!$U$15:$U$164,'Payment Breakdown Current'!$AE$15:$AE$164,$A22))-(SUMIFS('Payment Breakdown Prior'!$U$15:$U$164,'Payment Breakdown Prior'!$AE$15:$AE$164,$A22))</f>
        <v/>
      </c>
      <c r="Z22">
        <f>(SUMIFS('Payment Breakdown Current'!$V$15:$V$164,'Payment Breakdown Current'!$AE$15:$AE$164,$A22))-(SUMIFS('Payment Breakdown Prior'!$V$15:$V$164,'Payment Breakdown Prior'!$AE$15:$AE$164,$A22))</f>
        <v/>
      </c>
      <c r="AA22">
        <f>(SUMIFS('Payment Breakdown Current'!$W$15:$W$164,'Payment Breakdown Current'!$AE$15:$AE$164,$A22))-(SUMIFS('Payment Breakdown Prior'!$W$15:$W$164,'Payment Breakdown Prior'!$AE$15:$AE$164,$A22))</f>
        <v/>
      </c>
      <c r="AB22">
        <f>(SUMIFS('Payment Breakdown Current'!$X$15:$X$164,'Payment Breakdown Current'!$AE$15:$AE$164,$A22))-(SUMIFS('Payment Breakdown Prior'!$X$15:$X$164,'Payment Breakdown Prior'!$AE$15:$AE$164,$A22))</f>
        <v/>
      </c>
      <c r="AC22">
        <f>(SUMIFS('Payment Breakdown Current'!$Y$15:$Y$164,'Payment Breakdown Current'!$AE$15:$AE$164,$A22))-(SUMIFS('Payment Breakdown Prior'!$Y$15:$Y$164,'Payment Breakdown Prior'!$AE$15:$AE$164,$A22))</f>
        <v/>
      </c>
      <c r="AD22">
        <f>(SUMIFS('Payment Breakdown Current'!$Z$15:$Z$164,'Payment Breakdown Current'!$AE$15:$AE$164,$A22))-(SUMIFS('Payment Breakdown Prior'!$Z$15:$Z$164,'Payment Breakdown Prior'!$AE$15:$AE$164,$A22))</f>
        <v/>
      </c>
      <c r="AE22">
        <f>(SUMIFS('Payment Breakdown Current'!$AA$15:$AA$164,'Payment Breakdown Current'!$AE$15:$AE$164,$A22))-(SUMIFS('Payment Breakdown Prior'!$AA$15:$AA$164,'Payment Breakdown Prior'!$AE$15:$AE$164,$A22))</f>
        <v/>
      </c>
      <c r="AF22">
        <f>(SUMIFS('Payment Breakdown Current'!$AB$15:$AB$164,'Payment Breakdown Current'!$AE$15:$AE$164,$A22))-(SUMIFS('Payment Breakdown Prior'!$AB$15:$AB$164,'Payment Breakdown Prior'!$AE$15:$AE$164,$A22))</f>
        <v/>
      </c>
      <c r="AG22">
        <f>(SUMIFS('Payment Breakdown Current'!$AC$15:$AC$164,'Payment Breakdown Current'!$AE$15:$AE$164,$A22))-(SUMIFS('Payment Breakdown Prior'!$AC$15:$AC$164,'Payment Breakdown Prior'!$AE$15:$AE$164,$A22))</f>
        <v/>
      </c>
      <c r="AH22">
        <f>(SUMIFS('Payment Breakdown Current'!$AD$15:$AD$164,'Payment Breakdown Current'!$AE$15:$AE$164,$A22))-(SUMIFS('Payment Breakdown Prior'!$AD$15:$AD$164,'Payment Breakdown Prior'!$AE$15:$AE$164,$A22))</f>
        <v/>
      </c>
      <c r="AI22">
        <f t="array" ref="AI22">MAX(ABS(W22:AH22))</f>
        <v/>
      </c>
      <c r="AJ22">
        <f t="array" ref="AJ22">IF(AI22&lt;0.005,"",IFERROR(INDEX($W$1:$AH$1,MATCH(AI22,ABS(W22:AH22),0)),""))</f>
        <v/>
      </c>
      <c r="AK22">
        <f t="array" ref="AK22">IF(AI22&lt;0.005,"",IFERROR(INDEX(W22:AH22,MATCH(AI22,ABS(W22:AH22),0)),""))</f>
        <v/>
      </c>
      <c r="AL22">
        <f>IF(R22=1,ABS(L22)-ROW()/100000000,"")</f>
        <v/>
      </c>
    </row>
    <row r="23">
      <c r="A23">
        <f>IF('NPV Comparison'!D36="","",'NPV Comparison'!D36)</f>
        <v/>
      </c>
      <c r="B23">
        <f>IF('NPV Comparison'!E36="","",'NPV Comparison'!E36)</f>
        <v/>
      </c>
      <c r="C23">
        <f>IF('NPV Comparison'!F36="","",'NPV Comparison'!F36)</f>
        <v/>
      </c>
      <c r="D23">
        <f>IF($A23="","",IFERROR(INDEX(Structure!$E$13:$E$312,MATCH($A23,Structure!$P$13:$P$312,0)),""))</f>
        <v/>
      </c>
      <c r="E23">
        <f>IF($A23="",0,IF(COUNTIF(Structure!$P$13:$P$312,$A23)=0,0,IF(COUNTIFS(Structure!$P$13:$P$312,$A23,Structure!$N$13:$N$312,"&lt;&gt;Zero Hours")=0,1,0)))</f>
        <v/>
      </c>
      <c r="F23">
        <f>IF($A23="",0,1-E23)</f>
        <v/>
      </c>
      <c r="G23">
        <f>IF($A23="",0,IF(COUNTIF('New Starters'!$D$14:$D$73,$A23)&gt;0,1,0))</f>
        <v/>
      </c>
      <c r="H23">
        <f>IF($A23="",0,IF(COUNTIF('Leavers'!$D$12:$D$71,$A23)&gt;0,1,0))</f>
        <v/>
      </c>
      <c r="I23">
        <f>IF($A23="","",IFERROR(INDEX('New Starters'!$K$14:$K$73,MATCH($A23,'New Starters'!$D$14:$D$73,0)),IFERROR(INDEX('Leavers'!$K$12:$K$71,MATCH($A23,'Leavers'!$D$12:$D$71,0)),"")))</f>
        <v/>
      </c>
      <c r="J23">
        <f>IF(AND(G23=1,I23&lt;&gt;"",COUNTIF('Leavers'!$K$12:$K$71,I23)&gt;0),1,IF(AND(H23=1,I23&lt;&gt;"",COUNTIF('New Starters'!$K$14:$K$73,I23)&gt;0),1,0))</f>
        <v/>
      </c>
      <c r="K23">
        <f>IF(ISNUMBER(SEARCH("Head Office",D23)),'Control Sheet'!$C$6,'Control Sheet'!$C$5)</f>
        <v/>
      </c>
      <c r="L23">
        <f>IF(OR($A23="",AND(B23="",C23="")),"",IF(B23="",C23,IF(C23="",-B23,C23-B23)))</f>
        <v/>
      </c>
      <c r="M23">
        <f>IFERROR(L23/B23,"")</f>
        <v/>
      </c>
      <c r="N23">
        <f>IF($A23="",0,IF(OR(B23="",C23="",C23=0,AND(ISNUMBER(M23),ABS(M23)&gt;K23)),1,0))</f>
        <v/>
      </c>
      <c r="O23">
        <f>IF(AND(N23=1,ABS(L23)&gt;='Control Sheet'!$C$7,F23=1),1,0)</f>
        <v/>
      </c>
      <c r="P23">
        <f>IF($A23="","",IF(F23=0,"Zero Hours",IF(J23=1,"Explained: Paired transfer",IF(AND(G23=1,H23=0,J23=0),"Explained: Starter",IF(AND(H23=1,G23=0,J23=0),"Explained: Leaver",IF(O23=1,"Review required","OK"))))))</f>
        <v/>
      </c>
      <c r="Q23">
        <f>IF(AND(F23=1,OR(C23="",C23=0),H23=0,J23=0),1,0)</f>
        <v/>
      </c>
      <c r="R23">
        <f>IF(F23=0,0,IF(P23="Review required",1,IF(AND(P23="Explained: Starter",ISNUMBER(C23),C23&gt;=1500),1,0)))</f>
        <v/>
      </c>
      <c r="S23">
        <f>IF(R23=0,"",IF(Q23=1,"High",IF(AND(P23="Explained: Starter",C23&gt;=1500),"High",IF(ABS(L23)&gt;=2000,"High",IF(ABS(L23)&gt;=500,"Medium","Low")))))</f>
        <v/>
      </c>
      <c r="T23">
        <f>SUMIFS('Payment Breakdown Prior'!$S$15:$S$164,'Payment Breakdown Prior'!$AE$15:$AE$164,$A23)</f>
        <v/>
      </c>
      <c r="U23">
        <f>SUMIFS('Payment Breakdown Current'!$S$15:$S$164,'Payment Breakdown Current'!$AE$15:$AE$164,$A23)</f>
        <v/>
      </c>
      <c r="V23">
        <f>IFERROR((U23-T23)/T23,"")</f>
        <v/>
      </c>
      <c r="W23">
        <f>(SUMIFS('Payment Breakdown Current'!$S$15:$S$164,'Payment Breakdown Current'!$AE$15:$AE$164,$A23))-(SUMIFS('Payment Breakdown Prior'!$S$15:$S$164,'Payment Breakdown Prior'!$AE$15:$AE$164,$A23))</f>
        <v/>
      </c>
      <c r="X23">
        <f>(SUMIFS('Payment Breakdown Current'!$T$15:$T$164,'Payment Breakdown Current'!$AE$15:$AE$164,$A23))-(SUMIFS('Payment Breakdown Prior'!$T$15:$T$164,'Payment Breakdown Prior'!$AE$15:$AE$164,$A23))</f>
        <v/>
      </c>
      <c r="Y23">
        <f>(SUMIFS('Payment Breakdown Current'!$U$15:$U$164,'Payment Breakdown Current'!$AE$15:$AE$164,$A23))-(SUMIFS('Payment Breakdown Prior'!$U$15:$U$164,'Payment Breakdown Prior'!$AE$15:$AE$164,$A23))</f>
        <v/>
      </c>
      <c r="Z23">
        <f>(SUMIFS('Payment Breakdown Current'!$V$15:$V$164,'Payment Breakdown Current'!$AE$15:$AE$164,$A23))-(SUMIFS('Payment Breakdown Prior'!$V$15:$V$164,'Payment Breakdown Prior'!$AE$15:$AE$164,$A23))</f>
        <v/>
      </c>
      <c r="AA23">
        <f>(SUMIFS('Payment Breakdown Current'!$W$15:$W$164,'Payment Breakdown Current'!$AE$15:$AE$164,$A23))-(SUMIFS('Payment Breakdown Prior'!$W$15:$W$164,'Payment Breakdown Prior'!$AE$15:$AE$164,$A23))</f>
        <v/>
      </c>
      <c r="AB23">
        <f>(SUMIFS('Payment Breakdown Current'!$X$15:$X$164,'Payment Breakdown Current'!$AE$15:$AE$164,$A23))-(SUMIFS('Payment Breakdown Prior'!$X$15:$X$164,'Payment Breakdown Prior'!$AE$15:$AE$164,$A23))</f>
        <v/>
      </c>
      <c r="AC23">
        <f>(SUMIFS('Payment Breakdown Current'!$Y$15:$Y$164,'Payment Breakdown Current'!$AE$15:$AE$164,$A23))-(SUMIFS('Payment Breakdown Prior'!$Y$15:$Y$164,'Payment Breakdown Prior'!$AE$15:$AE$164,$A23))</f>
        <v/>
      </c>
      <c r="AD23">
        <f>(SUMIFS('Payment Breakdown Current'!$Z$15:$Z$164,'Payment Breakdown Current'!$AE$15:$AE$164,$A23))-(SUMIFS('Payment Breakdown Prior'!$Z$15:$Z$164,'Payment Breakdown Prior'!$AE$15:$AE$164,$A23))</f>
        <v/>
      </c>
      <c r="AE23">
        <f>(SUMIFS('Payment Breakdown Current'!$AA$15:$AA$164,'Payment Breakdown Current'!$AE$15:$AE$164,$A23))-(SUMIFS('Payment Breakdown Prior'!$AA$15:$AA$164,'Payment Breakdown Prior'!$AE$15:$AE$164,$A23))</f>
        <v/>
      </c>
      <c r="AF23">
        <f>(SUMIFS('Payment Breakdown Current'!$AB$15:$AB$164,'Payment Breakdown Current'!$AE$15:$AE$164,$A23))-(SUMIFS('Payment Breakdown Prior'!$AB$15:$AB$164,'Payment Breakdown Prior'!$AE$15:$AE$164,$A23))</f>
        <v/>
      </c>
      <c r="AG23">
        <f>(SUMIFS('Payment Breakdown Current'!$AC$15:$AC$164,'Payment Breakdown Current'!$AE$15:$AE$164,$A23))-(SUMIFS('Payment Breakdown Prior'!$AC$15:$AC$164,'Payment Breakdown Prior'!$AE$15:$AE$164,$A23))</f>
        <v/>
      </c>
      <c r="AH23">
        <f>(SUMIFS('Payment Breakdown Current'!$AD$15:$AD$164,'Payment Breakdown Current'!$AE$15:$AE$164,$A23))-(SUMIFS('Payment Breakdown Prior'!$AD$15:$AD$164,'Payment Breakdown Prior'!$AE$15:$AE$164,$A23))</f>
        <v/>
      </c>
      <c r="AI23">
        <f t="array" ref="AI23">MAX(ABS(W23:AH23))</f>
        <v/>
      </c>
      <c r="AJ23">
        <f t="array" ref="AJ23">IF(AI23&lt;0.005,"",IFERROR(INDEX($W$1:$AH$1,MATCH(AI23,ABS(W23:AH23),0)),""))</f>
        <v/>
      </c>
      <c r="AK23">
        <f t="array" ref="AK23">IF(AI23&lt;0.005,"",IFERROR(INDEX(W23:AH23,MATCH(AI23,ABS(W23:AH23),0)),""))</f>
        <v/>
      </c>
      <c r="AL23">
        <f>IF(R23=1,ABS(L23)-ROW()/100000000,"")</f>
        <v/>
      </c>
    </row>
    <row r="24">
      <c r="A24">
        <f>IF('NPV Comparison'!D37="","",'NPV Comparison'!D37)</f>
        <v/>
      </c>
      <c r="B24">
        <f>IF('NPV Comparison'!E37="","",'NPV Comparison'!E37)</f>
        <v/>
      </c>
      <c r="C24">
        <f>IF('NPV Comparison'!F37="","",'NPV Comparison'!F37)</f>
        <v/>
      </c>
      <c r="D24">
        <f>IF($A24="","",IFERROR(INDEX(Structure!$E$13:$E$312,MATCH($A24,Structure!$P$13:$P$312,0)),""))</f>
        <v/>
      </c>
      <c r="E24">
        <f>IF($A24="",0,IF(COUNTIF(Structure!$P$13:$P$312,$A24)=0,0,IF(COUNTIFS(Structure!$P$13:$P$312,$A24,Structure!$N$13:$N$312,"&lt;&gt;Zero Hours")=0,1,0)))</f>
        <v/>
      </c>
      <c r="F24">
        <f>IF($A24="",0,1-E24)</f>
        <v/>
      </c>
      <c r="G24">
        <f>IF($A24="",0,IF(COUNTIF('New Starters'!$D$14:$D$73,$A24)&gt;0,1,0))</f>
        <v/>
      </c>
      <c r="H24">
        <f>IF($A24="",0,IF(COUNTIF('Leavers'!$D$12:$D$71,$A24)&gt;0,1,0))</f>
        <v/>
      </c>
      <c r="I24">
        <f>IF($A24="","",IFERROR(INDEX('New Starters'!$K$14:$K$73,MATCH($A24,'New Starters'!$D$14:$D$73,0)),IFERROR(INDEX('Leavers'!$K$12:$K$71,MATCH($A24,'Leavers'!$D$12:$D$71,0)),"")))</f>
        <v/>
      </c>
      <c r="J24">
        <f>IF(AND(G24=1,I24&lt;&gt;"",COUNTIF('Leavers'!$K$12:$K$71,I24)&gt;0),1,IF(AND(H24=1,I24&lt;&gt;"",COUNTIF('New Starters'!$K$14:$K$73,I24)&gt;0),1,0))</f>
        <v/>
      </c>
      <c r="K24">
        <f>IF(ISNUMBER(SEARCH("Head Office",D24)),'Control Sheet'!$C$6,'Control Sheet'!$C$5)</f>
        <v/>
      </c>
      <c r="L24">
        <f>IF(OR($A24="",AND(B24="",C24="")),"",IF(B24="",C24,IF(C24="",-B24,C24-B24)))</f>
        <v/>
      </c>
      <c r="M24">
        <f>IFERROR(L24/B24,"")</f>
        <v/>
      </c>
      <c r="N24">
        <f>IF($A24="",0,IF(OR(B24="",C24="",C24=0,AND(ISNUMBER(M24),ABS(M24)&gt;K24)),1,0))</f>
        <v/>
      </c>
      <c r="O24">
        <f>IF(AND(N24=1,ABS(L24)&gt;='Control Sheet'!$C$7,F24=1),1,0)</f>
        <v/>
      </c>
      <c r="P24">
        <f>IF($A24="","",IF(F24=0,"Zero Hours",IF(J24=1,"Explained: Paired transfer",IF(AND(G24=1,H24=0,J24=0),"Explained: Starter",IF(AND(H24=1,G24=0,J24=0),"Explained: Leaver",IF(O24=1,"Review required","OK"))))))</f>
        <v/>
      </c>
      <c r="Q24">
        <f>IF(AND(F24=1,OR(C24="",C24=0),H24=0,J24=0),1,0)</f>
        <v/>
      </c>
      <c r="R24">
        <f>IF(F24=0,0,IF(P24="Review required",1,IF(AND(P24="Explained: Starter",ISNUMBER(C24),C24&gt;=1500),1,0)))</f>
        <v/>
      </c>
      <c r="S24">
        <f>IF(R24=0,"",IF(Q24=1,"High",IF(AND(P24="Explained: Starter",C24&gt;=1500),"High",IF(ABS(L24)&gt;=2000,"High",IF(ABS(L24)&gt;=500,"Medium","Low")))))</f>
        <v/>
      </c>
      <c r="T24">
        <f>SUMIFS('Payment Breakdown Prior'!$S$15:$S$164,'Payment Breakdown Prior'!$AE$15:$AE$164,$A24)</f>
        <v/>
      </c>
      <c r="U24">
        <f>SUMIFS('Payment Breakdown Current'!$S$15:$S$164,'Payment Breakdown Current'!$AE$15:$AE$164,$A24)</f>
        <v/>
      </c>
      <c r="V24">
        <f>IFERROR((U24-T24)/T24,"")</f>
        <v/>
      </c>
      <c r="W24">
        <f>(SUMIFS('Payment Breakdown Current'!$S$15:$S$164,'Payment Breakdown Current'!$AE$15:$AE$164,$A24))-(SUMIFS('Payment Breakdown Prior'!$S$15:$S$164,'Payment Breakdown Prior'!$AE$15:$AE$164,$A24))</f>
        <v/>
      </c>
      <c r="X24">
        <f>(SUMIFS('Payment Breakdown Current'!$T$15:$T$164,'Payment Breakdown Current'!$AE$15:$AE$164,$A24))-(SUMIFS('Payment Breakdown Prior'!$T$15:$T$164,'Payment Breakdown Prior'!$AE$15:$AE$164,$A24))</f>
        <v/>
      </c>
      <c r="Y24">
        <f>(SUMIFS('Payment Breakdown Current'!$U$15:$U$164,'Payment Breakdown Current'!$AE$15:$AE$164,$A24))-(SUMIFS('Payment Breakdown Prior'!$U$15:$U$164,'Payment Breakdown Prior'!$AE$15:$AE$164,$A24))</f>
        <v/>
      </c>
      <c r="Z24">
        <f>(SUMIFS('Payment Breakdown Current'!$V$15:$V$164,'Payment Breakdown Current'!$AE$15:$AE$164,$A24))-(SUMIFS('Payment Breakdown Prior'!$V$15:$V$164,'Payment Breakdown Prior'!$AE$15:$AE$164,$A24))</f>
        <v/>
      </c>
      <c r="AA24">
        <f>(SUMIFS('Payment Breakdown Current'!$W$15:$W$164,'Payment Breakdown Current'!$AE$15:$AE$164,$A24))-(SUMIFS('Payment Breakdown Prior'!$W$15:$W$164,'Payment Breakdown Prior'!$AE$15:$AE$164,$A24))</f>
        <v/>
      </c>
      <c r="AB24">
        <f>(SUMIFS('Payment Breakdown Current'!$X$15:$X$164,'Payment Breakdown Current'!$AE$15:$AE$164,$A24))-(SUMIFS('Payment Breakdown Prior'!$X$15:$X$164,'Payment Breakdown Prior'!$AE$15:$AE$164,$A24))</f>
        <v/>
      </c>
      <c r="AC24">
        <f>(SUMIFS('Payment Breakdown Current'!$Y$15:$Y$164,'Payment Breakdown Current'!$AE$15:$AE$164,$A24))-(SUMIFS('Payment Breakdown Prior'!$Y$15:$Y$164,'Payment Breakdown Prior'!$AE$15:$AE$164,$A24))</f>
        <v/>
      </c>
      <c r="AD24">
        <f>(SUMIFS('Payment Breakdown Current'!$Z$15:$Z$164,'Payment Breakdown Current'!$AE$15:$AE$164,$A24))-(SUMIFS('Payment Breakdown Prior'!$Z$15:$Z$164,'Payment Breakdown Prior'!$AE$15:$AE$164,$A24))</f>
        <v/>
      </c>
      <c r="AE24">
        <f>(SUMIFS('Payment Breakdown Current'!$AA$15:$AA$164,'Payment Breakdown Current'!$AE$15:$AE$164,$A24))-(SUMIFS('Payment Breakdown Prior'!$AA$15:$AA$164,'Payment Breakdown Prior'!$AE$15:$AE$164,$A24))</f>
        <v/>
      </c>
      <c r="AF24">
        <f>(SUMIFS('Payment Breakdown Current'!$AB$15:$AB$164,'Payment Breakdown Current'!$AE$15:$AE$164,$A24))-(SUMIFS('Payment Breakdown Prior'!$AB$15:$AB$164,'Payment Breakdown Prior'!$AE$15:$AE$164,$A24))</f>
        <v/>
      </c>
      <c r="AG24">
        <f>(SUMIFS('Payment Breakdown Current'!$AC$15:$AC$164,'Payment Breakdown Current'!$AE$15:$AE$164,$A24))-(SUMIFS('Payment Breakdown Prior'!$AC$15:$AC$164,'Payment Breakdown Prior'!$AE$15:$AE$164,$A24))</f>
        <v/>
      </c>
      <c r="AH24">
        <f>(SUMIFS('Payment Breakdown Current'!$AD$15:$AD$164,'Payment Breakdown Current'!$AE$15:$AE$164,$A24))-(SUMIFS('Payment Breakdown Prior'!$AD$15:$AD$164,'Payment Breakdown Prior'!$AE$15:$AE$164,$A24))</f>
        <v/>
      </c>
      <c r="AI24">
        <f t="array" ref="AI24">MAX(ABS(W24:AH24))</f>
        <v/>
      </c>
      <c r="AJ24">
        <f t="array" ref="AJ24">IF(AI24&lt;0.005,"",IFERROR(INDEX($W$1:$AH$1,MATCH(AI24,ABS(W24:AH24),0)),""))</f>
        <v/>
      </c>
      <c r="AK24">
        <f t="array" ref="AK24">IF(AI24&lt;0.005,"",IFERROR(INDEX(W24:AH24,MATCH(AI24,ABS(W24:AH24),0)),""))</f>
        <v/>
      </c>
      <c r="AL24">
        <f>IF(R24=1,ABS(L24)-ROW()/100000000,"")</f>
        <v/>
      </c>
    </row>
    <row r="25">
      <c r="A25">
        <f>IF('NPV Comparison'!D38="","",'NPV Comparison'!D38)</f>
        <v/>
      </c>
      <c r="B25">
        <f>IF('NPV Comparison'!E38="","",'NPV Comparison'!E38)</f>
        <v/>
      </c>
      <c r="C25">
        <f>IF('NPV Comparison'!F38="","",'NPV Comparison'!F38)</f>
        <v/>
      </c>
      <c r="D25">
        <f>IF($A25="","",IFERROR(INDEX(Structure!$E$13:$E$312,MATCH($A25,Structure!$P$13:$P$312,0)),""))</f>
        <v/>
      </c>
      <c r="E25">
        <f>IF($A25="",0,IF(COUNTIF(Structure!$P$13:$P$312,$A25)=0,0,IF(COUNTIFS(Structure!$P$13:$P$312,$A25,Structure!$N$13:$N$312,"&lt;&gt;Zero Hours")=0,1,0)))</f>
        <v/>
      </c>
      <c r="F25">
        <f>IF($A25="",0,1-E25)</f>
        <v/>
      </c>
      <c r="G25">
        <f>IF($A25="",0,IF(COUNTIF('New Starters'!$D$14:$D$73,$A25)&gt;0,1,0))</f>
        <v/>
      </c>
      <c r="H25">
        <f>IF($A25="",0,IF(COUNTIF('Leavers'!$D$12:$D$71,$A25)&gt;0,1,0))</f>
        <v/>
      </c>
      <c r="I25">
        <f>IF($A25="","",IFERROR(INDEX('New Starters'!$K$14:$K$73,MATCH($A25,'New Starters'!$D$14:$D$73,0)),IFERROR(INDEX('Leavers'!$K$12:$K$71,MATCH($A25,'Leavers'!$D$12:$D$71,0)),"")))</f>
        <v/>
      </c>
      <c r="J25">
        <f>IF(AND(G25=1,I25&lt;&gt;"",COUNTIF('Leavers'!$K$12:$K$71,I25)&gt;0),1,IF(AND(H25=1,I25&lt;&gt;"",COUNTIF('New Starters'!$K$14:$K$73,I25)&gt;0),1,0))</f>
        <v/>
      </c>
      <c r="K25">
        <f>IF(ISNUMBER(SEARCH("Head Office",D25)),'Control Sheet'!$C$6,'Control Sheet'!$C$5)</f>
        <v/>
      </c>
      <c r="L25">
        <f>IF(OR($A25="",AND(B25="",C25="")),"",IF(B25="",C25,IF(C25="",-B25,C25-B25)))</f>
        <v/>
      </c>
      <c r="M25">
        <f>IFERROR(L25/B25,"")</f>
        <v/>
      </c>
      <c r="N25">
        <f>IF($A25="",0,IF(OR(B25="",C25="",C25=0,AND(ISNUMBER(M25),ABS(M25)&gt;K25)),1,0))</f>
        <v/>
      </c>
      <c r="O25">
        <f>IF(AND(N25=1,ABS(L25)&gt;='Control Sheet'!$C$7,F25=1),1,0)</f>
        <v/>
      </c>
      <c r="P25">
        <f>IF($A25="","",IF(F25=0,"Zero Hours",IF(J25=1,"Explained: Paired transfer",IF(AND(G25=1,H25=0,J25=0),"Explained: Starter",IF(AND(H25=1,G25=0,J25=0),"Explained: Leaver",IF(O25=1,"Review required","OK"))))))</f>
        <v/>
      </c>
      <c r="Q25">
        <f>IF(AND(F25=1,OR(C25="",C25=0),H25=0,J25=0),1,0)</f>
        <v/>
      </c>
      <c r="R25">
        <f>IF(F25=0,0,IF(P25="Review required",1,IF(AND(P25="Explained: Starter",ISNUMBER(C25),C25&gt;=1500),1,0)))</f>
        <v/>
      </c>
      <c r="S25">
        <f>IF(R25=0,"",IF(Q25=1,"High",IF(AND(P25="Explained: Starter",C25&gt;=1500),"High",IF(ABS(L25)&gt;=2000,"High",IF(ABS(L25)&gt;=500,"Medium","Low")))))</f>
        <v/>
      </c>
      <c r="T25">
        <f>SUMIFS('Payment Breakdown Prior'!$S$15:$S$164,'Payment Breakdown Prior'!$AE$15:$AE$164,$A25)</f>
        <v/>
      </c>
      <c r="U25">
        <f>SUMIFS('Payment Breakdown Current'!$S$15:$S$164,'Payment Breakdown Current'!$AE$15:$AE$164,$A25)</f>
        <v/>
      </c>
      <c r="V25">
        <f>IFERROR((U25-T25)/T25,"")</f>
        <v/>
      </c>
      <c r="W25">
        <f>(SUMIFS('Payment Breakdown Current'!$S$15:$S$164,'Payment Breakdown Current'!$AE$15:$AE$164,$A25))-(SUMIFS('Payment Breakdown Prior'!$S$15:$S$164,'Payment Breakdown Prior'!$AE$15:$AE$164,$A25))</f>
        <v/>
      </c>
      <c r="X25">
        <f>(SUMIFS('Payment Breakdown Current'!$T$15:$T$164,'Payment Breakdown Current'!$AE$15:$AE$164,$A25))-(SUMIFS('Payment Breakdown Prior'!$T$15:$T$164,'Payment Breakdown Prior'!$AE$15:$AE$164,$A25))</f>
        <v/>
      </c>
      <c r="Y25">
        <f>(SUMIFS('Payment Breakdown Current'!$U$15:$U$164,'Payment Breakdown Current'!$AE$15:$AE$164,$A25))-(SUMIFS('Payment Breakdown Prior'!$U$15:$U$164,'Payment Breakdown Prior'!$AE$15:$AE$164,$A25))</f>
        <v/>
      </c>
      <c r="Z25">
        <f>(SUMIFS('Payment Breakdown Current'!$V$15:$V$164,'Payment Breakdown Current'!$AE$15:$AE$164,$A25))-(SUMIFS('Payment Breakdown Prior'!$V$15:$V$164,'Payment Breakdown Prior'!$AE$15:$AE$164,$A25))</f>
        <v/>
      </c>
      <c r="AA25">
        <f>(SUMIFS('Payment Breakdown Current'!$W$15:$W$164,'Payment Breakdown Current'!$AE$15:$AE$164,$A25))-(SUMIFS('Payment Breakdown Prior'!$W$15:$W$164,'Payment Breakdown Prior'!$AE$15:$AE$164,$A25))</f>
        <v/>
      </c>
      <c r="AB25">
        <f>(SUMIFS('Payment Breakdown Current'!$X$15:$X$164,'Payment Breakdown Current'!$AE$15:$AE$164,$A25))-(SUMIFS('Payment Breakdown Prior'!$X$15:$X$164,'Payment Breakdown Prior'!$AE$15:$AE$164,$A25))</f>
        <v/>
      </c>
      <c r="AC25">
        <f>(SUMIFS('Payment Breakdown Current'!$Y$15:$Y$164,'Payment Breakdown Current'!$AE$15:$AE$164,$A25))-(SUMIFS('Payment Breakdown Prior'!$Y$15:$Y$164,'Payment Breakdown Prior'!$AE$15:$AE$164,$A25))</f>
        <v/>
      </c>
      <c r="AD25">
        <f>(SUMIFS('Payment Breakdown Current'!$Z$15:$Z$164,'Payment Breakdown Current'!$AE$15:$AE$164,$A25))-(SUMIFS('Payment Breakdown Prior'!$Z$15:$Z$164,'Payment Breakdown Prior'!$AE$15:$AE$164,$A25))</f>
        <v/>
      </c>
      <c r="AE25">
        <f>(SUMIFS('Payment Breakdown Current'!$AA$15:$AA$164,'Payment Breakdown Current'!$AE$15:$AE$164,$A25))-(SUMIFS('Payment Breakdown Prior'!$AA$15:$AA$164,'Payment Breakdown Prior'!$AE$15:$AE$164,$A25))</f>
        <v/>
      </c>
      <c r="AF25">
        <f>(SUMIFS('Payment Breakdown Current'!$AB$15:$AB$164,'Payment Breakdown Current'!$AE$15:$AE$164,$A25))-(SUMIFS('Payment Breakdown Prior'!$AB$15:$AB$164,'Payment Breakdown Prior'!$AE$15:$AE$164,$A25))</f>
        <v/>
      </c>
      <c r="AG25">
        <f>(SUMIFS('Payment Breakdown Current'!$AC$15:$AC$164,'Payment Breakdown Current'!$AE$15:$AE$164,$A25))-(SUMIFS('Payment Breakdown Prior'!$AC$15:$AC$164,'Payment Breakdown Prior'!$AE$15:$AE$164,$A25))</f>
        <v/>
      </c>
      <c r="AH25">
        <f>(SUMIFS('Payment Breakdown Current'!$AD$15:$AD$164,'Payment Breakdown Current'!$AE$15:$AE$164,$A25))-(SUMIFS('Payment Breakdown Prior'!$AD$15:$AD$164,'Payment Breakdown Prior'!$AE$15:$AE$164,$A25))</f>
        <v/>
      </c>
      <c r="AI25">
        <f t="array" ref="AI25">MAX(ABS(W25:AH25))</f>
        <v/>
      </c>
      <c r="AJ25">
        <f t="array" ref="AJ25">IF(AI25&lt;0.005,"",IFERROR(INDEX($W$1:$AH$1,MATCH(AI25,ABS(W25:AH25),0)),""))</f>
        <v/>
      </c>
      <c r="AK25">
        <f t="array" ref="AK25">IF(AI25&lt;0.005,"",IFERROR(INDEX(W25:AH25,MATCH(AI25,ABS(W25:AH25),0)),""))</f>
        <v/>
      </c>
      <c r="AL25">
        <f>IF(R25=1,ABS(L25)-ROW()/100000000,"")</f>
        <v/>
      </c>
    </row>
    <row r="26">
      <c r="A26">
        <f>IF('NPV Comparison'!D39="","",'NPV Comparison'!D39)</f>
        <v/>
      </c>
      <c r="B26">
        <f>IF('NPV Comparison'!E39="","",'NPV Comparison'!E39)</f>
        <v/>
      </c>
      <c r="C26">
        <f>IF('NPV Comparison'!F39="","",'NPV Comparison'!F39)</f>
        <v/>
      </c>
      <c r="D26">
        <f>IF($A26="","",IFERROR(INDEX(Structure!$E$13:$E$312,MATCH($A26,Structure!$P$13:$P$312,0)),""))</f>
        <v/>
      </c>
      <c r="E26">
        <f>IF($A26="",0,IF(COUNTIF(Structure!$P$13:$P$312,$A26)=0,0,IF(COUNTIFS(Structure!$P$13:$P$312,$A26,Structure!$N$13:$N$312,"&lt;&gt;Zero Hours")=0,1,0)))</f>
        <v/>
      </c>
      <c r="F26">
        <f>IF($A26="",0,1-E26)</f>
        <v/>
      </c>
      <c r="G26">
        <f>IF($A26="",0,IF(COUNTIF('New Starters'!$D$14:$D$73,$A26)&gt;0,1,0))</f>
        <v/>
      </c>
      <c r="H26">
        <f>IF($A26="",0,IF(COUNTIF('Leavers'!$D$12:$D$71,$A26)&gt;0,1,0))</f>
        <v/>
      </c>
      <c r="I26">
        <f>IF($A26="","",IFERROR(INDEX('New Starters'!$K$14:$K$73,MATCH($A26,'New Starters'!$D$14:$D$73,0)),IFERROR(INDEX('Leavers'!$K$12:$K$71,MATCH($A26,'Leavers'!$D$12:$D$71,0)),"")))</f>
        <v/>
      </c>
      <c r="J26">
        <f>IF(AND(G26=1,I26&lt;&gt;"",COUNTIF('Leavers'!$K$12:$K$71,I26)&gt;0),1,IF(AND(H26=1,I26&lt;&gt;"",COUNTIF('New Starters'!$K$14:$K$73,I26)&gt;0),1,0))</f>
        <v/>
      </c>
      <c r="K26">
        <f>IF(ISNUMBER(SEARCH("Head Office",D26)),'Control Sheet'!$C$6,'Control Sheet'!$C$5)</f>
        <v/>
      </c>
      <c r="L26">
        <f>IF(OR($A26="",AND(B26="",C26="")),"",IF(B26="",C26,IF(C26="",-B26,C26-B26)))</f>
        <v/>
      </c>
      <c r="M26">
        <f>IFERROR(L26/B26,"")</f>
        <v/>
      </c>
      <c r="N26">
        <f>IF($A26="",0,IF(OR(B26="",C26="",C26=0,AND(ISNUMBER(M26),ABS(M26)&gt;K26)),1,0))</f>
        <v/>
      </c>
      <c r="O26">
        <f>IF(AND(N26=1,ABS(L26)&gt;='Control Sheet'!$C$7,F26=1),1,0)</f>
        <v/>
      </c>
      <c r="P26">
        <f>IF($A26="","",IF(F26=0,"Zero Hours",IF(J26=1,"Explained: Paired transfer",IF(AND(G26=1,H26=0,J26=0),"Explained: Starter",IF(AND(H26=1,G26=0,J26=0),"Explained: Leaver",IF(O26=1,"Review required","OK"))))))</f>
        <v/>
      </c>
      <c r="Q26">
        <f>IF(AND(F26=1,OR(C26="",C26=0),H26=0,J26=0),1,0)</f>
        <v/>
      </c>
      <c r="R26">
        <f>IF(F26=0,0,IF(P26="Review required",1,IF(AND(P26="Explained: Starter",ISNUMBER(C26),C26&gt;=1500),1,0)))</f>
        <v/>
      </c>
      <c r="S26">
        <f>IF(R26=0,"",IF(Q26=1,"High",IF(AND(P26="Explained: Starter",C26&gt;=1500),"High",IF(ABS(L26)&gt;=2000,"High",IF(ABS(L26)&gt;=500,"Medium","Low")))))</f>
        <v/>
      </c>
      <c r="T26">
        <f>SUMIFS('Payment Breakdown Prior'!$S$15:$S$164,'Payment Breakdown Prior'!$AE$15:$AE$164,$A26)</f>
        <v/>
      </c>
      <c r="U26">
        <f>SUMIFS('Payment Breakdown Current'!$S$15:$S$164,'Payment Breakdown Current'!$AE$15:$AE$164,$A26)</f>
        <v/>
      </c>
      <c r="V26">
        <f>IFERROR((U26-T26)/T26,"")</f>
        <v/>
      </c>
      <c r="W26">
        <f>(SUMIFS('Payment Breakdown Current'!$S$15:$S$164,'Payment Breakdown Current'!$AE$15:$AE$164,$A26))-(SUMIFS('Payment Breakdown Prior'!$S$15:$S$164,'Payment Breakdown Prior'!$AE$15:$AE$164,$A26))</f>
        <v/>
      </c>
      <c r="X26">
        <f>(SUMIFS('Payment Breakdown Current'!$T$15:$T$164,'Payment Breakdown Current'!$AE$15:$AE$164,$A26))-(SUMIFS('Payment Breakdown Prior'!$T$15:$T$164,'Payment Breakdown Prior'!$AE$15:$AE$164,$A26))</f>
        <v/>
      </c>
      <c r="Y26">
        <f>(SUMIFS('Payment Breakdown Current'!$U$15:$U$164,'Payment Breakdown Current'!$AE$15:$AE$164,$A26))-(SUMIFS('Payment Breakdown Prior'!$U$15:$U$164,'Payment Breakdown Prior'!$AE$15:$AE$164,$A26))</f>
        <v/>
      </c>
      <c r="Z26">
        <f>(SUMIFS('Payment Breakdown Current'!$V$15:$V$164,'Payment Breakdown Current'!$AE$15:$AE$164,$A26))-(SUMIFS('Payment Breakdown Prior'!$V$15:$V$164,'Payment Breakdown Prior'!$AE$15:$AE$164,$A26))</f>
        <v/>
      </c>
      <c r="AA26">
        <f>(SUMIFS('Payment Breakdown Current'!$W$15:$W$164,'Payment Breakdown Current'!$AE$15:$AE$164,$A26))-(SUMIFS('Payment Breakdown Prior'!$W$15:$W$164,'Payment Breakdown Prior'!$AE$15:$AE$164,$A26))</f>
        <v/>
      </c>
      <c r="AB26">
        <f>(SUMIFS('Payment Breakdown Current'!$X$15:$X$164,'Payment Breakdown Current'!$AE$15:$AE$164,$A26))-(SUMIFS('Payment Breakdown Prior'!$X$15:$X$164,'Payment Breakdown Prior'!$AE$15:$AE$164,$A26))</f>
        <v/>
      </c>
      <c r="AC26">
        <f>(SUMIFS('Payment Breakdown Current'!$Y$15:$Y$164,'Payment Breakdown Current'!$AE$15:$AE$164,$A26))-(SUMIFS('Payment Breakdown Prior'!$Y$15:$Y$164,'Payment Breakdown Prior'!$AE$15:$AE$164,$A26))</f>
        <v/>
      </c>
      <c r="AD26">
        <f>(SUMIFS('Payment Breakdown Current'!$Z$15:$Z$164,'Payment Breakdown Current'!$AE$15:$AE$164,$A26))-(SUMIFS('Payment Breakdown Prior'!$Z$15:$Z$164,'Payment Breakdown Prior'!$AE$15:$AE$164,$A26))</f>
        <v/>
      </c>
      <c r="AE26">
        <f>(SUMIFS('Payment Breakdown Current'!$AA$15:$AA$164,'Payment Breakdown Current'!$AE$15:$AE$164,$A26))-(SUMIFS('Payment Breakdown Prior'!$AA$15:$AA$164,'Payment Breakdown Prior'!$AE$15:$AE$164,$A26))</f>
        <v/>
      </c>
      <c r="AF26">
        <f>(SUMIFS('Payment Breakdown Current'!$AB$15:$AB$164,'Payment Breakdown Current'!$AE$15:$AE$164,$A26))-(SUMIFS('Payment Breakdown Prior'!$AB$15:$AB$164,'Payment Breakdown Prior'!$AE$15:$AE$164,$A26))</f>
        <v/>
      </c>
      <c r="AG26">
        <f>(SUMIFS('Payment Breakdown Current'!$AC$15:$AC$164,'Payment Breakdown Current'!$AE$15:$AE$164,$A26))-(SUMIFS('Payment Breakdown Prior'!$AC$15:$AC$164,'Payment Breakdown Prior'!$AE$15:$AE$164,$A26))</f>
        <v/>
      </c>
      <c r="AH26">
        <f>(SUMIFS('Payment Breakdown Current'!$AD$15:$AD$164,'Payment Breakdown Current'!$AE$15:$AE$164,$A26))-(SUMIFS('Payment Breakdown Prior'!$AD$15:$AD$164,'Payment Breakdown Prior'!$AE$15:$AE$164,$A26))</f>
        <v/>
      </c>
      <c r="AI26">
        <f t="array" ref="AI26">MAX(ABS(W26:AH26))</f>
        <v/>
      </c>
      <c r="AJ26">
        <f t="array" ref="AJ26">IF(AI26&lt;0.005,"",IFERROR(INDEX($W$1:$AH$1,MATCH(AI26,ABS(W26:AH26),0)),""))</f>
        <v/>
      </c>
      <c r="AK26">
        <f t="array" ref="AK26">IF(AI26&lt;0.005,"",IFERROR(INDEX(W26:AH26,MATCH(AI26,ABS(W26:AH26),0)),""))</f>
        <v/>
      </c>
      <c r="AL26">
        <f>IF(R26=1,ABS(L26)-ROW()/100000000,"")</f>
        <v/>
      </c>
    </row>
    <row r="27">
      <c r="A27">
        <f>IF('NPV Comparison'!D40="","",'NPV Comparison'!D40)</f>
        <v/>
      </c>
      <c r="B27">
        <f>IF('NPV Comparison'!E40="","",'NPV Comparison'!E40)</f>
        <v/>
      </c>
      <c r="C27">
        <f>IF('NPV Comparison'!F40="","",'NPV Comparison'!F40)</f>
        <v/>
      </c>
      <c r="D27">
        <f>IF($A27="","",IFERROR(INDEX(Structure!$E$13:$E$312,MATCH($A27,Structure!$P$13:$P$312,0)),""))</f>
        <v/>
      </c>
      <c r="E27">
        <f>IF($A27="",0,IF(COUNTIF(Structure!$P$13:$P$312,$A27)=0,0,IF(COUNTIFS(Structure!$P$13:$P$312,$A27,Structure!$N$13:$N$312,"&lt;&gt;Zero Hours")=0,1,0)))</f>
        <v/>
      </c>
      <c r="F27">
        <f>IF($A27="",0,1-E27)</f>
        <v/>
      </c>
      <c r="G27">
        <f>IF($A27="",0,IF(COUNTIF('New Starters'!$D$14:$D$73,$A27)&gt;0,1,0))</f>
        <v/>
      </c>
      <c r="H27">
        <f>IF($A27="",0,IF(COUNTIF('Leavers'!$D$12:$D$71,$A27)&gt;0,1,0))</f>
        <v/>
      </c>
      <c r="I27">
        <f>IF($A27="","",IFERROR(INDEX('New Starters'!$K$14:$K$73,MATCH($A27,'New Starters'!$D$14:$D$73,0)),IFERROR(INDEX('Leavers'!$K$12:$K$71,MATCH($A27,'Leavers'!$D$12:$D$71,0)),"")))</f>
        <v/>
      </c>
      <c r="J27">
        <f>IF(AND(G27=1,I27&lt;&gt;"",COUNTIF('Leavers'!$K$12:$K$71,I27)&gt;0),1,IF(AND(H27=1,I27&lt;&gt;"",COUNTIF('New Starters'!$K$14:$K$73,I27)&gt;0),1,0))</f>
        <v/>
      </c>
      <c r="K27">
        <f>IF(ISNUMBER(SEARCH("Head Office",D27)),'Control Sheet'!$C$6,'Control Sheet'!$C$5)</f>
        <v/>
      </c>
      <c r="L27">
        <f>IF(OR($A27="",AND(B27="",C27="")),"",IF(B27="",C27,IF(C27="",-B27,C27-B27)))</f>
        <v/>
      </c>
      <c r="M27">
        <f>IFERROR(L27/B27,"")</f>
        <v/>
      </c>
      <c r="N27">
        <f>IF($A27="",0,IF(OR(B27="",C27="",C27=0,AND(ISNUMBER(M27),ABS(M27)&gt;K27)),1,0))</f>
        <v/>
      </c>
      <c r="O27">
        <f>IF(AND(N27=1,ABS(L27)&gt;='Control Sheet'!$C$7,F27=1),1,0)</f>
        <v/>
      </c>
      <c r="P27">
        <f>IF($A27="","",IF(F27=0,"Zero Hours",IF(J27=1,"Explained: Paired transfer",IF(AND(G27=1,H27=0,J27=0),"Explained: Starter",IF(AND(H27=1,G27=0,J27=0),"Explained: Leaver",IF(O27=1,"Review required","OK"))))))</f>
        <v/>
      </c>
      <c r="Q27">
        <f>IF(AND(F27=1,OR(C27="",C27=0),H27=0,J27=0),1,0)</f>
        <v/>
      </c>
      <c r="R27">
        <f>IF(F27=0,0,IF(P27="Review required",1,IF(AND(P27="Explained: Starter",ISNUMBER(C27),C27&gt;=1500),1,0)))</f>
        <v/>
      </c>
      <c r="S27">
        <f>IF(R27=0,"",IF(Q27=1,"High",IF(AND(P27="Explained: Starter",C27&gt;=1500),"High",IF(ABS(L27)&gt;=2000,"High",IF(ABS(L27)&gt;=500,"Medium","Low")))))</f>
        <v/>
      </c>
      <c r="T27">
        <f>SUMIFS('Payment Breakdown Prior'!$S$15:$S$164,'Payment Breakdown Prior'!$AE$15:$AE$164,$A27)</f>
        <v/>
      </c>
      <c r="U27">
        <f>SUMIFS('Payment Breakdown Current'!$S$15:$S$164,'Payment Breakdown Current'!$AE$15:$AE$164,$A27)</f>
        <v/>
      </c>
      <c r="V27">
        <f>IFERROR((U27-T27)/T27,"")</f>
        <v/>
      </c>
      <c r="W27">
        <f>(SUMIFS('Payment Breakdown Current'!$S$15:$S$164,'Payment Breakdown Current'!$AE$15:$AE$164,$A27))-(SUMIFS('Payment Breakdown Prior'!$S$15:$S$164,'Payment Breakdown Prior'!$AE$15:$AE$164,$A27))</f>
        <v/>
      </c>
      <c r="X27">
        <f>(SUMIFS('Payment Breakdown Current'!$T$15:$T$164,'Payment Breakdown Current'!$AE$15:$AE$164,$A27))-(SUMIFS('Payment Breakdown Prior'!$T$15:$T$164,'Payment Breakdown Prior'!$AE$15:$AE$164,$A27))</f>
        <v/>
      </c>
      <c r="Y27">
        <f>(SUMIFS('Payment Breakdown Current'!$U$15:$U$164,'Payment Breakdown Current'!$AE$15:$AE$164,$A27))-(SUMIFS('Payment Breakdown Prior'!$U$15:$U$164,'Payment Breakdown Prior'!$AE$15:$AE$164,$A27))</f>
        <v/>
      </c>
      <c r="Z27">
        <f>(SUMIFS('Payment Breakdown Current'!$V$15:$V$164,'Payment Breakdown Current'!$AE$15:$AE$164,$A27))-(SUMIFS('Payment Breakdown Prior'!$V$15:$V$164,'Payment Breakdown Prior'!$AE$15:$AE$164,$A27))</f>
        <v/>
      </c>
      <c r="AA27">
        <f>(SUMIFS('Payment Breakdown Current'!$W$15:$W$164,'Payment Breakdown Current'!$AE$15:$AE$164,$A27))-(SUMIFS('Payment Breakdown Prior'!$W$15:$W$164,'Payment Breakdown Prior'!$AE$15:$AE$164,$A27))</f>
        <v/>
      </c>
      <c r="AB27">
        <f>(SUMIFS('Payment Breakdown Current'!$X$15:$X$164,'Payment Breakdown Current'!$AE$15:$AE$164,$A27))-(SUMIFS('Payment Breakdown Prior'!$X$15:$X$164,'Payment Breakdown Prior'!$AE$15:$AE$164,$A27))</f>
        <v/>
      </c>
      <c r="AC27">
        <f>(SUMIFS('Payment Breakdown Current'!$Y$15:$Y$164,'Payment Breakdown Current'!$AE$15:$AE$164,$A27))-(SUMIFS('Payment Breakdown Prior'!$Y$15:$Y$164,'Payment Breakdown Prior'!$AE$15:$AE$164,$A27))</f>
        <v/>
      </c>
      <c r="AD27">
        <f>(SUMIFS('Payment Breakdown Current'!$Z$15:$Z$164,'Payment Breakdown Current'!$AE$15:$AE$164,$A27))-(SUMIFS('Payment Breakdown Prior'!$Z$15:$Z$164,'Payment Breakdown Prior'!$AE$15:$AE$164,$A27))</f>
        <v/>
      </c>
      <c r="AE27">
        <f>(SUMIFS('Payment Breakdown Current'!$AA$15:$AA$164,'Payment Breakdown Current'!$AE$15:$AE$164,$A27))-(SUMIFS('Payment Breakdown Prior'!$AA$15:$AA$164,'Payment Breakdown Prior'!$AE$15:$AE$164,$A27))</f>
        <v/>
      </c>
      <c r="AF27">
        <f>(SUMIFS('Payment Breakdown Current'!$AB$15:$AB$164,'Payment Breakdown Current'!$AE$15:$AE$164,$A27))-(SUMIFS('Payment Breakdown Prior'!$AB$15:$AB$164,'Payment Breakdown Prior'!$AE$15:$AE$164,$A27))</f>
        <v/>
      </c>
      <c r="AG27">
        <f>(SUMIFS('Payment Breakdown Current'!$AC$15:$AC$164,'Payment Breakdown Current'!$AE$15:$AE$164,$A27))-(SUMIFS('Payment Breakdown Prior'!$AC$15:$AC$164,'Payment Breakdown Prior'!$AE$15:$AE$164,$A27))</f>
        <v/>
      </c>
      <c r="AH27">
        <f>(SUMIFS('Payment Breakdown Current'!$AD$15:$AD$164,'Payment Breakdown Current'!$AE$15:$AE$164,$A27))-(SUMIFS('Payment Breakdown Prior'!$AD$15:$AD$164,'Payment Breakdown Prior'!$AE$15:$AE$164,$A27))</f>
        <v/>
      </c>
      <c r="AI27">
        <f t="array" ref="AI27">MAX(ABS(W27:AH27))</f>
        <v/>
      </c>
      <c r="AJ27">
        <f t="array" ref="AJ27">IF(AI27&lt;0.005,"",IFERROR(INDEX($W$1:$AH$1,MATCH(AI27,ABS(W27:AH27),0)),""))</f>
        <v/>
      </c>
      <c r="AK27">
        <f t="array" ref="AK27">IF(AI27&lt;0.005,"",IFERROR(INDEX(W27:AH27,MATCH(AI27,ABS(W27:AH27),0)),""))</f>
        <v/>
      </c>
      <c r="AL27">
        <f>IF(R27=1,ABS(L27)-ROW()/100000000,"")</f>
        <v/>
      </c>
    </row>
    <row r="28">
      <c r="A28">
        <f>IF('NPV Comparison'!D41="","",'NPV Comparison'!D41)</f>
        <v/>
      </c>
      <c r="B28">
        <f>IF('NPV Comparison'!E41="","",'NPV Comparison'!E41)</f>
        <v/>
      </c>
      <c r="C28">
        <f>IF('NPV Comparison'!F41="","",'NPV Comparison'!F41)</f>
        <v/>
      </c>
      <c r="D28">
        <f>IF($A28="","",IFERROR(INDEX(Structure!$E$13:$E$312,MATCH($A28,Structure!$P$13:$P$312,0)),""))</f>
        <v/>
      </c>
      <c r="E28">
        <f>IF($A28="",0,IF(COUNTIF(Structure!$P$13:$P$312,$A28)=0,0,IF(COUNTIFS(Structure!$P$13:$P$312,$A28,Structure!$N$13:$N$312,"&lt;&gt;Zero Hours")=0,1,0)))</f>
        <v/>
      </c>
      <c r="F28">
        <f>IF($A28="",0,1-E28)</f>
        <v/>
      </c>
      <c r="G28">
        <f>IF($A28="",0,IF(COUNTIF('New Starters'!$D$14:$D$73,$A28)&gt;0,1,0))</f>
        <v/>
      </c>
      <c r="H28">
        <f>IF($A28="",0,IF(COUNTIF('Leavers'!$D$12:$D$71,$A28)&gt;0,1,0))</f>
        <v/>
      </c>
      <c r="I28">
        <f>IF($A28="","",IFERROR(INDEX('New Starters'!$K$14:$K$73,MATCH($A28,'New Starters'!$D$14:$D$73,0)),IFERROR(INDEX('Leavers'!$K$12:$K$71,MATCH($A28,'Leavers'!$D$12:$D$71,0)),"")))</f>
        <v/>
      </c>
      <c r="J28">
        <f>IF(AND(G28=1,I28&lt;&gt;"",COUNTIF('Leavers'!$K$12:$K$71,I28)&gt;0),1,IF(AND(H28=1,I28&lt;&gt;"",COUNTIF('New Starters'!$K$14:$K$73,I28)&gt;0),1,0))</f>
        <v/>
      </c>
      <c r="K28">
        <f>IF(ISNUMBER(SEARCH("Head Office",D28)),'Control Sheet'!$C$6,'Control Sheet'!$C$5)</f>
        <v/>
      </c>
      <c r="L28">
        <f>IF(OR($A28="",AND(B28="",C28="")),"",IF(B28="",C28,IF(C28="",-B28,C28-B28)))</f>
        <v/>
      </c>
      <c r="M28">
        <f>IFERROR(L28/B28,"")</f>
        <v/>
      </c>
      <c r="N28">
        <f>IF($A28="",0,IF(OR(B28="",C28="",C28=0,AND(ISNUMBER(M28),ABS(M28)&gt;K28)),1,0))</f>
        <v/>
      </c>
      <c r="O28">
        <f>IF(AND(N28=1,ABS(L28)&gt;='Control Sheet'!$C$7,F28=1),1,0)</f>
        <v/>
      </c>
      <c r="P28">
        <f>IF($A28="","",IF(F28=0,"Zero Hours",IF(J28=1,"Explained: Paired transfer",IF(AND(G28=1,H28=0,J28=0),"Explained: Starter",IF(AND(H28=1,G28=0,J28=0),"Explained: Leaver",IF(O28=1,"Review required","OK"))))))</f>
        <v/>
      </c>
      <c r="Q28">
        <f>IF(AND(F28=1,OR(C28="",C28=0),H28=0,J28=0),1,0)</f>
        <v/>
      </c>
      <c r="R28">
        <f>IF(F28=0,0,IF(P28="Review required",1,IF(AND(P28="Explained: Starter",ISNUMBER(C28),C28&gt;=1500),1,0)))</f>
        <v/>
      </c>
      <c r="S28">
        <f>IF(R28=0,"",IF(Q28=1,"High",IF(AND(P28="Explained: Starter",C28&gt;=1500),"High",IF(ABS(L28)&gt;=2000,"High",IF(ABS(L28)&gt;=500,"Medium","Low")))))</f>
        <v/>
      </c>
      <c r="T28">
        <f>SUMIFS('Payment Breakdown Prior'!$S$15:$S$164,'Payment Breakdown Prior'!$AE$15:$AE$164,$A28)</f>
        <v/>
      </c>
      <c r="U28">
        <f>SUMIFS('Payment Breakdown Current'!$S$15:$S$164,'Payment Breakdown Current'!$AE$15:$AE$164,$A28)</f>
        <v/>
      </c>
      <c r="V28">
        <f>IFERROR((U28-T28)/T28,"")</f>
        <v/>
      </c>
      <c r="W28">
        <f>(SUMIFS('Payment Breakdown Current'!$S$15:$S$164,'Payment Breakdown Current'!$AE$15:$AE$164,$A28))-(SUMIFS('Payment Breakdown Prior'!$S$15:$S$164,'Payment Breakdown Prior'!$AE$15:$AE$164,$A28))</f>
        <v/>
      </c>
      <c r="X28">
        <f>(SUMIFS('Payment Breakdown Current'!$T$15:$T$164,'Payment Breakdown Current'!$AE$15:$AE$164,$A28))-(SUMIFS('Payment Breakdown Prior'!$T$15:$T$164,'Payment Breakdown Prior'!$AE$15:$AE$164,$A28))</f>
        <v/>
      </c>
      <c r="Y28">
        <f>(SUMIFS('Payment Breakdown Current'!$U$15:$U$164,'Payment Breakdown Current'!$AE$15:$AE$164,$A28))-(SUMIFS('Payment Breakdown Prior'!$U$15:$U$164,'Payment Breakdown Prior'!$AE$15:$AE$164,$A28))</f>
        <v/>
      </c>
      <c r="Z28">
        <f>(SUMIFS('Payment Breakdown Current'!$V$15:$V$164,'Payment Breakdown Current'!$AE$15:$AE$164,$A28))-(SUMIFS('Payment Breakdown Prior'!$V$15:$V$164,'Payment Breakdown Prior'!$AE$15:$AE$164,$A28))</f>
        <v/>
      </c>
      <c r="AA28">
        <f>(SUMIFS('Payment Breakdown Current'!$W$15:$W$164,'Payment Breakdown Current'!$AE$15:$AE$164,$A28))-(SUMIFS('Payment Breakdown Prior'!$W$15:$W$164,'Payment Breakdown Prior'!$AE$15:$AE$164,$A28))</f>
        <v/>
      </c>
      <c r="AB28">
        <f>(SUMIFS('Payment Breakdown Current'!$X$15:$X$164,'Payment Breakdown Current'!$AE$15:$AE$164,$A28))-(SUMIFS('Payment Breakdown Prior'!$X$15:$X$164,'Payment Breakdown Prior'!$AE$15:$AE$164,$A28))</f>
        <v/>
      </c>
      <c r="AC28">
        <f>(SUMIFS('Payment Breakdown Current'!$Y$15:$Y$164,'Payment Breakdown Current'!$AE$15:$AE$164,$A28))-(SUMIFS('Payment Breakdown Prior'!$Y$15:$Y$164,'Payment Breakdown Prior'!$AE$15:$AE$164,$A28))</f>
        <v/>
      </c>
      <c r="AD28">
        <f>(SUMIFS('Payment Breakdown Current'!$Z$15:$Z$164,'Payment Breakdown Current'!$AE$15:$AE$164,$A28))-(SUMIFS('Payment Breakdown Prior'!$Z$15:$Z$164,'Payment Breakdown Prior'!$AE$15:$AE$164,$A28))</f>
        <v/>
      </c>
      <c r="AE28">
        <f>(SUMIFS('Payment Breakdown Current'!$AA$15:$AA$164,'Payment Breakdown Current'!$AE$15:$AE$164,$A28))-(SUMIFS('Payment Breakdown Prior'!$AA$15:$AA$164,'Payment Breakdown Prior'!$AE$15:$AE$164,$A28))</f>
        <v/>
      </c>
      <c r="AF28">
        <f>(SUMIFS('Payment Breakdown Current'!$AB$15:$AB$164,'Payment Breakdown Current'!$AE$15:$AE$164,$A28))-(SUMIFS('Payment Breakdown Prior'!$AB$15:$AB$164,'Payment Breakdown Prior'!$AE$15:$AE$164,$A28))</f>
        <v/>
      </c>
      <c r="AG28">
        <f>(SUMIFS('Payment Breakdown Current'!$AC$15:$AC$164,'Payment Breakdown Current'!$AE$15:$AE$164,$A28))-(SUMIFS('Payment Breakdown Prior'!$AC$15:$AC$164,'Payment Breakdown Prior'!$AE$15:$AE$164,$A28))</f>
        <v/>
      </c>
      <c r="AH28">
        <f>(SUMIFS('Payment Breakdown Current'!$AD$15:$AD$164,'Payment Breakdown Current'!$AE$15:$AE$164,$A28))-(SUMIFS('Payment Breakdown Prior'!$AD$15:$AD$164,'Payment Breakdown Prior'!$AE$15:$AE$164,$A28))</f>
        <v/>
      </c>
      <c r="AI28">
        <f t="array" ref="AI28">MAX(ABS(W28:AH28))</f>
        <v/>
      </c>
      <c r="AJ28">
        <f t="array" ref="AJ28">IF(AI28&lt;0.005,"",IFERROR(INDEX($W$1:$AH$1,MATCH(AI28,ABS(W28:AH28),0)),""))</f>
        <v/>
      </c>
      <c r="AK28">
        <f t="array" ref="AK28">IF(AI28&lt;0.005,"",IFERROR(INDEX(W28:AH28,MATCH(AI28,ABS(W28:AH28),0)),""))</f>
        <v/>
      </c>
      <c r="AL28">
        <f>IF(R28=1,ABS(L28)-ROW()/100000000,"")</f>
        <v/>
      </c>
    </row>
    <row r="29">
      <c r="A29">
        <f>IF('NPV Comparison'!D42="","",'NPV Comparison'!D42)</f>
        <v/>
      </c>
      <c r="B29">
        <f>IF('NPV Comparison'!E42="","",'NPV Comparison'!E42)</f>
        <v/>
      </c>
      <c r="C29">
        <f>IF('NPV Comparison'!F42="","",'NPV Comparison'!F42)</f>
        <v/>
      </c>
      <c r="D29">
        <f>IF($A29="","",IFERROR(INDEX(Structure!$E$13:$E$312,MATCH($A29,Structure!$P$13:$P$312,0)),""))</f>
        <v/>
      </c>
      <c r="E29">
        <f>IF($A29="",0,IF(COUNTIF(Structure!$P$13:$P$312,$A29)=0,0,IF(COUNTIFS(Structure!$P$13:$P$312,$A29,Structure!$N$13:$N$312,"&lt;&gt;Zero Hours")=0,1,0)))</f>
        <v/>
      </c>
      <c r="F29">
        <f>IF($A29="",0,1-E29)</f>
        <v/>
      </c>
      <c r="G29">
        <f>IF($A29="",0,IF(COUNTIF('New Starters'!$D$14:$D$73,$A29)&gt;0,1,0))</f>
        <v/>
      </c>
      <c r="H29">
        <f>IF($A29="",0,IF(COUNTIF('Leavers'!$D$12:$D$71,$A29)&gt;0,1,0))</f>
        <v/>
      </c>
      <c r="I29">
        <f>IF($A29="","",IFERROR(INDEX('New Starters'!$K$14:$K$73,MATCH($A29,'New Starters'!$D$14:$D$73,0)),IFERROR(INDEX('Leavers'!$K$12:$K$71,MATCH($A29,'Leavers'!$D$12:$D$71,0)),"")))</f>
        <v/>
      </c>
      <c r="J29">
        <f>IF(AND(G29=1,I29&lt;&gt;"",COUNTIF('Leavers'!$K$12:$K$71,I29)&gt;0),1,IF(AND(H29=1,I29&lt;&gt;"",COUNTIF('New Starters'!$K$14:$K$73,I29)&gt;0),1,0))</f>
        <v/>
      </c>
      <c r="K29">
        <f>IF(ISNUMBER(SEARCH("Head Office",D29)),'Control Sheet'!$C$6,'Control Sheet'!$C$5)</f>
        <v/>
      </c>
      <c r="L29">
        <f>IF(OR($A29="",AND(B29="",C29="")),"",IF(B29="",C29,IF(C29="",-B29,C29-B29)))</f>
        <v/>
      </c>
      <c r="M29">
        <f>IFERROR(L29/B29,"")</f>
        <v/>
      </c>
      <c r="N29">
        <f>IF($A29="",0,IF(OR(B29="",C29="",C29=0,AND(ISNUMBER(M29),ABS(M29)&gt;K29)),1,0))</f>
        <v/>
      </c>
      <c r="O29">
        <f>IF(AND(N29=1,ABS(L29)&gt;='Control Sheet'!$C$7,F29=1),1,0)</f>
        <v/>
      </c>
      <c r="P29">
        <f>IF($A29="","",IF(F29=0,"Zero Hours",IF(J29=1,"Explained: Paired transfer",IF(AND(G29=1,H29=0,J29=0),"Explained: Starter",IF(AND(H29=1,G29=0,J29=0),"Explained: Leaver",IF(O29=1,"Review required","OK"))))))</f>
        <v/>
      </c>
      <c r="Q29">
        <f>IF(AND(F29=1,OR(C29="",C29=0),H29=0,J29=0),1,0)</f>
        <v/>
      </c>
      <c r="R29">
        <f>IF(F29=0,0,IF(P29="Review required",1,IF(AND(P29="Explained: Starter",ISNUMBER(C29),C29&gt;=1500),1,0)))</f>
        <v/>
      </c>
      <c r="S29">
        <f>IF(R29=0,"",IF(Q29=1,"High",IF(AND(P29="Explained: Starter",C29&gt;=1500),"High",IF(ABS(L29)&gt;=2000,"High",IF(ABS(L29)&gt;=500,"Medium","Low")))))</f>
        <v/>
      </c>
      <c r="T29">
        <f>SUMIFS('Payment Breakdown Prior'!$S$15:$S$164,'Payment Breakdown Prior'!$AE$15:$AE$164,$A29)</f>
        <v/>
      </c>
      <c r="U29">
        <f>SUMIFS('Payment Breakdown Current'!$S$15:$S$164,'Payment Breakdown Current'!$AE$15:$AE$164,$A29)</f>
        <v/>
      </c>
      <c r="V29">
        <f>IFERROR((U29-T29)/T29,"")</f>
        <v/>
      </c>
      <c r="W29">
        <f>(SUMIFS('Payment Breakdown Current'!$S$15:$S$164,'Payment Breakdown Current'!$AE$15:$AE$164,$A29))-(SUMIFS('Payment Breakdown Prior'!$S$15:$S$164,'Payment Breakdown Prior'!$AE$15:$AE$164,$A29))</f>
        <v/>
      </c>
      <c r="X29">
        <f>(SUMIFS('Payment Breakdown Current'!$T$15:$T$164,'Payment Breakdown Current'!$AE$15:$AE$164,$A29))-(SUMIFS('Payment Breakdown Prior'!$T$15:$T$164,'Payment Breakdown Prior'!$AE$15:$AE$164,$A29))</f>
        <v/>
      </c>
      <c r="Y29">
        <f>(SUMIFS('Payment Breakdown Current'!$U$15:$U$164,'Payment Breakdown Current'!$AE$15:$AE$164,$A29))-(SUMIFS('Payment Breakdown Prior'!$U$15:$U$164,'Payment Breakdown Prior'!$AE$15:$AE$164,$A29))</f>
        <v/>
      </c>
      <c r="Z29">
        <f>(SUMIFS('Payment Breakdown Current'!$V$15:$V$164,'Payment Breakdown Current'!$AE$15:$AE$164,$A29))-(SUMIFS('Payment Breakdown Prior'!$V$15:$V$164,'Payment Breakdown Prior'!$AE$15:$AE$164,$A29))</f>
        <v/>
      </c>
      <c r="AA29">
        <f>(SUMIFS('Payment Breakdown Current'!$W$15:$W$164,'Payment Breakdown Current'!$AE$15:$AE$164,$A29))-(SUMIFS('Payment Breakdown Prior'!$W$15:$W$164,'Payment Breakdown Prior'!$AE$15:$AE$164,$A29))</f>
        <v/>
      </c>
      <c r="AB29">
        <f>(SUMIFS('Payment Breakdown Current'!$X$15:$X$164,'Payment Breakdown Current'!$AE$15:$AE$164,$A29))-(SUMIFS('Payment Breakdown Prior'!$X$15:$X$164,'Payment Breakdown Prior'!$AE$15:$AE$164,$A29))</f>
        <v/>
      </c>
      <c r="AC29">
        <f>(SUMIFS('Payment Breakdown Current'!$Y$15:$Y$164,'Payment Breakdown Current'!$AE$15:$AE$164,$A29))-(SUMIFS('Payment Breakdown Prior'!$Y$15:$Y$164,'Payment Breakdown Prior'!$AE$15:$AE$164,$A29))</f>
        <v/>
      </c>
      <c r="AD29">
        <f>(SUMIFS('Payment Breakdown Current'!$Z$15:$Z$164,'Payment Breakdown Current'!$AE$15:$AE$164,$A29))-(SUMIFS('Payment Breakdown Prior'!$Z$15:$Z$164,'Payment Breakdown Prior'!$AE$15:$AE$164,$A29))</f>
        <v/>
      </c>
      <c r="AE29">
        <f>(SUMIFS('Payment Breakdown Current'!$AA$15:$AA$164,'Payment Breakdown Current'!$AE$15:$AE$164,$A29))-(SUMIFS('Payment Breakdown Prior'!$AA$15:$AA$164,'Payment Breakdown Prior'!$AE$15:$AE$164,$A29))</f>
        <v/>
      </c>
      <c r="AF29">
        <f>(SUMIFS('Payment Breakdown Current'!$AB$15:$AB$164,'Payment Breakdown Current'!$AE$15:$AE$164,$A29))-(SUMIFS('Payment Breakdown Prior'!$AB$15:$AB$164,'Payment Breakdown Prior'!$AE$15:$AE$164,$A29))</f>
        <v/>
      </c>
      <c r="AG29">
        <f>(SUMIFS('Payment Breakdown Current'!$AC$15:$AC$164,'Payment Breakdown Current'!$AE$15:$AE$164,$A29))-(SUMIFS('Payment Breakdown Prior'!$AC$15:$AC$164,'Payment Breakdown Prior'!$AE$15:$AE$164,$A29))</f>
        <v/>
      </c>
      <c r="AH29">
        <f>(SUMIFS('Payment Breakdown Current'!$AD$15:$AD$164,'Payment Breakdown Current'!$AE$15:$AE$164,$A29))-(SUMIFS('Payment Breakdown Prior'!$AD$15:$AD$164,'Payment Breakdown Prior'!$AE$15:$AE$164,$A29))</f>
        <v/>
      </c>
      <c r="AI29">
        <f t="array" ref="AI29">MAX(ABS(W29:AH29))</f>
        <v/>
      </c>
      <c r="AJ29">
        <f t="array" ref="AJ29">IF(AI29&lt;0.005,"",IFERROR(INDEX($W$1:$AH$1,MATCH(AI29,ABS(W29:AH29),0)),""))</f>
        <v/>
      </c>
      <c r="AK29">
        <f t="array" ref="AK29">IF(AI29&lt;0.005,"",IFERROR(INDEX(W29:AH29,MATCH(AI29,ABS(W29:AH29),0)),""))</f>
        <v/>
      </c>
      <c r="AL29">
        <f>IF(R29=1,ABS(L29)-ROW()/100000000,"")</f>
        <v/>
      </c>
    </row>
    <row r="30">
      <c r="A30">
        <f>IF('NPV Comparison'!D43="","",'NPV Comparison'!D43)</f>
        <v/>
      </c>
      <c r="B30">
        <f>IF('NPV Comparison'!E43="","",'NPV Comparison'!E43)</f>
        <v/>
      </c>
      <c r="C30">
        <f>IF('NPV Comparison'!F43="","",'NPV Comparison'!F43)</f>
        <v/>
      </c>
      <c r="D30">
        <f>IF($A30="","",IFERROR(INDEX(Structure!$E$13:$E$312,MATCH($A30,Structure!$P$13:$P$312,0)),""))</f>
        <v/>
      </c>
      <c r="E30">
        <f>IF($A30="",0,IF(COUNTIF(Structure!$P$13:$P$312,$A30)=0,0,IF(COUNTIFS(Structure!$P$13:$P$312,$A30,Structure!$N$13:$N$312,"&lt;&gt;Zero Hours")=0,1,0)))</f>
        <v/>
      </c>
      <c r="F30">
        <f>IF($A30="",0,1-E30)</f>
        <v/>
      </c>
      <c r="G30">
        <f>IF($A30="",0,IF(COUNTIF('New Starters'!$D$14:$D$73,$A30)&gt;0,1,0))</f>
        <v/>
      </c>
      <c r="H30">
        <f>IF($A30="",0,IF(COUNTIF('Leavers'!$D$12:$D$71,$A30)&gt;0,1,0))</f>
        <v/>
      </c>
      <c r="I30">
        <f>IF($A30="","",IFERROR(INDEX('New Starters'!$K$14:$K$73,MATCH($A30,'New Starters'!$D$14:$D$73,0)),IFERROR(INDEX('Leavers'!$K$12:$K$71,MATCH($A30,'Leavers'!$D$12:$D$71,0)),"")))</f>
        <v/>
      </c>
      <c r="J30">
        <f>IF(AND(G30=1,I30&lt;&gt;"",COUNTIF('Leavers'!$K$12:$K$71,I30)&gt;0),1,IF(AND(H30=1,I30&lt;&gt;"",COUNTIF('New Starters'!$K$14:$K$73,I30)&gt;0),1,0))</f>
        <v/>
      </c>
      <c r="K30">
        <f>IF(ISNUMBER(SEARCH("Head Office",D30)),'Control Sheet'!$C$6,'Control Sheet'!$C$5)</f>
        <v/>
      </c>
      <c r="L30">
        <f>IF(OR($A30="",AND(B30="",C30="")),"",IF(B30="",C30,IF(C30="",-B30,C30-B30)))</f>
        <v/>
      </c>
      <c r="M30">
        <f>IFERROR(L30/B30,"")</f>
        <v/>
      </c>
      <c r="N30">
        <f>IF($A30="",0,IF(OR(B30="",C30="",C30=0,AND(ISNUMBER(M30),ABS(M30)&gt;K30)),1,0))</f>
        <v/>
      </c>
      <c r="O30">
        <f>IF(AND(N30=1,ABS(L30)&gt;='Control Sheet'!$C$7,F30=1),1,0)</f>
        <v/>
      </c>
      <c r="P30">
        <f>IF($A30="","",IF(F30=0,"Zero Hours",IF(J30=1,"Explained: Paired transfer",IF(AND(G30=1,H30=0,J30=0),"Explained: Starter",IF(AND(H30=1,G30=0,J30=0),"Explained: Leaver",IF(O30=1,"Review required","OK"))))))</f>
        <v/>
      </c>
      <c r="Q30">
        <f>IF(AND(F30=1,OR(C30="",C30=0),H30=0,J30=0),1,0)</f>
        <v/>
      </c>
      <c r="R30">
        <f>IF(F30=0,0,IF(P30="Review required",1,IF(AND(P30="Explained: Starter",ISNUMBER(C30),C30&gt;=1500),1,0)))</f>
        <v/>
      </c>
      <c r="S30">
        <f>IF(R30=0,"",IF(Q30=1,"High",IF(AND(P30="Explained: Starter",C30&gt;=1500),"High",IF(ABS(L30)&gt;=2000,"High",IF(ABS(L30)&gt;=500,"Medium","Low")))))</f>
        <v/>
      </c>
      <c r="T30">
        <f>SUMIFS('Payment Breakdown Prior'!$S$15:$S$164,'Payment Breakdown Prior'!$AE$15:$AE$164,$A30)</f>
        <v/>
      </c>
      <c r="U30">
        <f>SUMIFS('Payment Breakdown Current'!$S$15:$S$164,'Payment Breakdown Current'!$AE$15:$AE$164,$A30)</f>
        <v/>
      </c>
      <c r="V30">
        <f>IFERROR((U30-T30)/T30,"")</f>
        <v/>
      </c>
      <c r="W30">
        <f>(SUMIFS('Payment Breakdown Current'!$S$15:$S$164,'Payment Breakdown Current'!$AE$15:$AE$164,$A30))-(SUMIFS('Payment Breakdown Prior'!$S$15:$S$164,'Payment Breakdown Prior'!$AE$15:$AE$164,$A30))</f>
        <v/>
      </c>
      <c r="X30">
        <f>(SUMIFS('Payment Breakdown Current'!$T$15:$T$164,'Payment Breakdown Current'!$AE$15:$AE$164,$A30))-(SUMIFS('Payment Breakdown Prior'!$T$15:$T$164,'Payment Breakdown Prior'!$AE$15:$AE$164,$A30))</f>
        <v/>
      </c>
      <c r="Y30">
        <f>(SUMIFS('Payment Breakdown Current'!$U$15:$U$164,'Payment Breakdown Current'!$AE$15:$AE$164,$A30))-(SUMIFS('Payment Breakdown Prior'!$U$15:$U$164,'Payment Breakdown Prior'!$AE$15:$AE$164,$A30))</f>
        <v/>
      </c>
      <c r="Z30">
        <f>(SUMIFS('Payment Breakdown Current'!$V$15:$V$164,'Payment Breakdown Current'!$AE$15:$AE$164,$A30))-(SUMIFS('Payment Breakdown Prior'!$V$15:$V$164,'Payment Breakdown Prior'!$AE$15:$AE$164,$A30))</f>
        <v/>
      </c>
      <c r="AA30">
        <f>(SUMIFS('Payment Breakdown Current'!$W$15:$W$164,'Payment Breakdown Current'!$AE$15:$AE$164,$A30))-(SUMIFS('Payment Breakdown Prior'!$W$15:$W$164,'Payment Breakdown Prior'!$AE$15:$AE$164,$A30))</f>
        <v/>
      </c>
      <c r="AB30">
        <f>(SUMIFS('Payment Breakdown Current'!$X$15:$X$164,'Payment Breakdown Current'!$AE$15:$AE$164,$A30))-(SUMIFS('Payment Breakdown Prior'!$X$15:$X$164,'Payment Breakdown Prior'!$AE$15:$AE$164,$A30))</f>
        <v/>
      </c>
      <c r="AC30">
        <f>(SUMIFS('Payment Breakdown Current'!$Y$15:$Y$164,'Payment Breakdown Current'!$AE$15:$AE$164,$A30))-(SUMIFS('Payment Breakdown Prior'!$Y$15:$Y$164,'Payment Breakdown Prior'!$AE$15:$AE$164,$A30))</f>
        <v/>
      </c>
      <c r="AD30">
        <f>(SUMIFS('Payment Breakdown Current'!$Z$15:$Z$164,'Payment Breakdown Current'!$AE$15:$AE$164,$A30))-(SUMIFS('Payment Breakdown Prior'!$Z$15:$Z$164,'Payment Breakdown Prior'!$AE$15:$AE$164,$A30))</f>
        <v/>
      </c>
      <c r="AE30">
        <f>(SUMIFS('Payment Breakdown Current'!$AA$15:$AA$164,'Payment Breakdown Current'!$AE$15:$AE$164,$A30))-(SUMIFS('Payment Breakdown Prior'!$AA$15:$AA$164,'Payment Breakdown Prior'!$AE$15:$AE$164,$A30))</f>
        <v/>
      </c>
      <c r="AF30">
        <f>(SUMIFS('Payment Breakdown Current'!$AB$15:$AB$164,'Payment Breakdown Current'!$AE$15:$AE$164,$A30))-(SUMIFS('Payment Breakdown Prior'!$AB$15:$AB$164,'Payment Breakdown Prior'!$AE$15:$AE$164,$A30))</f>
        <v/>
      </c>
      <c r="AG30">
        <f>(SUMIFS('Payment Breakdown Current'!$AC$15:$AC$164,'Payment Breakdown Current'!$AE$15:$AE$164,$A30))-(SUMIFS('Payment Breakdown Prior'!$AC$15:$AC$164,'Payment Breakdown Prior'!$AE$15:$AE$164,$A30))</f>
        <v/>
      </c>
      <c r="AH30">
        <f>(SUMIFS('Payment Breakdown Current'!$AD$15:$AD$164,'Payment Breakdown Current'!$AE$15:$AE$164,$A30))-(SUMIFS('Payment Breakdown Prior'!$AD$15:$AD$164,'Payment Breakdown Prior'!$AE$15:$AE$164,$A30))</f>
        <v/>
      </c>
      <c r="AI30">
        <f t="array" ref="AI30">MAX(ABS(W30:AH30))</f>
        <v/>
      </c>
      <c r="AJ30">
        <f t="array" ref="AJ30">IF(AI30&lt;0.005,"",IFERROR(INDEX($W$1:$AH$1,MATCH(AI30,ABS(W30:AH30),0)),""))</f>
        <v/>
      </c>
      <c r="AK30">
        <f t="array" ref="AK30">IF(AI30&lt;0.005,"",IFERROR(INDEX(W30:AH30,MATCH(AI30,ABS(W30:AH30),0)),""))</f>
        <v/>
      </c>
      <c r="AL30">
        <f>IF(R30=1,ABS(L30)-ROW()/100000000,"")</f>
        <v/>
      </c>
    </row>
    <row r="31">
      <c r="A31">
        <f>IF('NPV Comparison'!D44="","",'NPV Comparison'!D44)</f>
        <v/>
      </c>
      <c r="B31">
        <f>IF('NPV Comparison'!E44="","",'NPV Comparison'!E44)</f>
        <v/>
      </c>
      <c r="C31">
        <f>IF('NPV Comparison'!F44="","",'NPV Comparison'!F44)</f>
        <v/>
      </c>
      <c r="D31">
        <f>IF($A31="","",IFERROR(INDEX(Structure!$E$13:$E$312,MATCH($A31,Structure!$P$13:$P$312,0)),""))</f>
        <v/>
      </c>
      <c r="E31">
        <f>IF($A31="",0,IF(COUNTIF(Structure!$P$13:$P$312,$A31)=0,0,IF(COUNTIFS(Structure!$P$13:$P$312,$A31,Structure!$N$13:$N$312,"&lt;&gt;Zero Hours")=0,1,0)))</f>
        <v/>
      </c>
      <c r="F31">
        <f>IF($A31="",0,1-E31)</f>
        <v/>
      </c>
      <c r="G31">
        <f>IF($A31="",0,IF(COUNTIF('New Starters'!$D$14:$D$73,$A31)&gt;0,1,0))</f>
        <v/>
      </c>
      <c r="H31">
        <f>IF($A31="",0,IF(COUNTIF('Leavers'!$D$12:$D$71,$A31)&gt;0,1,0))</f>
        <v/>
      </c>
      <c r="I31">
        <f>IF($A31="","",IFERROR(INDEX('New Starters'!$K$14:$K$73,MATCH($A31,'New Starters'!$D$14:$D$73,0)),IFERROR(INDEX('Leavers'!$K$12:$K$71,MATCH($A31,'Leavers'!$D$12:$D$71,0)),"")))</f>
        <v/>
      </c>
      <c r="J31">
        <f>IF(AND(G31=1,I31&lt;&gt;"",COUNTIF('Leavers'!$K$12:$K$71,I31)&gt;0),1,IF(AND(H31=1,I31&lt;&gt;"",COUNTIF('New Starters'!$K$14:$K$73,I31)&gt;0),1,0))</f>
        <v/>
      </c>
      <c r="K31">
        <f>IF(ISNUMBER(SEARCH("Head Office",D31)),'Control Sheet'!$C$6,'Control Sheet'!$C$5)</f>
        <v/>
      </c>
      <c r="L31">
        <f>IF(OR($A31="",AND(B31="",C31="")),"",IF(B31="",C31,IF(C31="",-B31,C31-B31)))</f>
        <v/>
      </c>
      <c r="M31">
        <f>IFERROR(L31/B31,"")</f>
        <v/>
      </c>
      <c r="N31">
        <f>IF($A31="",0,IF(OR(B31="",C31="",C31=0,AND(ISNUMBER(M31),ABS(M31)&gt;K31)),1,0))</f>
        <v/>
      </c>
      <c r="O31">
        <f>IF(AND(N31=1,ABS(L31)&gt;='Control Sheet'!$C$7,F31=1),1,0)</f>
        <v/>
      </c>
      <c r="P31">
        <f>IF($A31="","",IF(F31=0,"Zero Hours",IF(J31=1,"Explained: Paired transfer",IF(AND(G31=1,H31=0,J31=0),"Explained: Starter",IF(AND(H31=1,G31=0,J31=0),"Explained: Leaver",IF(O31=1,"Review required","OK"))))))</f>
        <v/>
      </c>
      <c r="Q31">
        <f>IF(AND(F31=1,OR(C31="",C31=0),H31=0,J31=0),1,0)</f>
        <v/>
      </c>
      <c r="R31">
        <f>IF(F31=0,0,IF(P31="Review required",1,IF(AND(P31="Explained: Starter",ISNUMBER(C31),C31&gt;=1500),1,0)))</f>
        <v/>
      </c>
      <c r="S31">
        <f>IF(R31=0,"",IF(Q31=1,"High",IF(AND(P31="Explained: Starter",C31&gt;=1500),"High",IF(ABS(L31)&gt;=2000,"High",IF(ABS(L31)&gt;=500,"Medium","Low")))))</f>
        <v/>
      </c>
      <c r="T31">
        <f>SUMIFS('Payment Breakdown Prior'!$S$15:$S$164,'Payment Breakdown Prior'!$AE$15:$AE$164,$A31)</f>
        <v/>
      </c>
      <c r="U31">
        <f>SUMIFS('Payment Breakdown Current'!$S$15:$S$164,'Payment Breakdown Current'!$AE$15:$AE$164,$A31)</f>
        <v/>
      </c>
      <c r="V31">
        <f>IFERROR((U31-T31)/T31,"")</f>
        <v/>
      </c>
      <c r="W31">
        <f>(SUMIFS('Payment Breakdown Current'!$S$15:$S$164,'Payment Breakdown Current'!$AE$15:$AE$164,$A31))-(SUMIFS('Payment Breakdown Prior'!$S$15:$S$164,'Payment Breakdown Prior'!$AE$15:$AE$164,$A31))</f>
        <v/>
      </c>
      <c r="X31">
        <f>(SUMIFS('Payment Breakdown Current'!$T$15:$T$164,'Payment Breakdown Current'!$AE$15:$AE$164,$A31))-(SUMIFS('Payment Breakdown Prior'!$T$15:$T$164,'Payment Breakdown Prior'!$AE$15:$AE$164,$A31))</f>
        <v/>
      </c>
      <c r="Y31">
        <f>(SUMIFS('Payment Breakdown Current'!$U$15:$U$164,'Payment Breakdown Current'!$AE$15:$AE$164,$A31))-(SUMIFS('Payment Breakdown Prior'!$U$15:$U$164,'Payment Breakdown Prior'!$AE$15:$AE$164,$A31))</f>
        <v/>
      </c>
      <c r="Z31">
        <f>(SUMIFS('Payment Breakdown Current'!$V$15:$V$164,'Payment Breakdown Current'!$AE$15:$AE$164,$A31))-(SUMIFS('Payment Breakdown Prior'!$V$15:$V$164,'Payment Breakdown Prior'!$AE$15:$AE$164,$A31))</f>
        <v/>
      </c>
      <c r="AA31">
        <f>(SUMIFS('Payment Breakdown Current'!$W$15:$W$164,'Payment Breakdown Current'!$AE$15:$AE$164,$A31))-(SUMIFS('Payment Breakdown Prior'!$W$15:$W$164,'Payment Breakdown Prior'!$AE$15:$AE$164,$A31))</f>
        <v/>
      </c>
      <c r="AB31">
        <f>(SUMIFS('Payment Breakdown Current'!$X$15:$X$164,'Payment Breakdown Current'!$AE$15:$AE$164,$A31))-(SUMIFS('Payment Breakdown Prior'!$X$15:$X$164,'Payment Breakdown Prior'!$AE$15:$AE$164,$A31))</f>
        <v/>
      </c>
      <c r="AC31">
        <f>(SUMIFS('Payment Breakdown Current'!$Y$15:$Y$164,'Payment Breakdown Current'!$AE$15:$AE$164,$A31))-(SUMIFS('Payment Breakdown Prior'!$Y$15:$Y$164,'Payment Breakdown Prior'!$AE$15:$AE$164,$A31))</f>
        <v/>
      </c>
      <c r="AD31">
        <f>(SUMIFS('Payment Breakdown Current'!$Z$15:$Z$164,'Payment Breakdown Current'!$AE$15:$AE$164,$A31))-(SUMIFS('Payment Breakdown Prior'!$Z$15:$Z$164,'Payment Breakdown Prior'!$AE$15:$AE$164,$A31))</f>
        <v/>
      </c>
      <c r="AE31">
        <f>(SUMIFS('Payment Breakdown Current'!$AA$15:$AA$164,'Payment Breakdown Current'!$AE$15:$AE$164,$A31))-(SUMIFS('Payment Breakdown Prior'!$AA$15:$AA$164,'Payment Breakdown Prior'!$AE$15:$AE$164,$A31))</f>
        <v/>
      </c>
      <c r="AF31">
        <f>(SUMIFS('Payment Breakdown Current'!$AB$15:$AB$164,'Payment Breakdown Current'!$AE$15:$AE$164,$A31))-(SUMIFS('Payment Breakdown Prior'!$AB$15:$AB$164,'Payment Breakdown Prior'!$AE$15:$AE$164,$A31))</f>
        <v/>
      </c>
      <c r="AG31">
        <f>(SUMIFS('Payment Breakdown Current'!$AC$15:$AC$164,'Payment Breakdown Current'!$AE$15:$AE$164,$A31))-(SUMIFS('Payment Breakdown Prior'!$AC$15:$AC$164,'Payment Breakdown Prior'!$AE$15:$AE$164,$A31))</f>
        <v/>
      </c>
      <c r="AH31">
        <f>(SUMIFS('Payment Breakdown Current'!$AD$15:$AD$164,'Payment Breakdown Current'!$AE$15:$AE$164,$A31))-(SUMIFS('Payment Breakdown Prior'!$AD$15:$AD$164,'Payment Breakdown Prior'!$AE$15:$AE$164,$A31))</f>
        <v/>
      </c>
      <c r="AI31">
        <f t="array" ref="AI31">MAX(ABS(W31:AH31))</f>
        <v/>
      </c>
      <c r="AJ31">
        <f t="array" ref="AJ31">IF(AI31&lt;0.005,"",IFERROR(INDEX($W$1:$AH$1,MATCH(AI31,ABS(W31:AH31),0)),""))</f>
        <v/>
      </c>
      <c r="AK31">
        <f t="array" ref="AK31">IF(AI31&lt;0.005,"",IFERROR(INDEX(W31:AH31,MATCH(AI31,ABS(W31:AH31),0)),""))</f>
        <v/>
      </c>
      <c r="AL31">
        <f>IF(R31=1,ABS(L31)-ROW()/100000000,"")</f>
        <v/>
      </c>
    </row>
    <row r="32">
      <c r="A32">
        <f>IF('NPV Comparison'!D45="","",'NPV Comparison'!D45)</f>
        <v/>
      </c>
      <c r="B32">
        <f>IF('NPV Comparison'!E45="","",'NPV Comparison'!E45)</f>
        <v/>
      </c>
      <c r="C32">
        <f>IF('NPV Comparison'!F45="","",'NPV Comparison'!F45)</f>
        <v/>
      </c>
      <c r="D32">
        <f>IF($A32="","",IFERROR(INDEX(Structure!$E$13:$E$312,MATCH($A32,Structure!$P$13:$P$312,0)),""))</f>
        <v/>
      </c>
      <c r="E32">
        <f>IF($A32="",0,IF(COUNTIF(Structure!$P$13:$P$312,$A32)=0,0,IF(COUNTIFS(Structure!$P$13:$P$312,$A32,Structure!$N$13:$N$312,"&lt;&gt;Zero Hours")=0,1,0)))</f>
        <v/>
      </c>
      <c r="F32">
        <f>IF($A32="",0,1-E32)</f>
        <v/>
      </c>
      <c r="G32">
        <f>IF($A32="",0,IF(COUNTIF('New Starters'!$D$14:$D$73,$A32)&gt;0,1,0))</f>
        <v/>
      </c>
      <c r="H32">
        <f>IF($A32="",0,IF(COUNTIF('Leavers'!$D$12:$D$71,$A32)&gt;0,1,0))</f>
        <v/>
      </c>
      <c r="I32">
        <f>IF($A32="","",IFERROR(INDEX('New Starters'!$K$14:$K$73,MATCH($A32,'New Starters'!$D$14:$D$73,0)),IFERROR(INDEX('Leavers'!$K$12:$K$71,MATCH($A32,'Leavers'!$D$12:$D$71,0)),"")))</f>
        <v/>
      </c>
      <c r="J32">
        <f>IF(AND(G32=1,I32&lt;&gt;"",COUNTIF('Leavers'!$K$12:$K$71,I32)&gt;0),1,IF(AND(H32=1,I32&lt;&gt;"",COUNTIF('New Starters'!$K$14:$K$73,I32)&gt;0),1,0))</f>
        <v/>
      </c>
      <c r="K32">
        <f>IF(ISNUMBER(SEARCH("Head Office",D32)),'Control Sheet'!$C$6,'Control Sheet'!$C$5)</f>
        <v/>
      </c>
      <c r="L32">
        <f>IF(OR($A32="",AND(B32="",C32="")),"",IF(B32="",C32,IF(C32="",-B32,C32-B32)))</f>
        <v/>
      </c>
      <c r="M32">
        <f>IFERROR(L32/B32,"")</f>
        <v/>
      </c>
      <c r="N32">
        <f>IF($A32="",0,IF(OR(B32="",C32="",C32=0,AND(ISNUMBER(M32),ABS(M32)&gt;K32)),1,0))</f>
        <v/>
      </c>
      <c r="O32">
        <f>IF(AND(N32=1,ABS(L32)&gt;='Control Sheet'!$C$7,F32=1),1,0)</f>
        <v/>
      </c>
      <c r="P32">
        <f>IF($A32="","",IF(F32=0,"Zero Hours",IF(J32=1,"Explained: Paired transfer",IF(AND(G32=1,H32=0,J32=0),"Explained: Starter",IF(AND(H32=1,G32=0,J32=0),"Explained: Leaver",IF(O32=1,"Review required","OK"))))))</f>
        <v/>
      </c>
      <c r="Q32">
        <f>IF(AND(F32=1,OR(C32="",C32=0),H32=0,J32=0),1,0)</f>
        <v/>
      </c>
      <c r="R32">
        <f>IF(F32=0,0,IF(P32="Review required",1,IF(AND(P32="Explained: Starter",ISNUMBER(C32),C32&gt;=1500),1,0)))</f>
        <v/>
      </c>
      <c r="S32">
        <f>IF(R32=0,"",IF(Q32=1,"High",IF(AND(P32="Explained: Starter",C32&gt;=1500),"High",IF(ABS(L32)&gt;=2000,"High",IF(ABS(L32)&gt;=500,"Medium","Low")))))</f>
        <v/>
      </c>
      <c r="T32">
        <f>SUMIFS('Payment Breakdown Prior'!$S$15:$S$164,'Payment Breakdown Prior'!$AE$15:$AE$164,$A32)</f>
        <v/>
      </c>
      <c r="U32">
        <f>SUMIFS('Payment Breakdown Current'!$S$15:$S$164,'Payment Breakdown Current'!$AE$15:$AE$164,$A32)</f>
        <v/>
      </c>
      <c r="V32">
        <f>IFERROR((U32-T32)/T32,"")</f>
        <v/>
      </c>
      <c r="W32">
        <f>(SUMIFS('Payment Breakdown Current'!$S$15:$S$164,'Payment Breakdown Current'!$AE$15:$AE$164,$A32))-(SUMIFS('Payment Breakdown Prior'!$S$15:$S$164,'Payment Breakdown Prior'!$AE$15:$AE$164,$A32))</f>
        <v/>
      </c>
      <c r="X32">
        <f>(SUMIFS('Payment Breakdown Current'!$T$15:$T$164,'Payment Breakdown Current'!$AE$15:$AE$164,$A32))-(SUMIFS('Payment Breakdown Prior'!$T$15:$T$164,'Payment Breakdown Prior'!$AE$15:$AE$164,$A32))</f>
        <v/>
      </c>
      <c r="Y32">
        <f>(SUMIFS('Payment Breakdown Current'!$U$15:$U$164,'Payment Breakdown Current'!$AE$15:$AE$164,$A32))-(SUMIFS('Payment Breakdown Prior'!$U$15:$U$164,'Payment Breakdown Prior'!$AE$15:$AE$164,$A32))</f>
        <v/>
      </c>
      <c r="Z32">
        <f>(SUMIFS('Payment Breakdown Current'!$V$15:$V$164,'Payment Breakdown Current'!$AE$15:$AE$164,$A32))-(SUMIFS('Payment Breakdown Prior'!$V$15:$V$164,'Payment Breakdown Prior'!$AE$15:$AE$164,$A32))</f>
        <v/>
      </c>
      <c r="AA32">
        <f>(SUMIFS('Payment Breakdown Current'!$W$15:$W$164,'Payment Breakdown Current'!$AE$15:$AE$164,$A32))-(SUMIFS('Payment Breakdown Prior'!$W$15:$W$164,'Payment Breakdown Prior'!$AE$15:$AE$164,$A32))</f>
        <v/>
      </c>
      <c r="AB32">
        <f>(SUMIFS('Payment Breakdown Current'!$X$15:$X$164,'Payment Breakdown Current'!$AE$15:$AE$164,$A32))-(SUMIFS('Payment Breakdown Prior'!$X$15:$X$164,'Payment Breakdown Prior'!$AE$15:$AE$164,$A32))</f>
        <v/>
      </c>
      <c r="AC32">
        <f>(SUMIFS('Payment Breakdown Current'!$Y$15:$Y$164,'Payment Breakdown Current'!$AE$15:$AE$164,$A32))-(SUMIFS('Payment Breakdown Prior'!$Y$15:$Y$164,'Payment Breakdown Prior'!$AE$15:$AE$164,$A32))</f>
        <v/>
      </c>
      <c r="AD32">
        <f>(SUMIFS('Payment Breakdown Current'!$Z$15:$Z$164,'Payment Breakdown Current'!$AE$15:$AE$164,$A32))-(SUMIFS('Payment Breakdown Prior'!$Z$15:$Z$164,'Payment Breakdown Prior'!$AE$15:$AE$164,$A32))</f>
        <v/>
      </c>
      <c r="AE32">
        <f>(SUMIFS('Payment Breakdown Current'!$AA$15:$AA$164,'Payment Breakdown Current'!$AE$15:$AE$164,$A32))-(SUMIFS('Payment Breakdown Prior'!$AA$15:$AA$164,'Payment Breakdown Prior'!$AE$15:$AE$164,$A32))</f>
        <v/>
      </c>
      <c r="AF32">
        <f>(SUMIFS('Payment Breakdown Current'!$AB$15:$AB$164,'Payment Breakdown Current'!$AE$15:$AE$164,$A32))-(SUMIFS('Payment Breakdown Prior'!$AB$15:$AB$164,'Payment Breakdown Prior'!$AE$15:$AE$164,$A32))</f>
        <v/>
      </c>
      <c r="AG32">
        <f>(SUMIFS('Payment Breakdown Current'!$AC$15:$AC$164,'Payment Breakdown Current'!$AE$15:$AE$164,$A32))-(SUMIFS('Payment Breakdown Prior'!$AC$15:$AC$164,'Payment Breakdown Prior'!$AE$15:$AE$164,$A32))</f>
        <v/>
      </c>
      <c r="AH32">
        <f>(SUMIFS('Payment Breakdown Current'!$AD$15:$AD$164,'Payment Breakdown Current'!$AE$15:$AE$164,$A32))-(SUMIFS('Payment Breakdown Prior'!$AD$15:$AD$164,'Payment Breakdown Prior'!$AE$15:$AE$164,$A32))</f>
        <v/>
      </c>
      <c r="AI32">
        <f t="array" ref="AI32">MAX(ABS(W32:AH32))</f>
        <v/>
      </c>
      <c r="AJ32">
        <f t="array" ref="AJ32">IF(AI32&lt;0.005,"",IFERROR(INDEX($W$1:$AH$1,MATCH(AI32,ABS(W32:AH32),0)),""))</f>
        <v/>
      </c>
      <c r="AK32">
        <f t="array" ref="AK32">IF(AI32&lt;0.005,"",IFERROR(INDEX(W32:AH32,MATCH(AI32,ABS(W32:AH32),0)),""))</f>
        <v/>
      </c>
      <c r="AL32">
        <f>IF(R32=1,ABS(L32)-ROW()/100000000,"")</f>
        <v/>
      </c>
    </row>
    <row r="33">
      <c r="A33">
        <f>IF('NPV Comparison'!D46="","",'NPV Comparison'!D46)</f>
        <v/>
      </c>
      <c r="B33">
        <f>IF('NPV Comparison'!E46="","",'NPV Comparison'!E46)</f>
        <v/>
      </c>
      <c r="C33">
        <f>IF('NPV Comparison'!F46="","",'NPV Comparison'!F46)</f>
        <v/>
      </c>
      <c r="D33">
        <f>IF($A33="","",IFERROR(INDEX(Structure!$E$13:$E$312,MATCH($A33,Structure!$P$13:$P$312,0)),""))</f>
        <v/>
      </c>
      <c r="E33">
        <f>IF($A33="",0,IF(COUNTIF(Structure!$P$13:$P$312,$A33)=0,0,IF(COUNTIFS(Structure!$P$13:$P$312,$A33,Structure!$N$13:$N$312,"&lt;&gt;Zero Hours")=0,1,0)))</f>
        <v/>
      </c>
      <c r="F33">
        <f>IF($A33="",0,1-E33)</f>
        <v/>
      </c>
      <c r="G33">
        <f>IF($A33="",0,IF(COUNTIF('New Starters'!$D$14:$D$73,$A33)&gt;0,1,0))</f>
        <v/>
      </c>
      <c r="H33">
        <f>IF($A33="",0,IF(COUNTIF('Leavers'!$D$12:$D$71,$A33)&gt;0,1,0))</f>
        <v/>
      </c>
      <c r="I33">
        <f>IF($A33="","",IFERROR(INDEX('New Starters'!$K$14:$K$73,MATCH($A33,'New Starters'!$D$14:$D$73,0)),IFERROR(INDEX('Leavers'!$K$12:$K$71,MATCH($A33,'Leavers'!$D$12:$D$71,0)),"")))</f>
        <v/>
      </c>
      <c r="J33">
        <f>IF(AND(G33=1,I33&lt;&gt;"",COUNTIF('Leavers'!$K$12:$K$71,I33)&gt;0),1,IF(AND(H33=1,I33&lt;&gt;"",COUNTIF('New Starters'!$K$14:$K$73,I33)&gt;0),1,0))</f>
        <v/>
      </c>
      <c r="K33">
        <f>IF(ISNUMBER(SEARCH("Head Office",D33)),'Control Sheet'!$C$6,'Control Sheet'!$C$5)</f>
        <v/>
      </c>
      <c r="L33">
        <f>IF(OR($A33="",AND(B33="",C33="")),"",IF(B33="",C33,IF(C33="",-B33,C33-B33)))</f>
        <v/>
      </c>
      <c r="M33">
        <f>IFERROR(L33/B33,"")</f>
        <v/>
      </c>
      <c r="N33">
        <f>IF($A33="",0,IF(OR(B33="",C33="",C33=0,AND(ISNUMBER(M33),ABS(M33)&gt;K33)),1,0))</f>
        <v/>
      </c>
      <c r="O33">
        <f>IF(AND(N33=1,ABS(L33)&gt;='Control Sheet'!$C$7,F33=1),1,0)</f>
        <v/>
      </c>
      <c r="P33">
        <f>IF($A33="","",IF(F33=0,"Zero Hours",IF(J33=1,"Explained: Paired transfer",IF(AND(G33=1,H33=0,J33=0),"Explained: Starter",IF(AND(H33=1,G33=0,J33=0),"Explained: Leaver",IF(O33=1,"Review required","OK"))))))</f>
        <v/>
      </c>
      <c r="Q33">
        <f>IF(AND(F33=1,OR(C33="",C33=0),H33=0,J33=0),1,0)</f>
        <v/>
      </c>
      <c r="R33">
        <f>IF(F33=0,0,IF(P33="Review required",1,IF(AND(P33="Explained: Starter",ISNUMBER(C33),C33&gt;=1500),1,0)))</f>
        <v/>
      </c>
      <c r="S33">
        <f>IF(R33=0,"",IF(Q33=1,"High",IF(AND(P33="Explained: Starter",C33&gt;=1500),"High",IF(ABS(L33)&gt;=2000,"High",IF(ABS(L33)&gt;=500,"Medium","Low")))))</f>
        <v/>
      </c>
      <c r="T33">
        <f>SUMIFS('Payment Breakdown Prior'!$S$15:$S$164,'Payment Breakdown Prior'!$AE$15:$AE$164,$A33)</f>
        <v/>
      </c>
      <c r="U33">
        <f>SUMIFS('Payment Breakdown Current'!$S$15:$S$164,'Payment Breakdown Current'!$AE$15:$AE$164,$A33)</f>
        <v/>
      </c>
      <c r="V33">
        <f>IFERROR((U33-T33)/T33,"")</f>
        <v/>
      </c>
      <c r="W33">
        <f>(SUMIFS('Payment Breakdown Current'!$S$15:$S$164,'Payment Breakdown Current'!$AE$15:$AE$164,$A33))-(SUMIFS('Payment Breakdown Prior'!$S$15:$S$164,'Payment Breakdown Prior'!$AE$15:$AE$164,$A33))</f>
        <v/>
      </c>
      <c r="X33">
        <f>(SUMIFS('Payment Breakdown Current'!$T$15:$T$164,'Payment Breakdown Current'!$AE$15:$AE$164,$A33))-(SUMIFS('Payment Breakdown Prior'!$T$15:$T$164,'Payment Breakdown Prior'!$AE$15:$AE$164,$A33))</f>
        <v/>
      </c>
      <c r="Y33">
        <f>(SUMIFS('Payment Breakdown Current'!$U$15:$U$164,'Payment Breakdown Current'!$AE$15:$AE$164,$A33))-(SUMIFS('Payment Breakdown Prior'!$U$15:$U$164,'Payment Breakdown Prior'!$AE$15:$AE$164,$A33))</f>
        <v/>
      </c>
      <c r="Z33">
        <f>(SUMIFS('Payment Breakdown Current'!$V$15:$V$164,'Payment Breakdown Current'!$AE$15:$AE$164,$A33))-(SUMIFS('Payment Breakdown Prior'!$V$15:$V$164,'Payment Breakdown Prior'!$AE$15:$AE$164,$A33))</f>
        <v/>
      </c>
      <c r="AA33">
        <f>(SUMIFS('Payment Breakdown Current'!$W$15:$W$164,'Payment Breakdown Current'!$AE$15:$AE$164,$A33))-(SUMIFS('Payment Breakdown Prior'!$W$15:$W$164,'Payment Breakdown Prior'!$AE$15:$AE$164,$A33))</f>
        <v/>
      </c>
      <c r="AB33">
        <f>(SUMIFS('Payment Breakdown Current'!$X$15:$X$164,'Payment Breakdown Current'!$AE$15:$AE$164,$A33))-(SUMIFS('Payment Breakdown Prior'!$X$15:$X$164,'Payment Breakdown Prior'!$AE$15:$AE$164,$A33))</f>
        <v/>
      </c>
      <c r="AC33">
        <f>(SUMIFS('Payment Breakdown Current'!$Y$15:$Y$164,'Payment Breakdown Current'!$AE$15:$AE$164,$A33))-(SUMIFS('Payment Breakdown Prior'!$Y$15:$Y$164,'Payment Breakdown Prior'!$AE$15:$AE$164,$A33))</f>
        <v/>
      </c>
      <c r="AD33">
        <f>(SUMIFS('Payment Breakdown Current'!$Z$15:$Z$164,'Payment Breakdown Current'!$AE$15:$AE$164,$A33))-(SUMIFS('Payment Breakdown Prior'!$Z$15:$Z$164,'Payment Breakdown Prior'!$AE$15:$AE$164,$A33))</f>
        <v/>
      </c>
      <c r="AE33">
        <f>(SUMIFS('Payment Breakdown Current'!$AA$15:$AA$164,'Payment Breakdown Current'!$AE$15:$AE$164,$A33))-(SUMIFS('Payment Breakdown Prior'!$AA$15:$AA$164,'Payment Breakdown Prior'!$AE$15:$AE$164,$A33))</f>
        <v/>
      </c>
      <c r="AF33">
        <f>(SUMIFS('Payment Breakdown Current'!$AB$15:$AB$164,'Payment Breakdown Current'!$AE$15:$AE$164,$A33))-(SUMIFS('Payment Breakdown Prior'!$AB$15:$AB$164,'Payment Breakdown Prior'!$AE$15:$AE$164,$A33))</f>
        <v/>
      </c>
      <c r="AG33">
        <f>(SUMIFS('Payment Breakdown Current'!$AC$15:$AC$164,'Payment Breakdown Current'!$AE$15:$AE$164,$A33))-(SUMIFS('Payment Breakdown Prior'!$AC$15:$AC$164,'Payment Breakdown Prior'!$AE$15:$AE$164,$A33))</f>
        <v/>
      </c>
      <c r="AH33">
        <f>(SUMIFS('Payment Breakdown Current'!$AD$15:$AD$164,'Payment Breakdown Current'!$AE$15:$AE$164,$A33))-(SUMIFS('Payment Breakdown Prior'!$AD$15:$AD$164,'Payment Breakdown Prior'!$AE$15:$AE$164,$A33))</f>
        <v/>
      </c>
      <c r="AI33">
        <f t="array" ref="AI33">MAX(ABS(W33:AH33))</f>
        <v/>
      </c>
      <c r="AJ33">
        <f t="array" ref="AJ33">IF(AI33&lt;0.005,"",IFERROR(INDEX($W$1:$AH$1,MATCH(AI33,ABS(W33:AH33),0)),""))</f>
        <v/>
      </c>
      <c r="AK33">
        <f t="array" ref="AK33">IF(AI33&lt;0.005,"",IFERROR(INDEX(W33:AH33,MATCH(AI33,ABS(W33:AH33),0)),""))</f>
        <v/>
      </c>
      <c r="AL33">
        <f>IF(R33=1,ABS(L33)-ROW()/100000000,"")</f>
        <v/>
      </c>
    </row>
    <row r="34">
      <c r="A34">
        <f>IF('NPV Comparison'!D47="","",'NPV Comparison'!D47)</f>
        <v/>
      </c>
      <c r="B34">
        <f>IF('NPV Comparison'!E47="","",'NPV Comparison'!E47)</f>
        <v/>
      </c>
      <c r="C34">
        <f>IF('NPV Comparison'!F47="","",'NPV Comparison'!F47)</f>
        <v/>
      </c>
      <c r="D34">
        <f>IF($A34="","",IFERROR(INDEX(Structure!$E$13:$E$312,MATCH($A34,Structure!$P$13:$P$312,0)),""))</f>
        <v/>
      </c>
      <c r="E34">
        <f>IF($A34="",0,IF(COUNTIF(Structure!$P$13:$P$312,$A34)=0,0,IF(COUNTIFS(Structure!$P$13:$P$312,$A34,Structure!$N$13:$N$312,"&lt;&gt;Zero Hours")=0,1,0)))</f>
        <v/>
      </c>
      <c r="F34">
        <f>IF($A34="",0,1-E34)</f>
        <v/>
      </c>
      <c r="G34">
        <f>IF($A34="",0,IF(COUNTIF('New Starters'!$D$14:$D$73,$A34)&gt;0,1,0))</f>
        <v/>
      </c>
      <c r="H34">
        <f>IF($A34="",0,IF(COUNTIF('Leavers'!$D$12:$D$71,$A34)&gt;0,1,0))</f>
        <v/>
      </c>
      <c r="I34">
        <f>IF($A34="","",IFERROR(INDEX('New Starters'!$K$14:$K$73,MATCH($A34,'New Starters'!$D$14:$D$73,0)),IFERROR(INDEX('Leavers'!$K$12:$K$71,MATCH($A34,'Leavers'!$D$12:$D$71,0)),"")))</f>
        <v/>
      </c>
      <c r="J34">
        <f>IF(AND(G34=1,I34&lt;&gt;"",COUNTIF('Leavers'!$K$12:$K$71,I34)&gt;0),1,IF(AND(H34=1,I34&lt;&gt;"",COUNTIF('New Starters'!$K$14:$K$73,I34)&gt;0),1,0))</f>
        <v/>
      </c>
      <c r="K34">
        <f>IF(ISNUMBER(SEARCH("Head Office",D34)),'Control Sheet'!$C$6,'Control Sheet'!$C$5)</f>
        <v/>
      </c>
      <c r="L34">
        <f>IF(OR($A34="",AND(B34="",C34="")),"",IF(B34="",C34,IF(C34="",-B34,C34-B34)))</f>
        <v/>
      </c>
      <c r="M34">
        <f>IFERROR(L34/B34,"")</f>
        <v/>
      </c>
      <c r="N34">
        <f>IF($A34="",0,IF(OR(B34="",C34="",C34=0,AND(ISNUMBER(M34),ABS(M34)&gt;K34)),1,0))</f>
        <v/>
      </c>
      <c r="O34">
        <f>IF(AND(N34=1,ABS(L34)&gt;='Control Sheet'!$C$7,F34=1),1,0)</f>
        <v/>
      </c>
      <c r="P34">
        <f>IF($A34="","",IF(F34=0,"Zero Hours",IF(J34=1,"Explained: Paired transfer",IF(AND(G34=1,H34=0,J34=0),"Explained: Starter",IF(AND(H34=1,G34=0,J34=0),"Explained: Leaver",IF(O34=1,"Review required","OK"))))))</f>
        <v/>
      </c>
      <c r="Q34">
        <f>IF(AND(F34=1,OR(C34="",C34=0),H34=0,J34=0),1,0)</f>
        <v/>
      </c>
      <c r="R34">
        <f>IF(F34=0,0,IF(P34="Review required",1,IF(AND(P34="Explained: Starter",ISNUMBER(C34),C34&gt;=1500),1,0)))</f>
        <v/>
      </c>
      <c r="S34">
        <f>IF(R34=0,"",IF(Q34=1,"High",IF(AND(P34="Explained: Starter",C34&gt;=1500),"High",IF(ABS(L34)&gt;=2000,"High",IF(ABS(L34)&gt;=500,"Medium","Low")))))</f>
        <v/>
      </c>
      <c r="T34">
        <f>SUMIFS('Payment Breakdown Prior'!$S$15:$S$164,'Payment Breakdown Prior'!$AE$15:$AE$164,$A34)</f>
        <v/>
      </c>
      <c r="U34">
        <f>SUMIFS('Payment Breakdown Current'!$S$15:$S$164,'Payment Breakdown Current'!$AE$15:$AE$164,$A34)</f>
        <v/>
      </c>
      <c r="V34">
        <f>IFERROR((U34-T34)/T34,"")</f>
        <v/>
      </c>
      <c r="W34">
        <f>(SUMIFS('Payment Breakdown Current'!$S$15:$S$164,'Payment Breakdown Current'!$AE$15:$AE$164,$A34))-(SUMIFS('Payment Breakdown Prior'!$S$15:$S$164,'Payment Breakdown Prior'!$AE$15:$AE$164,$A34))</f>
        <v/>
      </c>
      <c r="X34">
        <f>(SUMIFS('Payment Breakdown Current'!$T$15:$T$164,'Payment Breakdown Current'!$AE$15:$AE$164,$A34))-(SUMIFS('Payment Breakdown Prior'!$T$15:$T$164,'Payment Breakdown Prior'!$AE$15:$AE$164,$A34))</f>
        <v/>
      </c>
      <c r="Y34">
        <f>(SUMIFS('Payment Breakdown Current'!$U$15:$U$164,'Payment Breakdown Current'!$AE$15:$AE$164,$A34))-(SUMIFS('Payment Breakdown Prior'!$U$15:$U$164,'Payment Breakdown Prior'!$AE$15:$AE$164,$A34))</f>
        <v/>
      </c>
      <c r="Z34">
        <f>(SUMIFS('Payment Breakdown Current'!$V$15:$V$164,'Payment Breakdown Current'!$AE$15:$AE$164,$A34))-(SUMIFS('Payment Breakdown Prior'!$V$15:$V$164,'Payment Breakdown Prior'!$AE$15:$AE$164,$A34))</f>
        <v/>
      </c>
      <c r="AA34">
        <f>(SUMIFS('Payment Breakdown Current'!$W$15:$W$164,'Payment Breakdown Current'!$AE$15:$AE$164,$A34))-(SUMIFS('Payment Breakdown Prior'!$W$15:$W$164,'Payment Breakdown Prior'!$AE$15:$AE$164,$A34))</f>
        <v/>
      </c>
      <c r="AB34">
        <f>(SUMIFS('Payment Breakdown Current'!$X$15:$X$164,'Payment Breakdown Current'!$AE$15:$AE$164,$A34))-(SUMIFS('Payment Breakdown Prior'!$X$15:$X$164,'Payment Breakdown Prior'!$AE$15:$AE$164,$A34))</f>
        <v/>
      </c>
      <c r="AC34">
        <f>(SUMIFS('Payment Breakdown Current'!$Y$15:$Y$164,'Payment Breakdown Current'!$AE$15:$AE$164,$A34))-(SUMIFS('Payment Breakdown Prior'!$Y$15:$Y$164,'Payment Breakdown Prior'!$AE$15:$AE$164,$A34))</f>
        <v/>
      </c>
      <c r="AD34">
        <f>(SUMIFS('Payment Breakdown Current'!$Z$15:$Z$164,'Payment Breakdown Current'!$AE$15:$AE$164,$A34))-(SUMIFS('Payment Breakdown Prior'!$Z$15:$Z$164,'Payment Breakdown Prior'!$AE$15:$AE$164,$A34))</f>
        <v/>
      </c>
      <c r="AE34">
        <f>(SUMIFS('Payment Breakdown Current'!$AA$15:$AA$164,'Payment Breakdown Current'!$AE$15:$AE$164,$A34))-(SUMIFS('Payment Breakdown Prior'!$AA$15:$AA$164,'Payment Breakdown Prior'!$AE$15:$AE$164,$A34))</f>
        <v/>
      </c>
      <c r="AF34">
        <f>(SUMIFS('Payment Breakdown Current'!$AB$15:$AB$164,'Payment Breakdown Current'!$AE$15:$AE$164,$A34))-(SUMIFS('Payment Breakdown Prior'!$AB$15:$AB$164,'Payment Breakdown Prior'!$AE$15:$AE$164,$A34))</f>
        <v/>
      </c>
      <c r="AG34">
        <f>(SUMIFS('Payment Breakdown Current'!$AC$15:$AC$164,'Payment Breakdown Current'!$AE$15:$AE$164,$A34))-(SUMIFS('Payment Breakdown Prior'!$AC$15:$AC$164,'Payment Breakdown Prior'!$AE$15:$AE$164,$A34))</f>
        <v/>
      </c>
      <c r="AH34">
        <f>(SUMIFS('Payment Breakdown Current'!$AD$15:$AD$164,'Payment Breakdown Current'!$AE$15:$AE$164,$A34))-(SUMIFS('Payment Breakdown Prior'!$AD$15:$AD$164,'Payment Breakdown Prior'!$AE$15:$AE$164,$A34))</f>
        <v/>
      </c>
      <c r="AI34">
        <f t="array" ref="AI34">MAX(ABS(W34:AH34))</f>
        <v/>
      </c>
      <c r="AJ34">
        <f t="array" ref="AJ34">IF(AI34&lt;0.005,"",IFERROR(INDEX($W$1:$AH$1,MATCH(AI34,ABS(W34:AH34),0)),""))</f>
        <v/>
      </c>
      <c r="AK34">
        <f t="array" ref="AK34">IF(AI34&lt;0.005,"",IFERROR(INDEX(W34:AH34,MATCH(AI34,ABS(W34:AH34),0)),""))</f>
        <v/>
      </c>
      <c r="AL34">
        <f>IF(R34=1,ABS(L34)-ROW()/100000000,"")</f>
        <v/>
      </c>
    </row>
    <row r="35">
      <c r="A35">
        <f>IF('NPV Comparison'!D48="","",'NPV Comparison'!D48)</f>
        <v/>
      </c>
      <c r="B35">
        <f>IF('NPV Comparison'!E48="","",'NPV Comparison'!E48)</f>
        <v/>
      </c>
      <c r="C35">
        <f>IF('NPV Comparison'!F48="","",'NPV Comparison'!F48)</f>
        <v/>
      </c>
      <c r="D35">
        <f>IF($A35="","",IFERROR(INDEX(Structure!$E$13:$E$312,MATCH($A35,Structure!$P$13:$P$312,0)),""))</f>
        <v/>
      </c>
      <c r="E35">
        <f>IF($A35="",0,IF(COUNTIF(Structure!$P$13:$P$312,$A35)=0,0,IF(COUNTIFS(Structure!$P$13:$P$312,$A35,Structure!$N$13:$N$312,"&lt;&gt;Zero Hours")=0,1,0)))</f>
        <v/>
      </c>
      <c r="F35">
        <f>IF($A35="",0,1-E35)</f>
        <v/>
      </c>
      <c r="G35">
        <f>IF($A35="",0,IF(COUNTIF('New Starters'!$D$14:$D$73,$A35)&gt;0,1,0))</f>
        <v/>
      </c>
      <c r="H35">
        <f>IF($A35="",0,IF(COUNTIF('Leavers'!$D$12:$D$71,$A35)&gt;0,1,0))</f>
        <v/>
      </c>
      <c r="I35">
        <f>IF($A35="","",IFERROR(INDEX('New Starters'!$K$14:$K$73,MATCH($A35,'New Starters'!$D$14:$D$73,0)),IFERROR(INDEX('Leavers'!$K$12:$K$71,MATCH($A35,'Leavers'!$D$12:$D$71,0)),"")))</f>
        <v/>
      </c>
      <c r="J35">
        <f>IF(AND(G35=1,I35&lt;&gt;"",COUNTIF('Leavers'!$K$12:$K$71,I35)&gt;0),1,IF(AND(H35=1,I35&lt;&gt;"",COUNTIF('New Starters'!$K$14:$K$73,I35)&gt;0),1,0))</f>
        <v/>
      </c>
      <c r="K35">
        <f>IF(ISNUMBER(SEARCH("Head Office",D35)),'Control Sheet'!$C$6,'Control Sheet'!$C$5)</f>
        <v/>
      </c>
      <c r="L35">
        <f>IF(OR($A35="",AND(B35="",C35="")),"",IF(B35="",C35,IF(C35="",-B35,C35-B35)))</f>
        <v/>
      </c>
      <c r="M35">
        <f>IFERROR(L35/B35,"")</f>
        <v/>
      </c>
      <c r="N35">
        <f>IF($A35="",0,IF(OR(B35="",C35="",C35=0,AND(ISNUMBER(M35),ABS(M35)&gt;K35)),1,0))</f>
        <v/>
      </c>
      <c r="O35">
        <f>IF(AND(N35=1,ABS(L35)&gt;='Control Sheet'!$C$7,F35=1),1,0)</f>
        <v/>
      </c>
      <c r="P35">
        <f>IF($A35="","",IF(F35=0,"Zero Hours",IF(J35=1,"Explained: Paired transfer",IF(AND(G35=1,H35=0,J35=0),"Explained: Starter",IF(AND(H35=1,G35=0,J35=0),"Explained: Leaver",IF(O35=1,"Review required","OK"))))))</f>
        <v/>
      </c>
      <c r="Q35">
        <f>IF(AND(F35=1,OR(C35="",C35=0),H35=0,J35=0),1,0)</f>
        <v/>
      </c>
      <c r="R35">
        <f>IF(F35=0,0,IF(P35="Review required",1,IF(AND(P35="Explained: Starter",ISNUMBER(C35),C35&gt;=1500),1,0)))</f>
        <v/>
      </c>
      <c r="S35">
        <f>IF(R35=0,"",IF(Q35=1,"High",IF(AND(P35="Explained: Starter",C35&gt;=1500),"High",IF(ABS(L35)&gt;=2000,"High",IF(ABS(L35)&gt;=500,"Medium","Low")))))</f>
        <v/>
      </c>
      <c r="T35">
        <f>SUMIFS('Payment Breakdown Prior'!$S$15:$S$164,'Payment Breakdown Prior'!$AE$15:$AE$164,$A35)</f>
        <v/>
      </c>
      <c r="U35">
        <f>SUMIFS('Payment Breakdown Current'!$S$15:$S$164,'Payment Breakdown Current'!$AE$15:$AE$164,$A35)</f>
        <v/>
      </c>
      <c r="V35">
        <f>IFERROR((U35-T35)/T35,"")</f>
        <v/>
      </c>
      <c r="W35">
        <f>(SUMIFS('Payment Breakdown Current'!$S$15:$S$164,'Payment Breakdown Current'!$AE$15:$AE$164,$A35))-(SUMIFS('Payment Breakdown Prior'!$S$15:$S$164,'Payment Breakdown Prior'!$AE$15:$AE$164,$A35))</f>
        <v/>
      </c>
      <c r="X35">
        <f>(SUMIFS('Payment Breakdown Current'!$T$15:$T$164,'Payment Breakdown Current'!$AE$15:$AE$164,$A35))-(SUMIFS('Payment Breakdown Prior'!$T$15:$T$164,'Payment Breakdown Prior'!$AE$15:$AE$164,$A35))</f>
        <v/>
      </c>
      <c r="Y35">
        <f>(SUMIFS('Payment Breakdown Current'!$U$15:$U$164,'Payment Breakdown Current'!$AE$15:$AE$164,$A35))-(SUMIFS('Payment Breakdown Prior'!$U$15:$U$164,'Payment Breakdown Prior'!$AE$15:$AE$164,$A35))</f>
        <v/>
      </c>
      <c r="Z35">
        <f>(SUMIFS('Payment Breakdown Current'!$V$15:$V$164,'Payment Breakdown Current'!$AE$15:$AE$164,$A35))-(SUMIFS('Payment Breakdown Prior'!$V$15:$V$164,'Payment Breakdown Prior'!$AE$15:$AE$164,$A35))</f>
        <v/>
      </c>
      <c r="AA35">
        <f>(SUMIFS('Payment Breakdown Current'!$W$15:$W$164,'Payment Breakdown Current'!$AE$15:$AE$164,$A35))-(SUMIFS('Payment Breakdown Prior'!$W$15:$W$164,'Payment Breakdown Prior'!$AE$15:$AE$164,$A35))</f>
        <v/>
      </c>
      <c r="AB35">
        <f>(SUMIFS('Payment Breakdown Current'!$X$15:$X$164,'Payment Breakdown Current'!$AE$15:$AE$164,$A35))-(SUMIFS('Payment Breakdown Prior'!$X$15:$X$164,'Payment Breakdown Prior'!$AE$15:$AE$164,$A35))</f>
        <v/>
      </c>
      <c r="AC35">
        <f>(SUMIFS('Payment Breakdown Current'!$Y$15:$Y$164,'Payment Breakdown Current'!$AE$15:$AE$164,$A35))-(SUMIFS('Payment Breakdown Prior'!$Y$15:$Y$164,'Payment Breakdown Prior'!$AE$15:$AE$164,$A35))</f>
        <v/>
      </c>
      <c r="AD35">
        <f>(SUMIFS('Payment Breakdown Current'!$Z$15:$Z$164,'Payment Breakdown Current'!$AE$15:$AE$164,$A35))-(SUMIFS('Payment Breakdown Prior'!$Z$15:$Z$164,'Payment Breakdown Prior'!$AE$15:$AE$164,$A35))</f>
        <v/>
      </c>
      <c r="AE35">
        <f>(SUMIFS('Payment Breakdown Current'!$AA$15:$AA$164,'Payment Breakdown Current'!$AE$15:$AE$164,$A35))-(SUMIFS('Payment Breakdown Prior'!$AA$15:$AA$164,'Payment Breakdown Prior'!$AE$15:$AE$164,$A35))</f>
        <v/>
      </c>
      <c r="AF35">
        <f>(SUMIFS('Payment Breakdown Current'!$AB$15:$AB$164,'Payment Breakdown Current'!$AE$15:$AE$164,$A35))-(SUMIFS('Payment Breakdown Prior'!$AB$15:$AB$164,'Payment Breakdown Prior'!$AE$15:$AE$164,$A35))</f>
        <v/>
      </c>
      <c r="AG35">
        <f>(SUMIFS('Payment Breakdown Current'!$AC$15:$AC$164,'Payment Breakdown Current'!$AE$15:$AE$164,$A35))-(SUMIFS('Payment Breakdown Prior'!$AC$15:$AC$164,'Payment Breakdown Prior'!$AE$15:$AE$164,$A35))</f>
        <v/>
      </c>
      <c r="AH35">
        <f>(SUMIFS('Payment Breakdown Current'!$AD$15:$AD$164,'Payment Breakdown Current'!$AE$15:$AE$164,$A35))-(SUMIFS('Payment Breakdown Prior'!$AD$15:$AD$164,'Payment Breakdown Prior'!$AE$15:$AE$164,$A35))</f>
        <v/>
      </c>
      <c r="AI35">
        <f t="array" ref="AI35">MAX(ABS(W35:AH35))</f>
        <v/>
      </c>
      <c r="AJ35">
        <f t="array" ref="AJ35">IF(AI35&lt;0.005,"",IFERROR(INDEX($W$1:$AH$1,MATCH(AI35,ABS(W35:AH35),0)),""))</f>
        <v/>
      </c>
      <c r="AK35">
        <f t="array" ref="AK35">IF(AI35&lt;0.005,"",IFERROR(INDEX(W35:AH35,MATCH(AI35,ABS(W35:AH35),0)),""))</f>
        <v/>
      </c>
      <c r="AL35">
        <f>IF(R35=1,ABS(L35)-ROW()/100000000,"")</f>
        <v/>
      </c>
    </row>
    <row r="36">
      <c r="A36">
        <f>IF('NPV Comparison'!D49="","",'NPV Comparison'!D49)</f>
        <v/>
      </c>
      <c r="B36">
        <f>IF('NPV Comparison'!E49="","",'NPV Comparison'!E49)</f>
        <v/>
      </c>
      <c r="C36">
        <f>IF('NPV Comparison'!F49="","",'NPV Comparison'!F49)</f>
        <v/>
      </c>
      <c r="D36">
        <f>IF($A36="","",IFERROR(INDEX(Structure!$E$13:$E$312,MATCH($A36,Structure!$P$13:$P$312,0)),""))</f>
        <v/>
      </c>
      <c r="E36">
        <f>IF($A36="",0,IF(COUNTIF(Structure!$P$13:$P$312,$A36)=0,0,IF(COUNTIFS(Structure!$P$13:$P$312,$A36,Structure!$N$13:$N$312,"&lt;&gt;Zero Hours")=0,1,0)))</f>
        <v/>
      </c>
      <c r="F36">
        <f>IF($A36="",0,1-E36)</f>
        <v/>
      </c>
      <c r="G36">
        <f>IF($A36="",0,IF(COUNTIF('New Starters'!$D$14:$D$73,$A36)&gt;0,1,0))</f>
        <v/>
      </c>
      <c r="H36">
        <f>IF($A36="",0,IF(COUNTIF('Leavers'!$D$12:$D$71,$A36)&gt;0,1,0))</f>
        <v/>
      </c>
      <c r="I36">
        <f>IF($A36="","",IFERROR(INDEX('New Starters'!$K$14:$K$73,MATCH($A36,'New Starters'!$D$14:$D$73,0)),IFERROR(INDEX('Leavers'!$K$12:$K$71,MATCH($A36,'Leavers'!$D$12:$D$71,0)),"")))</f>
        <v/>
      </c>
      <c r="J36">
        <f>IF(AND(G36=1,I36&lt;&gt;"",COUNTIF('Leavers'!$K$12:$K$71,I36)&gt;0),1,IF(AND(H36=1,I36&lt;&gt;"",COUNTIF('New Starters'!$K$14:$K$73,I36)&gt;0),1,0))</f>
        <v/>
      </c>
      <c r="K36">
        <f>IF(ISNUMBER(SEARCH("Head Office",D36)),'Control Sheet'!$C$6,'Control Sheet'!$C$5)</f>
        <v/>
      </c>
      <c r="L36">
        <f>IF(OR($A36="",AND(B36="",C36="")),"",IF(B36="",C36,IF(C36="",-B36,C36-B36)))</f>
        <v/>
      </c>
      <c r="M36">
        <f>IFERROR(L36/B36,"")</f>
        <v/>
      </c>
      <c r="N36">
        <f>IF($A36="",0,IF(OR(B36="",C36="",C36=0,AND(ISNUMBER(M36),ABS(M36)&gt;K36)),1,0))</f>
        <v/>
      </c>
      <c r="O36">
        <f>IF(AND(N36=1,ABS(L36)&gt;='Control Sheet'!$C$7,F36=1),1,0)</f>
        <v/>
      </c>
      <c r="P36">
        <f>IF($A36="","",IF(F36=0,"Zero Hours",IF(J36=1,"Explained: Paired transfer",IF(AND(G36=1,H36=0,J36=0),"Explained: Starter",IF(AND(H36=1,G36=0,J36=0),"Explained: Leaver",IF(O36=1,"Review required","OK"))))))</f>
        <v/>
      </c>
      <c r="Q36">
        <f>IF(AND(F36=1,OR(C36="",C36=0),H36=0,J36=0),1,0)</f>
        <v/>
      </c>
      <c r="R36">
        <f>IF(F36=0,0,IF(P36="Review required",1,IF(AND(P36="Explained: Starter",ISNUMBER(C36),C36&gt;=1500),1,0)))</f>
        <v/>
      </c>
      <c r="S36">
        <f>IF(R36=0,"",IF(Q36=1,"High",IF(AND(P36="Explained: Starter",C36&gt;=1500),"High",IF(ABS(L36)&gt;=2000,"High",IF(ABS(L36)&gt;=500,"Medium","Low")))))</f>
        <v/>
      </c>
      <c r="T36">
        <f>SUMIFS('Payment Breakdown Prior'!$S$15:$S$164,'Payment Breakdown Prior'!$AE$15:$AE$164,$A36)</f>
        <v/>
      </c>
      <c r="U36">
        <f>SUMIFS('Payment Breakdown Current'!$S$15:$S$164,'Payment Breakdown Current'!$AE$15:$AE$164,$A36)</f>
        <v/>
      </c>
      <c r="V36">
        <f>IFERROR((U36-T36)/T36,"")</f>
        <v/>
      </c>
      <c r="W36">
        <f>(SUMIFS('Payment Breakdown Current'!$S$15:$S$164,'Payment Breakdown Current'!$AE$15:$AE$164,$A36))-(SUMIFS('Payment Breakdown Prior'!$S$15:$S$164,'Payment Breakdown Prior'!$AE$15:$AE$164,$A36))</f>
        <v/>
      </c>
      <c r="X36">
        <f>(SUMIFS('Payment Breakdown Current'!$T$15:$T$164,'Payment Breakdown Current'!$AE$15:$AE$164,$A36))-(SUMIFS('Payment Breakdown Prior'!$T$15:$T$164,'Payment Breakdown Prior'!$AE$15:$AE$164,$A36))</f>
        <v/>
      </c>
      <c r="Y36">
        <f>(SUMIFS('Payment Breakdown Current'!$U$15:$U$164,'Payment Breakdown Current'!$AE$15:$AE$164,$A36))-(SUMIFS('Payment Breakdown Prior'!$U$15:$U$164,'Payment Breakdown Prior'!$AE$15:$AE$164,$A36))</f>
        <v/>
      </c>
      <c r="Z36">
        <f>(SUMIFS('Payment Breakdown Current'!$V$15:$V$164,'Payment Breakdown Current'!$AE$15:$AE$164,$A36))-(SUMIFS('Payment Breakdown Prior'!$V$15:$V$164,'Payment Breakdown Prior'!$AE$15:$AE$164,$A36))</f>
        <v/>
      </c>
      <c r="AA36">
        <f>(SUMIFS('Payment Breakdown Current'!$W$15:$W$164,'Payment Breakdown Current'!$AE$15:$AE$164,$A36))-(SUMIFS('Payment Breakdown Prior'!$W$15:$W$164,'Payment Breakdown Prior'!$AE$15:$AE$164,$A36))</f>
        <v/>
      </c>
      <c r="AB36">
        <f>(SUMIFS('Payment Breakdown Current'!$X$15:$X$164,'Payment Breakdown Current'!$AE$15:$AE$164,$A36))-(SUMIFS('Payment Breakdown Prior'!$X$15:$X$164,'Payment Breakdown Prior'!$AE$15:$AE$164,$A36))</f>
        <v/>
      </c>
      <c r="AC36">
        <f>(SUMIFS('Payment Breakdown Current'!$Y$15:$Y$164,'Payment Breakdown Current'!$AE$15:$AE$164,$A36))-(SUMIFS('Payment Breakdown Prior'!$Y$15:$Y$164,'Payment Breakdown Prior'!$AE$15:$AE$164,$A36))</f>
        <v/>
      </c>
      <c r="AD36">
        <f>(SUMIFS('Payment Breakdown Current'!$Z$15:$Z$164,'Payment Breakdown Current'!$AE$15:$AE$164,$A36))-(SUMIFS('Payment Breakdown Prior'!$Z$15:$Z$164,'Payment Breakdown Prior'!$AE$15:$AE$164,$A36))</f>
        <v/>
      </c>
      <c r="AE36">
        <f>(SUMIFS('Payment Breakdown Current'!$AA$15:$AA$164,'Payment Breakdown Current'!$AE$15:$AE$164,$A36))-(SUMIFS('Payment Breakdown Prior'!$AA$15:$AA$164,'Payment Breakdown Prior'!$AE$15:$AE$164,$A36))</f>
        <v/>
      </c>
      <c r="AF36">
        <f>(SUMIFS('Payment Breakdown Current'!$AB$15:$AB$164,'Payment Breakdown Current'!$AE$15:$AE$164,$A36))-(SUMIFS('Payment Breakdown Prior'!$AB$15:$AB$164,'Payment Breakdown Prior'!$AE$15:$AE$164,$A36))</f>
        <v/>
      </c>
      <c r="AG36">
        <f>(SUMIFS('Payment Breakdown Current'!$AC$15:$AC$164,'Payment Breakdown Current'!$AE$15:$AE$164,$A36))-(SUMIFS('Payment Breakdown Prior'!$AC$15:$AC$164,'Payment Breakdown Prior'!$AE$15:$AE$164,$A36))</f>
        <v/>
      </c>
      <c r="AH36">
        <f>(SUMIFS('Payment Breakdown Current'!$AD$15:$AD$164,'Payment Breakdown Current'!$AE$15:$AE$164,$A36))-(SUMIFS('Payment Breakdown Prior'!$AD$15:$AD$164,'Payment Breakdown Prior'!$AE$15:$AE$164,$A36))</f>
        <v/>
      </c>
      <c r="AI36">
        <f t="array" ref="AI36">MAX(ABS(W36:AH36))</f>
        <v/>
      </c>
      <c r="AJ36">
        <f t="array" ref="AJ36">IF(AI36&lt;0.005,"",IFERROR(INDEX($W$1:$AH$1,MATCH(AI36,ABS(W36:AH36),0)),""))</f>
        <v/>
      </c>
      <c r="AK36">
        <f t="array" ref="AK36">IF(AI36&lt;0.005,"",IFERROR(INDEX(W36:AH36,MATCH(AI36,ABS(W36:AH36),0)),""))</f>
        <v/>
      </c>
      <c r="AL36">
        <f>IF(R36=1,ABS(L36)-ROW()/100000000,"")</f>
        <v/>
      </c>
    </row>
    <row r="37">
      <c r="A37">
        <f>IF('NPV Comparison'!D50="","",'NPV Comparison'!D50)</f>
        <v/>
      </c>
      <c r="B37">
        <f>IF('NPV Comparison'!E50="","",'NPV Comparison'!E50)</f>
        <v/>
      </c>
      <c r="C37">
        <f>IF('NPV Comparison'!F50="","",'NPV Comparison'!F50)</f>
        <v/>
      </c>
      <c r="D37">
        <f>IF($A37="","",IFERROR(INDEX(Structure!$E$13:$E$312,MATCH($A37,Structure!$P$13:$P$312,0)),""))</f>
        <v/>
      </c>
      <c r="E37">
        <f>IF($A37="",0,IF(COUNTIF(Structure!$P$13:$P$312,$A37)=0,0,IF(COUNTIFS(Structure!$P$13:$P$312,$A37,Structure!$N$13:$N$312,"&lt;&gt;Zero Hours")=0,1,0)))</f>
        <v/>
      </c>
      <c r="F37">
        <f>IF($A37="",0,1-E37)</f>
        <v/>
      </c>
      <c r="G37">
        <f>IF($A37="",0,IF(COUNTIF('New Starters'!$D$14:$D$73,$A37)&gt;0,1,0))</f>
        <v/>
      </c>
      <c r="H37">
        <f>IF($A37="",0,IF(COUNTIF('Leavers'!$D$12:$D$71,$A37)&gt;0,1,0))</f>
        <v/>
      </c>
      <c r="I37">
        <f>IF($A37="","",IFERROR(INDEX('New Starters'!$K$14:$K$73,MATCH($A37,'New Starters'!$D$14:$D$73,0)),IFERROR(INDEX('Leavers'!$K$12:$K$71,MATCH($A37,'Leavers'!$D$12:$D$71,0)),"")))</f>
        <v/>
      </c>
      <c r="J37">
        <f>IF(AND(G37=1,I37&lt;&gt;"",COUNTIF('Leavers'!$K$12:$K$71,I37)&gt;0),1,IF(AND(H37=1,I37&lt;&gt;"",COUNTIF('New Starters'!$K$14:$K$73,I37)&gt;0),1,0))</f>
        <v/>
      </c>
      <c r="K37">
        <f>IF(ISNUMBER(SEARCH("Head Office",D37)),'Control Sheet'!$C$6,'Control Sheet'!$C$5)</f>
        <v/>
      </c>
      <c r="L37">
        <f>IF(OR($A37="",AND(B37="",C37="")),"",IF(B37="",C37,IF(C37="",-B37,C37-B37)))</f>
        <v/>
      </c>
      <c r="M37">
        <f>IFERROR(L37/B37,"")</f>
        <v/>
      </c>
      <c r="N37">
        <f>IF($A37="",0,IF(OR(B37="",C37="",C37=0,AND(ISNUMBER(M37),ABS(M37)&gt;K37)),1,0))</f>
        <v/>
      </c>
      <c r="O37">
        <f>IF(AND(N37=1,ABS(L37)&gt;='Control Sheet'!$C$7,F37=1),1,0)</f>
        <v/>
      </c>
      <c r="P37">
        <f>IF($A37="","",IF(F37=0,"Zero Hours",IF(J37=1,"Explained: Paired transfer",IF(AND(G37=1,H37=0,J37=0),"Explained: Starter",IF(AND(H37=1,G37=0,J37=0),"Explained: Leaver",IF(O37=1,"Review required","OK"))))))</f>
        <v/>
      </c>
      <c r="Q37">
        <f>IF(AND(F37=1,OR(C37="",C37=0),H37=0,J37=0),1,0)</f>
        <v/>
      </c>
      <c r="R37">
        <f>IF(F37=0,0,IF(P37="Review required",1,IF(AND(P37="Explained: Starter",ISNUMBER(C37),C37&gt;=1500),1,0)))</f>
        <v/>
      </c>
      <c r="S37">
        <f>IF(R37=0,"",IF(Q37=1,"High",IF(AND(P37="Explained: Starter",C37&gt;=1500),"High",IF(ABS(L37)&gt;=2000,"High",IF(ABS(L37)&gt;=500,"Medium","Low")))))</f>
        <v/>
      </c>
      <c r="T37">
        <f>SUMIFS('Payment Breakdown Prior'!$S$15:$S$164,'Payment Breakdown Prior'!$AE$15:$AE$164,$A37)</f>
        <v/>
      </c>
      <c r="U37">
        <f>SUMIFS('Payment Breakdown Current'!$S$15:$S$164,'Payment Breakdown Current'!$AE$15:$AE$164,$A37)</f>
        <v/>
      </c>
      <c r="V37">
        <f>IFERROR((U37-T37)/T37,"")</f>
        <v/>
      </c>
      <c r="W37">
        <f>(SUMIFS('Payment Breakdown Current'!$S$15:$S$164,'Payment Breakdown Current'!$AE$15:$AE$164,$A37))-(SUMIFS('Payment Breakdown Prior'!$S$15:$S$164,'Payment Breakdown Prior'!$AE$15:$AE$164,$A37))</f>
        <v/>
      </c>
      <c r="X37">
        <f>(SUMIFS('Payment Breakdown Current'!$T$15:$T$164,'Payment Breakdown Current'!$AE$15:$AE$164,$A37))-(SUMIFS('Payment Breakdown Prior'!$T$15:$T$164,'Payment Breakdown Prior'!$AE$15:$AE$164,$A37))</f>
        <v/>
      </c>
      <c r="Y37">
        <f>(SUMIFS('Payment Breakdown Current'!$U$15:$U$164,'Payment Breakdown Current'!$AE$15:$AE$164,$A37))-(SUMIFS('Payment Breakdown Prior'!$U$15:$U$164,'Payment Breakdown Prior'!$AE$15:$AE$164,$A37))</f>
        <v/>
      </c>
      <c r="Z37">
        <f>(SUMIFS('Payment Breakdown Current'!$V$15:$V$164,'Payment Breakdown Current'!$AE$15:$AE$164,$A37))-(SUMIFS('Payment Breakdown Prior'!$V$15:$V$164,'Payment Breakdown Prior'!$AE$15:$AE$164,$A37))</f>
        <v/>
      </c>
      <c r="AA37">
        <f>(SUMIFS('Payment Breakdown Current'!$W$15:$W$164,'Payment Breakdown Current'!$AE$15:$AE$164,$A37))-(SUMIFS('Payment Breakdown Prior'!$W$15:$W$164,'Payment Breakdown Prior'!$AE$15:$AE$164,$A37))</f>
        <v/>
      </c>
      <c r="AB37">
        <f>(SUMIFS('Payment Breakdown Current'!$X$15:$X$164,'Payment Breakdown Current'!$AE$15:$AE$164,$A37))-(SUMIFS('Payment Breakdown Prior'!$X$15:$X$164,'Payment Breakdown Prior'!$AE$15:$AE$164,$A37))</f>
        <v/>
      </c>
      <c r="AC37">
        <f>(SUMIFS('Payment Breakdown Current'!$Y$15:$Y$164,'Payment Breakdown Current'!$AE$15:$AE$164,$A37))-(SUMIFS('Payment Breakdown Prior'!$Y$15:$Y$164,'Payment Breakdown Prior'!$AE$15:$AE$164,$A37))</f>
        <v/>
      </c>
      <c r="AD37">
        <f>(SUMIFS('Payment Breakdown Current'!$Z$15:$Z$164,'Payment Breakdown Current'!$AE$15:$AE$164,$A37))-(SUMIFS('Payment Breakdown Prior'!$Z$15:$Z$164,'Payment Breakdown Prior'!$AE$15:$AE$164,$A37))</f>
        <v/>
      </c>
      <c r="AE37">
        <f>(SUMIFS('Payment Breakdown Current'!$AA$15:$AA$164,'Payment Breakdown Current'!$AE$15:$AE$164,$A37))-(SUMIFS('Payment Breakdown Prior'!$AA$15:$AA$164,'Payment Breakdown Prior'!$AE$15:$AE$164,$A37))</f>
        <v/>
      </c>
      <c r="AF37">
        <f>(SUMIFS('Payment Breakdown Current'!$AB$15:$AB$164,'Payment Breakdown Current'!$AE$15:$AE$164,$A37))-(SUMIFS('Payment Breakdown Prior'!$AB$15:$AB$164,'Payment Breakdown Prior'!$AE$15:$AE$164,$A37))</f>
        <v/>
      </c>
      <c r="AG37">
        <f>(SUMIFS('Payment Breakdown Current'!$AC$15:$AC$164,'Payment Breakdown Current'!$AE$15:$AE$164,$A37))-(SUMIFS('Payment Breakdown Prior'!$AC$15:$AC$164,'Payment Breakdown Prior'!$AE$15:$AE$164,$A37))</f>
        <v/>
      </c>
      <c r="AH37">
        <f>(SUMIFS('Payment Breakdown Current'!$AD$15:$AD$164,'Payment Breakdown Current'!$AE$15:$AE$164,$A37))-(SUMIFS('Payment Breakdown Prior'!$AD$15:$AD$164,'Payment Breakdown Prior'!$AE$15:$AE$164,$A37))</f>
        <v/>
      </c>
      <c r="AI37">
        <f t="array" ref="AI37">MAX(ABS(W37:AH37))</f>
        <v/>
      </c>
      <c r="AJ37">
        <f t="array" ref="AJ37">IF(AI37&lt;0.005,"",IFERROR(INDEX($W$1:$AH$1,MATCH(AI37,ABS(W37:AH37),0)),""))</f>
        <v/>
      </c>
      <c r="AK37">
        <f t="array" ref="AK37">IF(AI37&lt;0.005,"",IFERROR(INDEX(W37:AH37,MATCH(AI37,ABS(W37:AH37),0)),""))</f>
        <v/>
      </c>
      <c r="AL37">
        <f>IF(R37=1,ABS(L37)-ROW()/100000000,"")</f>
        <v/>
      </c>
    </row>
    <row r="38">
      <c r="A38">
        <f>IF('NPV Comparison'!D51="","",'NPV Comparison'!D51)</f>
        <v/>
      </c>
      <c r="B38">
        <f>IF('NPV Comparison'!E51="","",'NPV Comparison'!E51)</f>
        <v/>
      </c>
      <c r="C38">
        <f>IF('NPV Comparison'!F51="","",'NPV Comparison'!F51)</f>
        <v/>
      </c>
      <c r="D38">
        <f>IF($A38="","",IFERROR(INDEX(Structure!$E$13:$E$312,MATCH($A38,Structure!$P$13:$P$312,0)),""))</f>
        <v/>
      </c>
      <c r="E38">
        <f>IF($A38="",0,IF(COUNTIF(Structure!$P$13:$P$312,$A38)=0,0,IF(COUNTIFS(Structure!$P$13:$P$312,$A38,Structure!$N$13:$N$312,"&lt;&gt;Zero Hours")=0,1,0)))</f>
        <v/>
      </c>
      <c r="F38">
        <f>IF($A38="",0,1-E38)</f>
        <v/>
      </c>
      <c r="G38">
        <f>IF($A38="",0,IF(COUNTIF('New Starters'!$D$14:$D$73,$A38)&gt;0,1,0))</f>
        <v/>
      </c>
      <c r="H38">
        <f>IF($A38="",0,IF(COUNTIF('Leavers'!$D$12:$D$71,$A38)&gt;0,1,0))</f>
        <v/>
      </c>
      <c r="I38">
        <f>IF($A38="","",IFERROR(INDEX('New Starters'!$K$14:$K$73,MATCH($A38,'New Starters'!$D$14:$D$73,0)),IFERROR(INDEX('Leavers'!$K$12:$K$71,MATCH($A38,'Leavers'!$D$12:$D$71,0)),"")))</f>
        <v/>
      </c>
      <c r="J38">
        <f>IF(AND(G38=1,I38&lt;&gt;"",COUNTIF('Leavers'!$K$12:$K$71,I38)&gt;0),1,IF(AND(H38=1,I38&lt;&gt;"",COUNTIF('New Starters'!$K$14:$K$73,I38)&gt;0),1,0))</f>
        <v/>
      </c>
      <c r="K38">
        <f>IF(ISNUMBER(SEARCH("Head Office",D38)),'Control Sheet'!$C$6,'Control Sheet'!$C$5)</f>
        <v/>
      </c>
      <c r="L38">
        <f>IF(OR($A38="",AND(B38="",C38="")),"",IF(B38="",C38,IF(C38="",-B38,C38-B38)))</f>
        <v/>
      </c>
      <c r="M38">
        <f>IFERROR(L38/B38,"")</f>
        <v/>
      </c>
      <c r="N38">
        <f>IF($A38="",0,IF(OR(B38="",C38="",C38=0,AND(ISNUMBER(M38),ABS(M38)&gt;K38)),1,0))</f>
        <v/>
      </c>
      <c r="O38">
        <f>IF(AND(N38=1,ABS(L38)&gt;='Control Sheet'!$C$7,F38=1),1,0)</f>
        <v/>
      </c>
      <c r="P38">
        <f>IF($A38="","",IF(F38=0,"Zero Hours",IF(J38=1,"Explained: Paired transfer",IF(AND(G38=1,H38=0,J38=0),"Explained: Starter",IF(AND(H38=1,G38=0,J38=0),"Explained: Leaver",IF(O38=1,"Review required","OK"))))))</f>
        <v/>
      </c>
      <c r="Q38">
        <f>IF(AND(F38=1,OR(C38="",C38=0),H38=0,J38=0),1,0)</f>
        <v/>
      </c>
      <c r="R38">
        <f>IF(F38=0,0,IF(P38="Review required",1,IF(AND(P38="Explained: Starter",ISNUMBER(C38),C38&gt;=1500),1,0)))</f>
        <v/>
      </c>
      <c r="S38">
        <f>IF(R38=0,"",IF(Q38=1,"High",IF(AND(P38="Explained: Starter",C38&gt;=1500),"High",IF(ABS(L38)&gt;=2000,"High",IF(ABS(L38)&gt;=500,"Medium","Low")))))</f>
        <v/>
      </c>
      <c r="T38">
        <f>SUMIFS('Payment Breakdown Prior'!$S$15:$S$164,'Payment Breakdown Prior'!$AE$15:$AE$164,$A38)</f>
        <v/>
      </c>
      <c r="U38">
        <f>SUMIFS('Payment Breakdown Current'!$S$15:$S$164,'Payment Breakdown Current'!$AE$15:$AE$164,$A38)</f>
        <v/>
      </c>
      <c r="V38">
        <f>IFERROR((U38-T38)/T38,"")</f>
        <v/>
      </c>
      <c r="W38">
        <f>(SUMIFS('Payment Breakdown Current'!$S$15:$S$164,'Payment Breakdown Current'!$AE$15:$AE$164,$A38))-(SUMIFS('Payment Breakdown Prior'!$S$15:$S$164,'Payment Breakdown Prior'!$AE$15:$AE$164,$A38))</f>
        <v/>
      </c>
      <c r="X38">
        <f>(SUMIFS('Payment Breakdown Current'!$T$15:$T$164,'Payment Breakdown Current'!$AE$15:$AE$164,$A38))-(SUMIFS('Payment Breakdown Prior'!$T$15:$T$164,'Payment Breakdown Prior'!$AE$15:$AE$164,$A38))</f>
        <v/>
      </c>
      <c r="Y38">
        <f>(SUMIFS('Payment Breakdown Current'!$U$15:$U$164,'Payment Breakdown Current'!$AE$15:$AE$164,$A38))-(SUMIFS('Payment Breakdown Prior'!$U$15:$U$164,'Payment Breakdown Prior'!$AE$15:$AE$164,$A38))</f>
        <v/>
      </c>
      <c r="Z38">
        <f>(SUMIFS('Payment Breakdown Current'!$V$15:$V$164,'Payment Breakdown Current'!$AE$15:$AE$164,$A38))-(SUMIFS('Payment Breakdown Prior'!$V$15:$V$164,'Payment Breakdown Prior'!$AE$15:$AE$164,$A38))</f>
        <v/>
      </c>
      <c r="AA38">
        <f>(SUMIFS('Payment Breakdown Current'!$W$15:$W$164,'Payment Breakdown Current'!$AE$15:$AE$164,$A38))-(SUMIFS('Payment Breakdown Prior'!$W$15:$W$164,'Payment Breakdown Prior'!$AE$15:$AE$164,$A38))</f>
        <v/>
      </c>
      <c r="AB38">
        <f>(SUMIFS('Payment Breakdown Current'!$X$15:$X$164,'Payment Breakdown Current'!$AE$15:$AE$164,$A38))-(SUMIFS('Payment Breakdown Prior'!$X$15:$X$164,'Payment Breakdown Prior'!$AE$15:$AE$164,$A38))</f>
        <v/>
      </c>
      <c r="AC38">
        <f>(SUMIFS('Payment Breakdown Current'!$Y$15:$Y$164,'Payment Breakdown Current'!$AE$15:$AE$164,$A38))-(SUMIFS('Payment Breakdown Prior'!$Y$15:$Y$164,'Payment Breakdown Prior'!$AE$15:$AE$164,$A38))</f>
        <v/>
      </c>
      <c r="AD38">
        <f>(SUMIFS('Payment Breakdown Current'!$Z$15:$Z$164,'Payment Breakdown Current'!$AE$15:$AE$164,$A38))-(SUMIFS('Payment Breakdown Prior'!$Z$15:$Z$164,'Payment Breakdown Prior'!$AE$15:$AE$164,$A38))</f>
        <v/>
      </c>
      <c r="AE38">
        <f>(SUMIFS('Payment Breakdown Current'!$AA$15:$AA$164,'Payment Breakdown Current'!$AE$15:$AE$164,$A38))-(SUMIFS('Payment Breakdown Prior'!$AA$15:$AA$164,'Payment Breakdown Prior'!$AE$15:$AE$164,$A38))</f>
        <v/>
      </c>
      <c r="AF38">
        <f>(SUMIFS('Payment Breakdown Current'!$AB$15:$AB$164,'Payment Breakdown Current'!$AE$15:$AE$164,$A38))-(SUMIFS('Payment Breakdown Prior'!$AB$15:$AB$164,'Payment Breakdown Prior'!$AE$15:$AE$164,$A38))</f>
        <v/>
      </c>
      <c r="AG38">
        <f>(SUMIFS('Payment Breakdown Current'!$AC$15:$AC$164,'Payment Breakdown Current'!$AE$15:$AE$164,$A38))-(SUMIFS('Payment Breakdown Prior'!$AC$15:$AC$164,'Payment Breakdown Prior'!$AE$15:$AE$164,$A38))</f>
        <v/>
      </c>
      <c r="AH38">
        <f>(SUMIFS('Payment Breakdown Current'!$AD$15:$AD$164,'Payment Breakdown Current'!$AE$15:$AE$164,$A38))-(SUMIFS('Payment Breakdown Prior'!$AD$15:$AD$164,'Payment Breakdown Prior'!$AE$15:$AE$164,$A38))</f>
        <v/>
      </c>
      <c r="AI38">
        <f t="array" ref="AI38">MAX(ABS(W38:AH38))</f>
        <v/>
      </c>
      <c r="AJ38">
        <f t="array" ref="AJ38">IF(AI38&lt;0.005,"",IFERROR(INDEX($W$1:$AH$1,MATCH(AI38,ABS(W38:AH38),0)),""))</f>
        <v/>
      </c>
      <c r="AK38">
        <f t="array" ref="AK38">IF(AI38&lt;0.005,"",IFERROR(INDEX(W38:AH38,MATCH(AI38,ABS(W38:AH38),0)),""))</f>
        <v/>
      </c>
      <c r="AL38">
        <f>IF(R38=1,ABS(L38)-ROW()/100000000,"")</f>
        <v/>
      </c>
    </row>
    <row r="39">
      <c r="A39">
        <f>IF('NPV Comparison'!D52="","",'NPV Comparison'!D52)</f>
        <v/>
      </c>
      <c r="B39">
        <f>IF('NPV Comparison'!E52="","",'NPV Comparison'!E52)</f>
        <v/>
      </c>
      <c r="C39">
        <f>IF('NPV Comparison'!F52="","",'NPV Comparison'!F52)</f>
        <v/>
      </c>
      <c r="D39">
        <f>IF($A39="","",IFERROR(INDEX(Structure!$E$13:$E$312,MATCH($A39,Structure!$P$13:$P$312,0)),""))</f>
        <v/>
      </c>
      <c r="E39">
        <f>IF($A39="",0,IF(COUNTIF(Structure!$P$13:$P$312,$A39)=0,0,IF(COUNTIFS(Structure!$P$13:$P$312,$A39,Structure!$N$13:$N$312,"&lt;&gt;Zero Hours")=0,1,0)))</f>
        <v/>
      </c>
      <c r="F39">
        <f>IF($A39="",0,1-E39)</f>
        <v/>
      </c>
      <c r="G39">
        <f>IF($A39="",0,IF(COUNTIF('New Starters'!$D$14:$D$73,$A39)&gt;0,1,0))</f>
        <v/>
      </c>
      <c r="H39">
        <f>IF($A39="",0,IF(COUNTIF('Leavers'!$D$12:$D$71,$A39)&gt;0,1,0))</f>
        <v/>
      </c>
      <c r="I39">
        <f>IF($A39="","",IFERROR(INDEX('New Starters'!$K$14:$K$73,MATCH($A39,'New Starters'!$D$14:$D$73,0)),IFERROR(INDEX('Leavers'!$K$12:$K$71,MATCH($A39,'Leavers'!$D$12:$D$71,0)),"")))</f>
        <v/>
      </c>
      <c r="J39">
        <f>IF(AND(G39=1,I39&lt;&gt;"",COUNTIF('Leavers'!$K$12:$K$71,I39)&gt;0),1,IF(AND(H39=1,I39&lt;&gt;"",COUNTIF('New Starters'!$K$14:$K$73,I39)&gt;0),1,0))</f>
        <v/>
      </c>
      <c r="K39">
        <f>IF(ISNUMBER(SEARCH("Head Office",D39)),'Control Sheet'!$C$6,'Control Sheet'!$C$5)</f>
        <v/>
      </c>
      <c r="L39">
        <f>IF(OR($A39="",AND(B39="",C39="")),"",IF(B39="",C39,IF(C39="",-B39,C39-B39)))</f>
        <v/>
      </c>
      <c r="M39">
        <f>IFERROR(L39/B39,"")</f>
        <v/>
      </c>
      <c r="N39">
        <f>IF($A39="",0,IF(OR(B39="",C39="",C39=0,AND(ISNUMBER(M39),ABS(M39)&gt;K39)),1,0))</f>
        <v/>
      </c>
      <c r="O39">
        <f>IF(AND(N39=1,ABS(L39)&gt;='Control Sheet'!$C$7,F39=1),1,0)</f>
        <v/>
      </c>
      <c r="P39">
        <f>IF($A39="","",IF(F39=0,"Zero Hours",IF(J39=1,"Explained: Paired transfer",IF(AND(G39=1,H39=0,J39=0),"Explained: Starter",IF(AND(H39=1,G39=0,J39=0),"Explained: Leaver",IF(O39=1,"Review required","OK"))))))</f>
        <v/>
      </c>
      <c r="Q39">
        <f>IF(AND(F39=1,OR(C39="",C39=0),H39=0,J39=0),1,0)</f>
        <v/>
      </c>
      <c r="R39">
        <f>IF(F39=0,0,IF(P39="Review required",1,IF(AND(P39="Explained: Starter",ISNUMBER(C39),C39&gt;=1500),1,0)))</f>
        <v/>
      </c>
      <c r="S39">
        <f>IF(R39=0,"",IF(Q39=1,"High",IF(AND(P39="Explained: Starter",C39&gt;=1500),"High",IF(ABS(L39)&gt;=2000,"High",IF(ABS(L39)&gt;=500,"Medium","Low")))))</f>
        <v/>
      </c>
      <c r="T39">
        <f>SUMIFS('Payment Breakdown Prior'!$S$15:$S$164,'Payment Breakdown Prior'!$AE$15:$AE$164,$A39)</f>
        <v/>
      </c>
      <c r="U39">
        <f>SUMIFS('Payment Breakdown Current'!$S$15:$S$164,'Payment Breakdown Current'!$AE$15:$AE$164,$A39)</f>
        <v/>
      </c>
      <c r="V39">
        <f>IFERROR((U39-T39)/T39,"")</f>
        <v/>
      </c>
      <c r="W39">
        <f>(SUMIFS('Payment Breakdown Current'!$S$15:$S$164,'Payment Breakdown Current'!$AE$15:$AE$164,$A39))-(SUMIFS('Payment Breakdown Prior'!$S$15:$S$164,'Payment Breakdown Prior'!$AE$15:$AE$164,$A39))</f>
        <v/>
      </c>
      <c r="X39">
        <f>(SUMIFS('Payment Breakdown Current'!$T$15:$T$164,'Payment Breakdown Current'!$AE$15:$AE$164,$A39))-(SUMIFS('Payment Breakdown Prior'!$T$15:$T$164,'Payment Breakdown Prior'!$AE$15:$AE$164,$A39))</f>
        <v/>
      </c>
      <c r="Y39">
        <f>(SUMIFS('Payment Breakdown Current'!$U$15:$U$164,'Payment Breakdown Current'!$AE$15:$AE$164,$A39))-(SUMIFS('Payment Breakdown Prior'!$U$15:$U$164,'Payment Breakdown Prior'!$AE$15:$AE$164,$A39))</f>
        <v/>
      </c>
      <c r="Z39">
        <f>(SUMIFS('Payment Breakdown Current'!$V$15:$V$164,'Payment Breakdown Current'!$AE$15:$AE$164,$A39))-(SUMIFS('Payment Breakdown Prior'!$V$15:$V$164,'Payment Breakdown Prior'!$AE$15:$AE$164,$A39))</f>
        <v/>
      </c>
      <c r="AA39">
        <f>(SUMIFS('Payment Breakdown Current'!$W$15:$W$164,'Payment Breakdown Current'!$AE$15:$AE$164,$A39))-(SUMIFS('Payment Breakdown Prior'!$W$15:$W$164,'Payment Breakdown Prior'!$AE$15:$AE$164,$A39))</f>
        <v/>
      </c>
      <c r="AB39">
        <f>(SUMIFS('Payment Breakdown Current'!$X$15:$X$164,'Payment Breakdown Current'!$AE$15:$AE$164,$A39))-(SUMIFS('Payment Breakdown Prior'!$X$15:$X$164,'Payment Breakdown Prior'!$AE$15:$AE$164,$A39))</f>
        <v/>
      </c>
      <c r="AC39">
        <f>(SUMIFS('Payment Breakdown Current'!$Y$15:$Y$164,'Payment Breakdown Current'!$AE$15:$AE$164,$A39))-(SUMIFS('Payment Breakdown Prior'!$Y$15:$Y$164,'Payment Breakdown Prior'!$AE$15:$AE$164,$A39))</f>
        <v/>
      </c>
      <c r="AD39">
        <f>(SUMIFS('Payment Breakdown Current'!$Z$15:$Z$164,'Payment Breakdown Current'!$AE$15:$AE$164,$A39))-(SUMIFS('Payment Breakdown Prior'!$Z$15:$Z$164,'Payment Breakdown Prior'!$AE$15:$AE$164,$A39))</f>
        <v/>
      </c>
      <c r="AE39">
        <f>(SUMIFS('Payment Breakdown Current'!$AA$15:$AA$164,'Payment Breakdown Current'!$AE$15:$AE$164,$A39))-(SUMIFS('Payment Breakdown Prior'!$AA$15:$AA$164,'Payment Breakdown Prior'!$AE$15:$AE$164,$A39))</f>
        <v/>
      </c>
      <c r="AF39">
        <f>(SUMIFS('Payment Breakdown Current'!$AB$15:$AB$164,'Payment Breakdown Current'!$AE$15:$AE$164,$A39))-(SUMIFS('Payment Breakdown Prior'!$AB$15:$AB$164,'Payment Breakdown Prior'!$AE$15:$AE$164,$A39))</f>
        <v/>
      </c>
      <c r="AG39">
        <f>(SUMIFS('Payment Breakdown Current'!$AC$15:$AC$164,'Payment Breakdown Current'!$AE$15:$AE$164,$A39))-(SUMIFS('Payment Breakdown Prior'!$AC$15:$AC$164,'Payment Breakdown Prior'!$AE$15:$AE$164,$A39))</f>
        <v/>
      </c>
      <c r="AH39">
        <f>(SUMIFS('Payment Breakdown Current'!$AD$15:$AD$164,'Payment Breakdown Current'!$AE$15:$AE$164,$A39))-(SUMIFS('Payment Breakdown Prior'!$AD$15:$AD$164,'Payment Breakdown Prior'!$AE$15:$AE$164,$A39))</f>
        <v/>
      </c>
      <c r="AI39">
        <f t="array" ref="AI39">MAX(ABS(W39:AH39))</f>
        <v/>
      </c>
      <c r="AJ39">
        <f t="array" ref="AJ39">IF(AI39&lt;0.005,"",IFERROR(INDEX($W$1:$AH$1,MATCH(AI39,ABS(W39:AH39),0)),""))</f>
        <v/>
      </c>
      <c r="AK39">
        <f t="array" ref="AK39">IF(AI39&lt;0.005,"",IFERROR(INDEX(W39:AH39,MATCH(AI39,ABS(W39:AH39),0)),""))</f>
        <v/>
      </c>
      <c r="AL39">
        <f>IF(R39=1,ABS(L39)-ROW()/100000000,"")</f>
        <v/>
      </c>
    </row>
    <row r="40">
      <c r="A40">
        <f>IF('NPV Comparison'!D53="","",'NPV Comparison'!D53)</f>
        <v/>
      </c>
      <c r="B40">
        <f>IF('NPV Comparison'!E53="","",'NPV Comparison'!E53)</f>
        <v/>
      </c>
      <c r="C40">
        <f>IF('NPV Comparison'!F53="","",'NPV Comparison'!F53)</f>
        <v/>
      </c>
      <c r="D40">
        <f>IF($A40="","",IFERROR(INDEX(Structure!$E$13:$E$312,MATCH($A40,Structure!$P$13:$P$312,0)),""))</f>
        <v/>
      </c>
      <c r="E40">
        <f>IF($A40="",0,IF(COUNTIF(Structure!$P$13:$P$312,$A40)=0,0,IF(COUNTIFS(Structure!$P$13:$P$312,$A40,Structure!$N$13:$N$312,"&lt;&gt;Zero Hours")=0,1,0)))</f>
        <v/>
      </c>
      <c r="F40">
        <f>IF($A40="",0,1-E40)</f>
        <v/>
      </c>
      <c r="G40">
        <f>IF($A40="",0,IF(COUNTIF('New Starters'!$D$14:$D$73,$A40)&gt;0,1,0))</f>
        <v/>
      </c>
      <c r="H40">
        <f>IF($A40="",0,IF(COUNTIF('Leavers'!$D$12:$D$71,$A40)&gt;0,1,0))</f>
        <v/>
      </c>
      <c r="I40">
        <f>IF($A40="","",IFERROR(INDEX('New Starters'!$K$14:$K$73,MATCH($A40,'New Starters'!$D$14:$D$73,0)),IFERROR(INDEX('Leavers'!$K$12:$K$71,MATCH($A40,'Leavers'!$D$12:$D$71,0)),"")))</f>
        <v/>
      </c>
      <c r="J40">
        <f>IF(AND(G40=1,I40&lt;&gt;"",COUNTIF('Leavers'!$K$12:$K$71,I40)&gt;0),1,IF(AND(H40=1,I40&lt;&gt;"",COUNTIF('New Starters'!$K$14:$K$73,I40)&gt;0),1,0))</f>
        <v/>
      </c>
      <c r="K40">
        <f>IF(ISNUMBER(SEARCH("Head Office",D40)),'Control Sheet'!$C$6,'Control Sheet'!$C$5)</f>
        <v/>
      </c>
      <c r="L40">
        <f>IF(OR($A40="",AND(B40="",C40="")),"",IF(B40="",C40,IF(C40="",-B40,C40-B40)))</f>
        <v/>
      </c>
      <c r="M40">
        <f>IFERROR(L40/B40,"")</f>
        <v/>
      </c>
      <c r="N40">
        <f>IF($A40="",0,IF(OR(B40="",C40="",C40=0,AND(ISNUMBER(M40),ABS(M40)&gt;K40)),1,0))</f>
        <v/>
      </c>
      <c r="O40">
        <f>IF(AND(N40=1,ABS(L40)&gt;='Control Sheet'!$C$7,F40=1),1,0)</f>
        <v/>
      </c>
      <c r="P40">
        <f>IF($A40="","",IF(F40=0,"Zero Hours",IF(J40=1,"Explained: Paired transfer",IF(AND(G40=1,H40=0,J40=0),"Explained: Starter",IF(AND(H40=1,G40=0,J40=0),"Explained: Leaver",IF(O40=1,"Review required","OK"))))))</f>
        <v/>
      </c>
      <c r="Q40">
        <f>IF(AND(F40=1,OR(C40="",C40=0),H40=0,J40=0),1,0)</f>
        <v/>
      </c>
      <c r="R40">
        <f>IF(F40=0,0,IF(P40="Review required",1,IF(AND(P40="Explained: Starter",ISNUMBER(C40),C40&gt;=1500),1,0)))</f>
        <v/>
      </c>
      <c r="S40">
        <f>IF(R40=0,"",IF(Q40=1,"High",IF(AND(P40="Explained: Starter",C40&gt;=1500),"High",IF(ABS(L40)&gt;=2000,"High",IF(ABS(L40)&gt;=500,"Medium","Low")))))</f>
        <v/>
      </c>
      <c r="T40">
        <f>SUMIFS('Payment Breakdown Prior'!$S$15:$S$164,'Payment Breakdown Prior'!$AE$15:$AE$164,$A40)</f>
        <v/>
      </c>
      <c r="U40">
        <f>SUMIFS('Payment Breakdown Current'!$S$15:$S$164,'Payment Breakdown Current'!$AE$15:$AE$164,$A40)</f>
        <v/>
      </c>
      <c r="V40">
        <f>IFERROR((U40-T40)/T40,"")</f>
        <v/>
      </c>
      <c r="W40">
        <f>(SUMIFS('Payment Breakdown Current'!$S$15:$S$164,'Payment Breakdown Current'!$AE$15:$AE$164,$A40))-(SUMIFS('Payment Breakdown Prior'!$S$15:$S$164,'Payment Breakdown Prior'!$AE$15:$AE$164,$A40))</f>
        <v/>
      </c>
      <c r="X40">
        <f>(SUMIFS('Payment Breakdown Current'!$T$15:$T$164,'Payment Breakdown Current'!$AE$15:$AE$164,$A40))-(SUMIFS('Payment Breakdown Prior'!$T$15:$T$164,'Payment Breakdown Prior'!$AE$15:$AE$164,$A40))</f>
        <v/>
      </c>
      <c r="Y40">
        <f>(SUMIFS('Payment Breakdown Current'!$U$15:$U$164,'Payment Breakdown Current'!$AE$15:$AE$164,$A40))-(SUMIFS('Payment Breakdown Prior'!$U$15:$U$164,'Payment Breakdown Prior'!$AE$15:$AE$164,$A40))</f>
        <v/>
      </c>
      <c r="Z40">
        <f>(SUMIFS('Payment Breakdown Current'!$V$15:$V$164,'Payment Breakdown Current'!$AE$15:$AE$164,$A40))-(SUMIFS('Payment Breakdown Prior'!$V$15:$V$164,'Payment Breakdown Prior'!$AE$15:$AE$164,$A40))</f>
        <v/>
      </c>
      <c r="AA40">
        <f>(SUMIFS('Payment Breakdown Current'!$W$15:$W$164,'Payment Breakdown Current'!$AE$15:$AE$164,$A40))-(SUMIFS('Payment Breakdown Prior'!$W$15:$W$164,'Payment Breakdown Prior'!$AE$15:$AE$164,$A40))</f>
        <v/>
      </c>
      <c r="AB40">
        <f>(SUMIFS('Payment Breakdown Current'!$X$15:$X$164,'Payment Breakdown Current'!$AE$15:$AE$164,$A40))-(SUMIFS('Payment Breakdown Prior'!$X$15:$X$164,'Payment Breakdown Prior'!$AE$15:$AE$164,$A40))</f>
        <v/>
      </c>
      <c r="AC40">
        <f>(SUMIFS('Payment Breakdown Current'!$Y$15:$Y$164,'Payment Breakdown Current'!$AE$15:$AE$164,$A40))-(SUMIFS('Payment Breakdown Prior'!$Y$15:$Y$164,'Payment Breakdown Prior'!$AE$15:$AE$164,$A40))</f>
        <v/>
      </c>
      <c r="AD40">
        <f>(SUMIFS('Payment Breakdown Current'!$Z$15:$Z$164,'Payment Breakdown Current'!$AE$15:$AE$164,$A40))-(SUMIFS('Payment Breakdown Prior'!$Z$15:$Z$164,'Payment Breakdown Prior'!$AE$15:$AE$164,$A40))</f>
        <v/>
      </c>
      <c r="AE40">
        <f>(SUMIFS('Payment Breakdown Current'!$AA$15:$AA$164,'Payment Breakdown Current'!$AE$15:$AE$164,$A40))-(SUMIFS('Payment Breakdown Prior'!$AA$15:$AA$164,'Payment Breakdown Prior'!$AE$15:$AE$164,$A40))</f>
        <v/>
      </c>
      <c r="AF40">
        <f>(SUMIFS('Payment Breakdown Current'!$AB$15:$AB$164,'Payment Breakdown Current'!$AE$15:$AE$164,$A40))-(SUMIFS('Payment Breakdown Prior'!$AB$15:$AB$164,'Payment Breakdown Prior'!$AE$15:$AE$164,$A40))</f>
        <v/>
      </c>
      <c r="AG40">
        <f>(SUMIFS('Payment Breakdown Current'!$AC$15:$AC$164,'Payment Breakdown Current'!$AE$15:$AE$164,$A40))-(SUMIFS('Payment Breakdown Prior'!$AC$15:$AC$164,'Payment Breakdown Prior'!$AE$15:$AE$164,$A40))</f>
        <v/>
      </c>
      <c r="AH40">
        <f>(SUMIFS('Payment Breakdown Current'!$AD$15:$AD$164,'Payment Breakdown Current'!$AE$15:$AE$164,$A40))-(SUMIFS('Payment Breakdown Prior'!$AD$15:$AD$164,'Payment Breakdown Prior'!$AE$15:$AE$164,$A40))</f>
        <v/>
      </c>
      <c r="AI40">
        <f t="array" ref="AI40">MAX(ABS(W40:AH40))</f>
        <v/>
      </c>
      <c r="AJ40">
        <f t="array" ref="AJ40">IF(AI40&lt;0.005,"",IFERROR(INDEX($W$1:$AH$1,MATCH(AI40,ABS(W40:AH40),0)),""))</f>
        <v/>
      </c>
      <c r="AK40">
        <f t="array" ref="AK40">IF(AI40&lt;0.005,"",IFERROR(INDEX(W40:AH40,MATCH(AI40,ABS(W40:AH40),0)),""))</f>
        <v/>
      </c>
      <c r="AL40">
        <f>IF(R40=1,ABS(L40)-ROW()/100000000,"")</f>
        <v/>
      </c>
    </row>
    <row r="41">
      <c r="A41">
        <f>IF('NPV Comparison'!D54="","",'NPV Comparison'!D54)</f>
        <v/>
      </c>
      <c r="B41">
        <f>IF('NPV Comparison'!E54="","",'NPV Comparison'!E54)</f>
        <v/>
      </c>
      <c r="C41">
        <f>IF('NPV Comparison'!F54="","",'NPV Comparison'!F54)</f>
        <v/>
      </c>
      <c r="D41">
        <f>IF($A41="","",IFERROR(INDEX(Structure!$E$13:$E$312,MATCH($A41,Structure!$P$13:$P$312,0)),""))</f>
        <v/>
      </c>
      <c r="E41">
        <f>IF($A41="",0,IF(COUNTIF(Structure!$P$13:$P$312,$A41)=0,0,IF(COUNTIFS(Structure!$P$13:$P$312,$A41,Structure!$N$13:$N$312,"&lt;&gt;Zero Hours")=0,1,0)))</f>
        <v/>
      </c>
      <c r="F41">
        <f>IF($A41="",0,1-E41)</f>
        <v/>
      </c>
      <c r="G41">
        <f>IF($A41="",0,IF(COUNTIF('New Starters'!$D$14:$D$73,$A41)&gt;0,1,0))</f>
        <v/>
      </c>
      <c r="H41">
        <f>IF($A41="",0,IF(COUNTIF('Leavers'!$D$12:$D$71,$A41)&gt;0,1,0))</f>
        <v/>
      </c>
      <c r="I41">
        <f>IF($A41="","",IFERROR(INDEX('New Starters'!$K$14:$K$73,MATCH($A41,'New Starters'!$D$14:$D$73,0)),IFERROR(INDEX('Leavers'!$K$12:$K$71,MATCH($A41,'Leavers'!$D$12:$D$71,0)),"")))</f>
        <v/>
      </c>
      <c r="J41">
        <f>IF(AND(G41=1,I41&lt;&gt;"",COUNTIF('Leavers'!$K$12:$K$71,I41)&gt;0),1,IF(AND(H41=1,I41&lt;&gt;"",COUNTIF('New Starters'!$K$14:$K$73,I41)&gt;0),1,0))</f>
        <v/>
      </c>
      <c r="K41">
        <f>IF(ISNUMBER(SEARCH("Head Office",D41)),'Control Sheet'!$C$6,'Control Sheet'!$C$5)</f>
        <v/>
      </c>
      <c r="L41">
        <f>IF(OR($A41="",AND(B41="",C41="")),"",IF(B41="",C41,IF(C41="",-B41,C41-B41)))</f>
        <v/>
      </c>
      <c r="M41">
        <f>IFERROR(L41/B41,"")</f>
        <v/>
      </c>
      <c r="N41">
        <f>IF($A41="",0,IF(OR(B41="",C41="",C41=0,AND(ISNUMBER(M41),ABS(M41)&gt;K41)),1,0))</f>
        <v/>
      </c>
      <c r="O41">
        <f>IF(AND(N41=1,ABS(L41)&gt;='Control Sheet'!$C$7,F41=1),1,0)</f>
        <v/>
      </c>
      <c r="P41">
        <f>IF($A41="","",IF(F41=0,"Zero Hours",IF(J41=1,"Explained: Paired transfer",IF(AND(G41=1,H41=0,J41=0),"Explained: Starter",IF(AND(H41=1,G41=0,J41=0),"Explained: Leaver",IF(O41=1,"Review required","OK"))))))</f>
        <v/>
      </c>
      <c r="Q41">
        <f>IF(AND(F41=1,OR(C41="",C41=0),H41=0,J41=0),1,0)</f>
        <v/>
      </c>
      <c r="R41">
        <f>IF(F41=0,0,IF(P41="Review required",1,IF(AND(P41="Explained: Starter",ISNUMBER(C41),C41&gt;=1500),1,0)))</f>
        <v/>
      </c>
      <c r="S41">
        <f>IF(R41=0,"",IF(Q41=1,"High",IF(AND(P41="Explained: Starter",C41&gt;=1500),"High",IF(ABS(L41)&gt;=2000,"High",IF(ABS(L41)&gt;=500,"Medium","Low")))))</f>
        <v/>
      </c>
      <c r="T41">
        <f>SUMIFS('Payment Breakdown Prior'!$S$15:$S$164,'Payment Breakdown Prior'!$AE$15:$AE$164,$A41)</f>
        <v/>
      </c>
      <c r="U41">
        <f>SUMIFS('Payment Breakdown Current'!$S$15:$S$164,'Payment Breakdown Current'!$AE$15:$AE$164,$A41)</f>
        <v/>
      </c>
      <c r="V41">
        <f>IFERROR((U41-T41)/T41,"")</f>
        <v/>
      </c>
      <c r="W41">
        <f>(SUMIFS('Payment Breakdown Current'!$S$15:$S$164,'Payment Breakdown Current'!$AE$15:$AE$164,$A41))-(SUMIFS('Payment Breakdown Prior'!$S$15:$S$164,'Payment Breakdown Prior'!$AE$15:$AE$164,$A41))</f>
        <v/>
      </c>
      <c r="X41">
        <f>(SUMIFS('Payment Breakdown Current'!$T$15:$T$164,'Payment Breakdown Current'!$AE$15:$AE$164,$A41))-(SUMIFS('Payment Breakdown Prior'!$T$15:$T$164,'Payment Breakdown Prior'!$AE$15:$AE$164,$A41))</f>
        <v/>
      </c>
      <c r="Y41">
        <f>(SUMIFS('Payment Breakdown Current'!$U$15:$U$164,'Payment Breakdown Current'!$AE$15:$AE$164,$A41))-(SUMIFS('Payment Breakdown Prior'!$U$15:$U$164,'Payment Breakdown Prior'!$AE$15:$AE$164,$A41))</f>
        <v/>
      </c>
      <c r="Z41">
        <f>(SUMIFS('Payment Breakdown Current'!$V$15:$V$164,'Payment Breakdown Current'!$AE$15:$AE$164,$A41))-(SUMIFS('Payment Breakdown Prior'!$V$15:$V$164,'Payment Breakdown Prior'!$AE$15:$AE$164,$A41))</f>
        <v/>
      </c>
      <c r="AA41">
        <f>(SUMIFS('Payment Breakdown Current'!$W$15:$W$164,'Payment Breakdown Current'!$AE$15:$AE$164,$A41))-(SUMIFS('Payment Breakdown Prior'!$W$15:$W$164,'Payment Breakdown Prior'!$AE$15:$AE$164,$A41))</f>
        <v/>
      </c>
      <c r="AB41">
        <f>(SUMIFS('Payment Breakdown Current'!$X$15:$X$164,'Payment Breakdown Current'!$AE$15:$AE$164,$A41))-(SUMIFS('Payment Breakdown Prior'!$X$15:$X$164,'Payment Breakdown Prior'!$AE$15:$AE$164,$A41))</f>
        <v/>
      </c>
      <c r="AC41">
        <f>(SUMIFS('Payment Breakdown Current'!$Y$15:$Y$164,'Payment Breakdown Current'!$AE$15:$AE$164,$A41))-(SUMIFS('Payment Breakdown Prior'!$Y$15:$Y$164,'Payment Breakdown Prior'!$AE$15:$AE$164,$A41))</f>
        <v/>
      </c>
      <c r="AD41">
        <f>(SUMIFS('Payment Breakdown Current'!$Z$15:$Z$164,'Payment Breakdown Current'!$AE$15:$AE$164,$A41))-(SUMIFS('Payment Breakdown Prior'!$Z$15:$Z$164,'Payment Breakdown Prior'!$AE$15:$AE$164,$A41))</f>
        <v/>
      </c>
      <c r="AE41">
        <f>(SUMIFS('Payment Breakdown Current'!$AA$15:$AA$164,'Payment Breakdown Current'!$AE$15:$AE$164,$A41))-(SUMIFS('Payment Breakdown Prior'!$AA$15:$AA$164,'Payment Breakdown Prior'!$AE$15:$AE$164,$A41))</f>
        <v/>
      </c>
      <c r="AF41">
        <f>(SUMIFS('Payment Breakdown Current'!$AB$15:$AB$164,'Payment Breakdown Current'!$AE$15:$AE$164,$A41))-(SUMIFS('Payment Breakdown Prior'!$AB$15:$AB$164,'Payment Breakdown Prior'!$AE$15:$AE$164,$A41))</f>
        <v/>
      </c>
      <c r="AG41">
        <f>(SUMIFS('Payment Breakdown Current'!$AC$15:$AC$164,'Payment Breakdown Current'!$AE$15:$AE$164,$A41))-(SUMIFS('Payment Breakdown Prior'!$AC$15:$AC$164,'Payment Breakdown Prior'!$AE$15:$AE$164,$A41))</f>
        <v/>
      </c>
      <c r="AH41">
        <f>(SUMIFS('Payment Breakdown Current'!$AD$15:$AD$164,'Payment Breakdown Current'!$AE$15:$AE$164,$A41))-(SUMIFS('Payment Breakdown Prior'!$AD$15:$AD$164,'Payment Breakdown Prior'!$AE$15:$AE$164,$A41))</f>
        <v/>
      </c>
      <c r="AI41">
        <f t="array" ref="AI41">MAX(ABS(W41:AH41))</f>
        <v/>
      </c>
      <c r="AJ41">
        <f t="array" ref="AJ41">IF(AI41&lt;0.005,"",IFERROR(INDEX($W$1:$AH$1,MATCH(AI41,ABS(W41:AH41),0)),""))</f>
        <v/>
      </c>
      <c r="AK41">
        <f t="array" ref="AK41">IF(AI41&lt;0.005,"",IFERROR(INDEX(W41:AH41,MATCH(AI41,ABS(W41:AH41),0)),""))</f>
        <v/>
      </c>
      <c r="AL41">
        <f>IF(R41=1,ABS(L41)-ROW()/100000000,"")</f>
        <v/>
      </c>
    </row>
    <row r="42">
      <c r="A42">
        <f>IF('NPV Comparison'!D55="","",'NPV Comparison'!D55)</f>
        <v/>
      </c>
      <c r="B42">
        <f>IF('NPV Comparison'!E55="","",'NPV Comparison'!E55)</f>
        <v/>
      </c>
      <c r="C42">
        <f>IF('NPV Comparison'!F55="","",'NPV Comparison'!F55)</f>
        <v/>
      </c>
      <c r="D42">
        <f>IF($A42="","",IFERROR(INDEX(Structure!$E$13:$E$312,MATCH($A42,Structure!$P$13:$P$312,0)),""))</f>
        <v/>
      </c>
      <c r="E42">
        <f>IF($A42="",0,IF(COUNTIF(Structure!$P$13:$P$312,$A42)=0,0,IF(COUNTIFS(Structure!$P$13:$P$312,$A42,Structure!$N$13:$N$312,"&lt;&gt;Zero Hours")=0,1,0)))</f>
        <v/>
      </c>
      <c r="F42">
        <f>IF($A42="",0,1-E42)</f>
        <v/>
      </c>
      <c r="G42">
        <f>IF($A42="",0,IF(COUNTIF('New Starters'!$D$14:$D$73,$A42)&gt;0,1,0))</f>
        <v/>
      </c>
      <c r="H42">
        <f>IF($A42="",0,IF(COUNTIF('Leavers'!$D$12:$D$71,$A42)&gt;0,1,0))</f>
        <v/>
      </c>
      <c r="I42">
        <f>IF($A42="","",IFERROR(INDEX('New Starters'!$K$14:$K$73,MATCH($A42,'New Starters'!$D$14:$D$73,0)),IFERROR(INDEX('Leavers'!$K$12:$K$71,MATCH($A42,'Leavers'!$D$12:$D$71,0)),"")))</f>
        <v/>
      </c>
      <c r="J42">
        <f>IF(AND(G42=1,I42&lt;&gt;"",COUNTIF('Leavers'!$K$12:$K$71,I42)&gt;0),1,IF(AND(H42=1,I42&lt;&gt;"",COUNTIF('New Starters'!$K$14:$K$73,I42)&gt;0),1,0))</f>
        <v/>
      </c>
      <c r="K42">
        <f>IF(ISNUMBER(SEARCH("Head Office",D42)),'Control Sheet'!$C$6,'Control Sheet'!$C$5)</f>
        <v/>
      </c>
      <c r="L42">
        <f>IF(OR($A42="",AND(B42="",C42="")),"",IF(B42="",C42,IF(C42="",-B42,C42-B42)))</f>
        <v/>
      </c>
      <c r="M42">
        <f>IFERROR(L42/B42,"")</f>
        <v/>
      </c>
      <c r="N42">
        <f>IF($A42="",0,IF(OR(B42="",C42="",C42=0,AND(ISNUMBER(M42),ABS(M42)&gt;K42)),1,0))</f>
        <v/>
      </c>
      <c r="O42">
        <f>IF(AND(N42=1,ABS(L42)&gt;='Control Sheet'!$C$7,F42=1),1,0)</f>
        <v/>
      </c>
      <c r="P42">
        <f>IF($A42="","",IF(F42=0,"Zero Hours",IF(J42=1,"Explained: Paired transfer",IF(AND(G42=1,H42=0,J42=0),"Explained: Starter",IF(AND(H42=1,G42=0,J42=0),"Explained: Leaver",IF(O42=1,"Review required","OK"))))))</f>
        <v/>
      </c>
      <c r="Q42">
        <f>IF(AND(F42=1,OR(C42="",C42=0),H42=0,J42=0),1,0)</f>
        <v/>
      </c>
      <c r="R42">
        <f>IF(F42=0,0,IF(P42="Review required",1,IF(AND(P42="Explained: Starter",ISNUMBER(C42),C42&gt;=1500),1,0)))</f>
        <v/>
      </c>
      <c r="S42">
        <f>IF(R42=0,"",IF(Q42=1,"High",IF(AND(P42="Explained: Starter",C42&gt;=1500),"High",IF(ABS(L42)&gt;=2000,"High",IF(ABS(L42)&gt;=500,"Medium","Low")))))</f>
        <v/>
      </c>
      <c r="T42">
        <f>SUMIFS('Payment Breakdown Prior'!$S$15:$S$164,'Payment Breakdown Prior'!$AE$15:$AE$164,$A42)</f>
        <v/>
      </c>
      <c r="U42">
        <f>SUMIFS('Payment Breakdown Current'!$S$15:$S$164,'Payment Breakdown Current'!$AE$15:$AE$164,$A42)</f>
        <v/>
      </c>
      <c r="V42">
        <f>IFERROR((U42-T42)/T42,"")</f>
        <v/>
      </c>
      <c r="W42">
        <f>(SUMIFS('Payment Breakdown Current'!$S$15:$S$164,'Payment Breakdown Current'!$AE$15:$AE$164,$A42))-(SUMIFS('Payment Breakdown Prior'!$S$15:$S$164,'Payment Breakdown Prior'!$AE$15:$AE$164,$A42))</f>
        <v/>
      </c>
      <c r="X42">
        <f>(SUMIFS('Payment Breakdown Current'!$T$15:$T$164,'Payment Breakdown Current'!$AE$15:$AE$164,$A42))-(SUMIFS('Payment Breakdown Prior'!$T$15:$T$164,'Payment Breakdown Prior'!$AE$15:$AE$164,$A42))</f>
        <v/>
      </c>
      <c r="Y42">
        <f>(SUMIFS('Payment Breakdown Current'!$U$15:$U$164,'Payment Breakdown Current'!$AE$15:$AE$164,$A42))-(SUMIFS('Payment Breakdown Prior'!$U$15:$U$164,'Payment Breakdown Prior'!$AE$15:$AE$164,$A42))</f>
        <v/>
      </c>
      <c r="Z42">
        <f>(SUMIFS('Payment Breakdown Current'!$V$15:$V$164,'Payment Breakdown Current'!$AE$15:$AE$164,$A42))-(SUMIFS('Payment Breakdown Prior'!$V$15:$V$164,'Payment Breakdown Prior'!$AE$15:$AE$164,$A42))</f>
        <v/>
      </c>
      <c r="AA42">
        <f>(SUMIFS('Payment Breakdown Current'!$W$15:$W$164,'Payment Breakdown Current'!$AE$15:$AE$164,$A42))-(SUMIFS('Payment Breakdown Prior'!$W$15:$W$164,'Payment Breakdown Prior'!$AE$15:$AE$164,$A42))</f>
        <v/>
      </c>
      <c r="AB42">
        <f>(SUMIFS('Payment Breakdown Current'!$X$15:$X$164,'Payment Breakdown Current'!$AE$15:$AE$164,$A42))-(SUMIFS('Payment Breakdown Prior'!$X$15:$X$164,'Payment Breakdown Prior'!$AE$15:$AE$164,$A42))</f>
        <v/>
      </c>
      <c r="AC42">
        <f>(SUMIFS('Payment Breakdown Current'!$Y$15:$Y$164,'Payment Breakdown Current'!$AE$15:$AE$164,$A42))-(SUMIFS('Payment Breakdown Prior'!$Y$15:$Y$164,'Payment Breakdown Prior'!$AE$15:$AE$164,$A42))</f>
        <v/>
      </c>
      <c r="AD42">
        <f>(SUMIFS('Payment Breakdown Current'!$Z$15:$Z$164,'Payment Breakdown Current'!$AE$15:$AE$164,$A42))-(SUMIFS('Payment Breakdown Prior'!$Z$15:$Z$164,'Payment Breakdown Prior'!$AE$15:$AE$164,$A42))</f>
        <v/>
      </c>
      <c r="AE42">
        <f>(SUMIFS('Payment Breakdown Current'!$AA$15:$AA$164,'Payment Breakdown Current'!$AE$15:$AE$164,$A42))-(SUMIFS('Payment Breakdown Prior'!$AA$15:$AA$164,'Payment Breakdown Prior'!$AE$15:$AE$164,$A42))</f>
        <v/>
      </c>
      <c r="AF42">
        <f>(SUMIFS('Payment Breakdown Current'!$AB$15:$AB$164,'Payment Breakdown Current'!$AE$15:$AE$164,$A42))-(SUMIFS('Payment Breakdown Prior'!$AB$15:$AB$164,'Payment Breakdown Prior'!$AE$15:$AE$164,$A42))</f>
        <v/>
      </c>
      <c r="AG42">
        <f>(SUMIFS('Payment Breakdown Current'!$AC$15:$AC$164,'Payment Breakdown Current'!$AE$15:$AE$164,$A42))-(SUMIFS('Payment Breakdown Prior'!$AC$15:$AC$164,'Payment Breakdown Prior'!$AE$15:$AE$164,$A42))</f>
        <v/>
      </c>
      <c r="AH42">
        <f>(SUMIFS('Payment Breakdown Current'!$AD$15:$AD$164,'Payment Breakdown Current'!$AE$15:$AE$164,$A42))-(SUMIFS('Payment Breakdown Prior'!$AD$15:$AD$164,'Payment Breakdown Prior'!$AE$15:$AE$164,$A42))</f>
        <v/>
      </c>
      <c r="AI42">
        <f t="array" ref="AI42">MAX(ABS(W42:AH42))</f>
        <v/>
      </c>
      <c r="AJ42">
        <f t="array" ref="AJ42">IF(AI42&lt;0.005,"",IFERROR(INDEX($W$1:$AH$1,MATCH(AI42,ABS(W42:AH42),0)),""))</f>
        <v/>
      </c>
      <c r="AK42">
        <f t="array" ref="AK42">IF(AI42&lt;0.005,"",IFERROR(INDEX(W42:AH42,MATCH(AI42,ABS(W42:AH42),0)),""))</f>
        <v/>
      </c>
      <c r="AL42">
        <f>IF(R42=1,ABS(L42)-ROW()/100000000,"")</f>
        <v/>
      </c>
    </row>
    <row r="43">
      <c r="A43">
        <f>IF('NPV Comparison'!D56="","",'NPV Comparison'!D56)</f>
        <v/>
      </c>
      <c r="B43">
        <f>IF('NPV Comparison'!E56="","",'NPV Comparison'!E56)</f>
        <v/>
      </c>
      <c r="C43">
        <f>IF('NPV Comparison'!F56="","",'NPV Comparison'!F56)</f>
        <v/>
      </c>
      <c r="D43">
        <f>IF($A43="","",IFERROR(INDEX(Structure!$E$13:$E$312,MATCH($A43,Structure!$P$13:$P$312,0)),""))</f>
        <v/>
      </c>
      <c r="E43">
        <f>IF($A43="",0,IF(COUNTIF(Structure!$P$13:$P$312,$A43)=0,0,IF(COUNTIFS(Structure!$P$13:$P$312,$A43,Structure!$N$13:$N$312,"&lt;&gt;Zero Hours")=0,1,0)))</f>
        <v/>
      </c>
      <c r="F43">
        <f>IF($A43="",0,1-E43)</f>
        <v/>
      </c>
      <c r="G43">
        <f>IF($A43="",0,IF(COUNTIF('New Starters'!$D$14:$D$73,$A43)&gt;0,1,0))</f>
        <v/>
      </c>
      <c r="H43">
        <f>IF($A43="",0,IF(COUNTIF('Leavers'!$D$12:$D$71,$A43)&gt;0,1,0))</f>
        <v/>
      </c>
      <c r="I43">
        <f>IF($A43="","",IFERROR(INDEX('New Starters'!$K$14:$K$73,MATCH($A43,'New Starters'!$D$14:$D$73,0)),IFERROR(INDEX('Leavers'!$K$12:$K$71,MATCH($A43,'Leavers'!$D$12:$D$71,0)),"")))</f>
        <v/>
      </c>
      <c r="J43">
        <f>IF(AND(G43=1,I43&lt;&gt;"",COUNTIF('Leavers'!$K$12:$K$71,I43)&gt;0),1,IF(AND(H43=1,I43&lt;&gt;"",COUNTIF('New Starters'!$K$14:$K$73,I43)&gt;0),1,0))</f>
        <v/>
      </c>
      <c r="K43">
        <f>IF(ISNUMBER(SEARCH("Head Office",D43)),'Control Sheet'!$C$6,'Control Sheet'!$C$5)</f>
        <v/>
      </c>
      <c r="L43">
        <f>IF(OR($A43="",AND(B43="",C43="")),"",IF(B43="",C43,IF(C43="",-B43,C43-B43)))</f>
        <v/>
      </c>
      <c r="M43">
        <f>IFERROR(L43/B43,"")</f>
        <v/>
      </c>
      <c r="N43">
        <f>IF($A43="",0,IF(OR(B43="",C43="",C43=0,AND(ISNUMBER(M43),ABS(M43)&gt;K43)),1,0))</f>
        <v/>
      </c>
      <c r="O43">
        <f>IF(AND(N43=1,ABS(L43)&gt;='Control Sheet'!$C$7,F43=1),1,0)</f>
        <v/>
      </c>
      <c r="P43">
        <f>IF($A43="","",IF(F43=0,"Zero Hours",IF(J43=1,"Explained: Paired transfer",IF(AND(G43=1,H43=0,J43=0),"Explained: Starter",IF(AND(H43=1,G43=0,J43=0),"Explained: Leaver",IF(O43=1,"Review required","OK"))))))</f>
        <v/>
      </c>
      <c r="Q43">
        <f>IF(AND(F43=1,OR(C43="",C43=0),H43=0,J43=0),1,0)</f>
        <v/>
      </c>
      <c r="R43">
        <f>IF(F43=0,0,IF(P43="Review required",1,IF(AND(P43="Explained: Starter",ISNUMBER(C43),C43&gt;=1500),1,0)))</f>
        <v/>
      </c>
      <c r="S43">
        <f>IF(R43=0,"",IF(Q43=1,"High",IF(AND(P43="Explained: Starter",C43&gt;=1500),"High",IF(ABS(L43)&gt;=2000,"High",IF(ABS(L43)&gt;=500,"Medium","Low")))))</f>
        <v/>
      </c>
      <c r="T43">
        <f>SUMIFS('Payment Breakdown Prior'!$S$15:$S$164,'Payment Breakdown Prior'!$AE$15:$AE$164,$A43)</f>
        <v/>
      </c>
      <c r="U43">
        <f>SUMIFS('Payment Breakdown Current'!$S$15:$S$164,'Payment Breakdown Current'!$AE$15:$AE$164,$A43)</f>
        <v/>
      </c>
      <c r="V43">
        <f>IFERROR((U43-T43)/T43,"")</f>
        <v/>
      </c>
      <c r="W43">
        <f>(SUMIFS('Payment Breakdown Current'!$S$15:$S$164,'Payment Breakdown Current'!$AE$15:$AE$164,$A43))-(SUMIFS('Payment Breakdown Prior'!$S$15:$S$164,'Payment Breakdown Prior'!$AE$15:$AE$164,$A43))</f>
        <v/>
      </c>
      <c r="X43">
        <f>(SUMIFS('Payment Breakdown Current'!$T$15:$T$164,'Payment Breakdown Current'!$AE$15:$AE$164,$A43))-(SUMIFS('Payment Breakdown Prior'!$T$15:$T$164,'Payment Breakdown Prior'!$AE$15:$AE$164,$A43))</f>
        <v/>
      </c>
      <c r="Y43">
        <f>(SUMIFS('Payment Breakdown Current'!$U$15:$U$164,'Payment Breakdown Current'!$AE$15:$AE$164,$A43))-(SUMIFS('Payment Breakdown Prior'!$U$15:$U$164,'Payment Breakdown Prior'!$AE$15:$AE$164,$A43))</f>
        <v/>
      </c>
      <c r="Z43">
        <f>(SUMIFS('Payment Breakdown Current'!$V$15:$V$164,'Payment Breakdown Current'!$AE$15:$AE$164,$A43))-(SUMIFS('Payment Breakdown Prior'!$V$15:$V$164,'Payment Breakdown Prior'!$AE$15:$AE$164,$A43))</f>
        <v/>
      </c>
      <c r="AA43">
        <f>(SUMIFS('Payment Breakdown Current'!$W$15:$W$164,'Payment Breakdown Current'!$AE$15:$AE$164,$A43))-(SUMIFS('Payment Breakdown Prior'!$W$15:$W$164,'Payment Breakdown Prior'!$AE$15:$AE$164,$A43))</f>
        <v/>
      </c>
      <c r="AB43">
        <f>(SUMIFS('Payment Breakdown Current'!$X$15:$X$164,'Payment Breakdown Current'!$AE$15:$AE$164,$A43))-(SUMIFS('Payment Breakdown Prior'!$X$15:$X$164,'Payment Breakdown Prior'!$AE$15:$AE$164,$A43))</f>
        <v/>
      </c>
      <c r="AC43">
        <f>(SUMIFS('Payment Breakdown Current'!$Y$15:$Y$164,'Payment Breakdown Current'!$AE$15:$AE$164,$A43))-(SUMIFS('Payment Breakdown Prior'!$Y$15:$Y$164,'Payment Breakdown Prior'!$AE$15:$AE$164,$A43))</f>
        <v/>
      </c>
      <c r="AD43">
        <f>(SUMIFS('Payment Breakdown Current'!$Z$15:$Z$164,'Payment Breakdown Current'!$AE$15:$AE$164,$A43))-(SUMIFS('Payment Breakdown Prior'!$Z$15:$Z$164,'Payment Breakdown Prior'!$AE$15:$AE$164,$A43))</f>
        <v/>
      </c>
      <c r="AE43">
        <f>(SUMIFS('Payment Breakdown Current'!$AA$15:$AA$164,'Payment Breakdown Current'!$AE$15:$AE$164,$A43))-(SUMIFS('Payment Breakdown Prior'!$AA$15:$AA$164,'Payment Breakdown Prior'!$AE$15:$AE$164,$A43))</f>
        <v/>
      </c>
      <c r="AF43">
        <f>(SUMIFS('Payment Breakdown Current'!$AB$15:$AB$164,'Payment Breakdown Current'!$AE$15:$AE$164,$A43))-(SUMIFS('Payment Breakdown Prior'!$AB$15:$AB$164,'Payment Breakdown Prior'!$AE$15:$AE$164,$A43))</f>
        <v/>
      </c>
      <c r="AG43">
        <f>(SUMIFS('Payment Breakdown Current'!$AC$15:$AC$164,'Payment Breakdown Current'!$AE$15:$AE$164,$A43))-(SUMIFS('Payment Breakdown Prior'!$AC$15:$AC$164,'Payment Breakdown Prior'!$AE$15:$AE$164,$A43))</f>
        <v/>
      </c>
      <c r="AH43">
        <f>(SUMIFS('Payment Breakdown Current'!$AD$15:$AD$164,'Payment Breakdown Current'!$AE$15:$AE$164,$A43))-(SUMIFS('Payment Breakdown Prior'!$AD$15:$AD$164,'Payment Breakdown Prior'!$AE$15:$AE$164,$A43))</f>
        <v/>
      </c>
      <c r="AI43">
        <f t="array" ref="AI43">MAX(ABS(W43:AH43))</f>
        <v/>
      </c>
      <c r="AJ43">
        <f t="array" ref="AJ43">IF(AI43&lt;0.005,"",IFERROR(INDEX($W$1:$AH$1,MATCH(AI43,ABS(W43:AH43),0)),""))</f>
        <v/>
      </c>
      <c r="AK43">
        <f t="array" ref="AK43">IF(AI43&lt;0.005,"",IFERROR(INDEX(W43:AH43,MATCH(AI43,ABS(W43:AH43),0)),""))</f>
        <v/>
      </c>
      <c r="AL43">
        <f>IF(R43=1,ABS(L43)-ROW()/100000000,"")</f>
        <v/>
      </c>
    </row>
    <row r="44">
      <c r="A44">
        <f>IF('NPV Comparison'!D57="","",'NPV Comparison'!D57)</f>
        <v/>
      </c>
      <c r="B44">
        <f>IF('NPV Comparison'!E57="","",'NPV Comparison'!E57)</f>
        <v/>
      </c>
      <c r="C44">
        <f>IF('NPV Comparison'!F57="","",'NPV Comparison'!F57)</f>
        <v/>
      </c>
      <c r="D44">
        <f>IF($A44="","",IFERROR(INDEX(Structure!$E$13:$E$312,MATCH($A44,Structure!$P$13:$P$312,0)),""))</f>
        <v/>
      </c>
      <c r="E44">
        <f>IF($A44="",0,IF(COUNTIF(Structure!$P$13:$P$312,$A44)=0,0,IF(COUNTIFS(Structure!$P$13:$P$312,$A44,Structure!$N$13:$N$312,"&lt;&gt;Zero Hours")=0,1,0)))</f>
        <v/>
      </c>
      <c r="F44">
        <f>IF($A44="",0,1-E44)</f>
        <v/>
      </c>
      <c r="G44">
        <f>IF($A44="",0,IF(COUNTIF('New Starters'!$D$14:$D$73,$A44)&gt;0,1,0))</f>
        <v/>
      </c>
      <c r="H44">
        <f>IF($A44="",0,IF(COUNTIF('Leavers'!$D$12:$D$71,$A44)&gt;0,1,0))</f>
        <v/>
      </c>
      <c r="I44">
        <f>IF($A44="","",IFERROR(INDEX('New Starters'!$K$14:$K$73,MATCH($A44,'New Starters'!$D$14:$D$73,0)),IFERROR(INDEX('Leavers'!$K$12:$K$71,MATCH($A44,'Leavers'!$D$12:$D$71,0)),"")))</f>
        <v/>
      </c>
      <c r="J44">
        <f>IF(AND(G44=1,I44&lt;&gt;"",COUNTIF('Leavers'!$K$12:$K$71,I44)&gt;0),1,IF(AND(H44=1,I44&lt;&gt;"",COUNTIF('New Starters'!$K$14:$K$73,I44)&gt;0),1,0))</f>
        <v/>
      </c>
      <c r="K44">
        <f>IF(ISNUMBER(SEARCH("Head Office",D44)),'Control Sheet'!$C$6,'Control Sheet'!$C$5)</f>
        <v/>
      </c>
      <c r="L44">
        <f>IF(OR($A44="",AND(B44="",C44="")),"",IF(B44="",C44,IF(C44="",-B44,C44-B44)))</f>
        <v/>
      </c>
      <c r="M44">
        <f>IFERROR(L44/B44,"")</f>
        <v/>
      </c>
      <c r="N44">
        <f>IF($A44="",0,IF(OR(B44="",C44="",C44=0,AND(ISNUMBER(M44),ABS(M44)&gt;K44)),1,0))</f>
        <v/>
      </c>
      <c r="O44">
        <f>IF(AND(N44=1,ABS(L44)&gt;='Control Sheet'!$C$7,F44=1),1,0)</f>
        <v/>
      </c>
      <c r="P44">
        <f>IF($A44="","",IF(F44=0,"Zero Hours",IF(J44=1,"Explained: Paired transfer",IF(AND(G44=1,H44=0,J44=0),"Explained: Starter",IF(AND(H44=1,G44=0,J44=0),"Explained: Leaver",IF(O44=1,"Review required","OK"))))))</f>
        <v/>
      </c>
      <c r="Q44">
        <f>IF(AND(F44=1,OR(C44="",C44=0),H44=0,J44=0),1,0)</f>
        <v/>
      </c>
      <c r="R44">
        <f>IF(F44=0,0,IF(P44="Review required",1,IF(AND(P44="Explained: Starter",ISNUMBER(C44),C44&gt;=1500),1,0)))</f>
        <v/>
      </c>
      <c r="S44">
        <f>IF(R44=0,"",IF(Q44=1,"High",IF(AND(P44="Explained: Starter",C44&gt;=1500),"High",IF(ABS(L44)&gt;=2000,"High",IF(ABS(L44)&gt;=500,"Medium","Low")))))</f>
        <v/>
      </c>
      <c r="T44">
        <f>SUMIFS('Payment Breakdown Prior'!$S$15:$S$164,'Payment Breakdown Prior'!$AE$15:$AE$164,$A44)</f>
        <v/>
      </c>
      <c r="U44">
        <f>SUMIFS('Payment Breakdown Current'!$S$15:$S$164,'Payment Breakdown Current'!$AE$15:$AE$164,$A44)</f>
        <v/>
      </c>
      <c r="V44">
        <f>IFERROR((U44-T44)/T44,"")</f>
        <v/>
      </c>
      <c r="W44">
        <f>(SUMIFS('Payment Breakdown Current'!$S$15:$S$164,'Payment Breakdown Current'!$AE$15:$AE$164,$A44))-(SUMIFS('Payment Breakdown Prior'!$S$15:$S$164,'Payment Breakdown Prior'!$AE$15:$AE$164,$A44))</f>
        <v/>
      </c>
      <c r="X44">
        <f>(SUMIFS('Payment Breakdown Current'!$T$15:$T$164,'Payment Breakdown Current'!$AE$15:$AE$164,$A44))-(SUMIFS('Payment Breakdown Prior'!$T$15:$T$164,'Payment Breakdown Prior'!$AE$15:$AE$164,$A44))</f>
        <v/>
      </c>
      <c r="Y44">
        <f>(SUMIFS('Payment Breakdown Current'!$U$15:$U$164,'Payment Breakdown Current'!$AE$15:$AE$164,$A44))-(SUMIFS('Payment Breakdown Prior'!$U$15:$U$164,'Payment Breakdown Prior'!$AE$15:$AE$164,$A44))</f>
        <v/>
      </c>
      <c r="Z44">
        <f>(SUMIFS('Payment Breakdown Current'!$V$15:$V$164,'Payment Breakdown Current'!$AE$15:$AE$164,$A44))-(SUMIFS('Payment Breakdown Prior'!$V$15:$V$164,'Payment Breakdown Prior'!$AE$15:$AE$164,$A44))</f>
        <v/>
      </c>
      <c r="AA44">
        <f>(SUMIFS('Payment Breakdown Current'!$W$15:$W$164,'Payment Breakdown Current'!$AE$15:$AE$164,$A44))-(SUMIFS('Payment Breakdown Prior'!$W$15:$W$164,'Payment Breakdown Prior'!$AE$15:$AE$164,$A44))</f>
        <v/>
      </c>
      <c r="AB44">
        <f>(SUMIFS('Payment Breakdown Current'!$X$15:$X$164,'Payment Breakdown Current'!$AE$15:$AE$164,$A44))-(SUMIFS('Payment Breakdown Prior'!$X$15:$X$164,'Payment Breakdown Prior'!$AE$15:$AE$164,$A44))</f>
        <v/>
      </c>
      <c r="AC44">
        <f>(SUMIFS('Payment Breakdown Current'!$Y$15:$Y$164,'Payment Breakdown Current'!$AE$15:$AE$164,$A44))-(SUMIFS('Payment Breakdown Prior'!$Y$15:$Y$164,'Payment Breakdown Prior'!$AE$15:$AE$164,$A44))</f>
        <v/>
      </c>
      <c r="AD44">
        <f>(SUMIFS('Payment Breakdown Current'!$Z$15:$Z$164,'Payment Breakdown Current'!$AE$15:$AE$164,$A44))-(SUMIFS('Payment Breakdown Prior'!$Z$15:$Z$164,'Payment Breakdown Prior'!$AE$15:$AE$164,$A44))</f>
        <v/>
      </c>
      <c r="AE44">
        <f>(SUMIFS('Payment Breakdown Current'!$AA$15:$AA$164,'Payment Breakdown Current'!$AE$15:$AE$164,$A44))-(SUMIFS('Payment Breakdown Prior'!$AA$15:$AA$164,'Payment Breakdown Prior'!$AE$15:$AE$164,$A44))</f>
        <v/>
      </c>
      <c r="AF44">
        <f>(SUMIFS('Payment Breakdown Current'!$AB$15:$AB$164,'Payment Breakdown Current'!$AE$15:$AE$164,$A44))-(SUMIFS('Payment Breakdown Prior'!$AB$15:$AB$164,'Payment Breakdown Prior'!$AE$15:$AE$164,$A44))</f>
        <v/>
      </c>
      <c r="AG44">
        <f>(SUMIFS('Payment Breakdown Current'!$AC$15:$AC$164,'Payment Breakdown Current'!$AE$15:$AE$164,$A44))-(SUMIFS('Payment Breakdown Prior'!$AC$15:$AC$164,'Payment Breakdown Prior'!$AE$15:$AE$164,$A44))</f>
        <v/>
      </c>
      <c r="AH44">
        <f>(SUMIFS('Payment Breakdown Current'!$AD$15:$AD$164,'Payment Breakdown Current'!$AE$15:$AE$164,$A44))-(SUMIFS('Payment Breakdown Prior'!$AD$15:$AD$164,'Payment Breakdown Prior'!$AE$15:$AE$164,$A44))</f>
        <v/>
      </c>
      <c r="AI44">
        <f t="array" ref="AI44">MAX(ABS(W44:AH44))</f>
        <v/>
      </c>
      <c r="AJ44">
        <f t="array" ref="AJ44">IF(AI44&lt;0.005,"",IFERROR(INDEX($W$1:$AH$1,MATCH(AI44,ABS(W44:AH44),0)),""))</f>
        <v/>
      </c>
      <c r="AK44">
        <f t="array" ref="AK44">IF(AI44&lt;0.005,"",IFERROR(INDEX(W44:AH44,MATCH(AI44,ABS(W44:AH44),0)),""))</f>
        <v/>
      </c>
      <c r="AL44">
        <f>IF(R44=1,ABS(L44)-ROW()/100000000,"")</f>
        <v/>
      </c>
    </row>
    <row r="45">
      <c r="A45">
        <f>IF('NPV Comparison'!D58="","",'NPV Comparison'!D58)</f>
        <v/>
      </c>
      <c r="B45">
        <f>IF('NPV Comparison'!E58="","",'NPV Comparison'!E58)</f>
        <v/>
      </c>
      <c r="C45">
        <f>IF('NPV Comparison'!F58="","",'NPV Comparison'!F58)</f>
        <v/>
      </c>
      <c r="D45">
        <f>IF($A45="","",IFERROR(INDEX(Structure!$E$13:$E$312,MATCH($A45,Structure!$P$13:$P$312,0)),""))</f>
        <v/>
      </c>
      <c r="E45">
        <f>IF($A45="",0,IF(COUNTIF(Structure!$P$13:$P$312,$A45)=0,0,IF(COUNTIFS(Structure!$P$13:$P$312,$A45,Structure!$N$13:$N$312,"&lt;&gt;Zero Hours")=0,1,0)))</f>
        <v/>
      </c>
      <c r="F45">
        <f>IF($A45="",0,1-E45)</f>
        <v/>
      </c>
      <c r="G45">
        <f>IF($A45="",0,IF(COUNTIF('New Starters'!$D$14:$D$73,$A45)&gt;0,1,0))</f>
        <v/>
      </c>
      <c r="H45">
        <f>IF($A45="",0,IF(COUNTIF('Leavers'!$D$12:$D$71,$A45)&gt;0,1,0))</f>
        <v/>
      </c>
      <c r="I45">
        <f>IF($A45="","",IFERROR(INDEX('New Starters'!$K$14:$K$73,MATCH($A45,'New Starters'!$D$14:$D$73,0)),IFERROR(INDEX('Leavers'!$K$12:$K$71,MATCH($A45,'Leavers'!$D$12:$D$71,0)),"")))</f>
        <v/>
      </c>
      <c r="J45">
        <f>IF(AND(G45=1,I45&lt;&gt;"",COUNTIF('Leavers'!$K$12:$K$71,I45)&gt;0),1,IF(AND(H45=1,I45&lt;&gt;"",COUNTIF('New Starters'!$K$14:$K$73,I45)&gt;0),1,0))</f>
        <v/>
      </c>
      <c r="K45">
        <f>IF(ISNUMBER(SEARCH("Head Office",D45)),'Control Sheet'!$C$6,'Control Sheet'!$C$5)</f>
        <v/>
      </c>
      <c r="L45">
        <f>IF(OR($A45="",AND(B45="",C45="")),"",IF(B45="",C45,IF(C45="",-B45,C45-B45)))</f>
        <v/>
      </c>
      <c r="M45">
        <f>IFERROR(L45/B45,"")</f>
        <v/>
      </c>
      <c r="N45">
        <f>IF($A45="",0,IF(OR(B45="",C45="",C45=0,AND(ISNUMBER(M45),ABS(M45)&gt;K45)),1,0))</f>
        <v/>
      </c>
      <c r="O45">
        <f>IF(AND(N45=1,ABS(L45)&gt;='Control Sheet'!$C$7,F45=1),1,0)</f>
        <v/>
      </c>
      <c r="P45">
        <f>IF($A45="","",IF(F45=0,"Zero Hours",IF(J45=1,"Explained: Paired transfer",IF(AND(G45=1,H45=0,J45=0),"Explained: Starter",IF(AND(H45=1,G45=0,J45=0),"Explained: Leaver",IF(O45=1,"Review required","OK"))))))</f>
        <v/>
      </c>
      <c r="Q45">
        <f>IF(AND(F45=1,OR(C45="",C45=0),H45=0,J45=0),1,0)</f>
        <v/>
      </c>
      <c r="R45">
        <f>IF(F45=0,0,IF(P45="Review required",1,IF(AND(P45="Explained: Starter",ISNUMBER(C45),C45&gt;=1500),1,0)))</f>
        <v/>
      </c>
      <c r="S45">
        <f>IF(R45=0,"",IF(Q45=1,"High",IF(AND(P45="Explained: Starter",C45&gt;=1500),"High",IF(ABS(L45)&gt;=2000,"High",IF(ABS(L45)&gt;=500,"Medium","Low")))))</f>
        <v/>
      </c>
      <c r="T45">
        <f>SUMIFS('Payment Breakdown Prior'!$S$15:$S$164,'Payment Breakdown Prior'!$AE$15:$AE$164,$A45)</f>
        <v/>
      </c>
      <c r="U45">
        <f>SUMIFS('Payment Breakdown Current'!$S$15:$S$164,'Payment Breakdown Current'!$AE$15:$AE$164,$A45)</f>
        <v/>
      </c>
      <c r="V45">
        <f>IFERROR((U45-T45)/T45,"")</f>
        <v/>
      </c>
      <c r="W45">
        <f>(SUMIFS('Payment Breakdown Current'!$S$15:$S$164,'Payment Breakdown Current'!$AE$15:$AE$164,$A45))-(SUMIFS('Payment Breakdown Prior'!$S$15:$S$164,'Payment Breakdown Prior'!$AE$15:$AE$164,$A45))</f>
        <v/>
      </c>
      <c r="X45">
        <f>(SUMIFS('Payment Breakdown Current'!$T$15:$T$164,'Payment Breakdown Current'!$AE$15:$AE$164,$A45))-(SUMIFS('Payment Breakdown Prior'!$T$15:$T$164,'Payment Breakdown Prior'!$AE$15:$AE$164,$A45))</f>
        <v/>
      </c>
      <c r="Y45">
        <f>(SUMIFS('Payment Breakdown Current'!$U$15:$U$164,'Payment Breakdown Current'!$AE$15:$AE$164,$A45))-(SUMIFS('Payment Breakdown Prior'!$U$15:$U$164,'Payment Breakdown Prior'!$AE$15:$AE$164,$A45))</f>
        <v/>
      </c>
      <c r="Z45">
        <f>(SUMIFS('Payment Breakdown Current'!$V$15:$V$164,'Payment Breakdown Current'!$AE$15:$AE$164,$A45))-(SUMIFS('Payment Breakdown Prior'!$V$15:$V$164,'Payment Breakdown Prior'!$AE$15:$AE$164,$A45))</f>
        <v/>
      </c>
      <c r="AA45">
        <f>(SUMIFS('Payment Breakdown Current'!$W$15:$W$164,'Payment Breakdown Current'!$AE$15:$AE$164,$A45))-(SUMIFS('Payment Breakdown Prior'!$W$15:$W$164,'Payment Breakdown Prior'!$AE$15:$AE$164,$A45))</f>
        <v/>
      </c>
      <c r="AB45">
        <f>(SUMIFS('Payment Breakdown Current'!$X$15:$X$164,'Payment Breakdown Current'!$AE$15:$AE$164,$A45))-(SUMIFS('Payment Breakdown Prior'!$X$15:$X$164,'Payment Breakdown Prior'!$AE$15:$AE$164,$A45))</f>
        <v/>
      </c>
      <c r="AC45">
        <f>(SUMIFS('Payment Breakdown Current'!$Y$15:$Y$164,'Payment Breakdown Current'!$AE$15:$AE$164,$A45))-(SUMIFS('Payment Breakdown Prior'!$Y$15:$Y$164,'Payment Breakdown Prior'!$AE$15:$AE$164,$A45))</f>
        <v/>
      </c>
      <c r="AD45">
        <f>(SUMIFS('Payment Breakdown Current'!$Z$15:$Z$164,'Payment Breakdown Current'!$AE$15:$AE$164,$A45))-(SUMIFS('Payment Breakdown Prior'!$Z$15:$Z$164,'Payment Breakdown Prior'!$AE$15:$AE$164,$A45))</f>
        <v/>
      </c>
      <c r="AE45">
        <f>(SUMIFS('Payment Breakdown Current'!$AA$15:$AA$164,'Payment Breakdown Current'!$AE$15:$AE$164,$A45))-(SUMIFS('Payment Breakdown Prior'!$AA$15:$AA$164,'Payment Breakdown Prior'!$AE$15:$AE$164,$A45))</f>
        <v/>
      </c>
      <c r="AF45">
        <f>(SUMIFS('Payment Breakdown Current'!$AB$15:$AB$164,'Payment Breakdown Current'!$AE$15:$AE$164,$A45))-(SUMIFS('Payment Breakdown Prior'!$AB$15:$AB$164,'Payment Breakdown Prior'!$AE$15:$AE$164,$A45))</f>
        <v/>
      </c>
      <c r="AG45">
        <f>(SUMIFS('Payment Breakdown Current'!$AC$15:$AC$164,'Payment Breakdown Current'!$AE$15:$AE$164,$A45))-(SUMIFS('Payment Breakdown Prior'!$AC$15:$AC$164,'Payment Breakdown Prior'!$AE$15:$AE$164,$A45))</f>
        <v/>
      </c>
      <c r="AH45">
        <f>(SUMIFS('Payment Breakdown Current'!$AD$15:$AD$164,'Payment Breakdown Current'!$AE$15:$AE$164,$A45))-(SUMIFS('Payment Breakdown Prior'!$AD$15:$AD$164,'Payment Breakdown Prior'!$AE$15:$AE$164,$A45))</f>
        <v/>
      </c>
      <c r="AI45">
        <f t="array" ref="AI45">MAX(ABS(W45:AH45))</f>
        <v/>
      </c>
      <c r="AJ45">
        <f t="array" ref="AJ45">IF(AI45&lt;0.005,"",IFERROR(INDEX($W$1:$AH$1,MATCH(AI45,ABS(W45:AH45),0)),""))</f>
        <v/>
      </c>
      <c r="AK45">
        <f t="array" ref="AK45">IF(AI45&lt;0.005,"",IFERROR(INDEX(W45:AH45,MATCH(AI45,ABS(W45:AH45),0)),""))</f>
        <v/>
      </c>
      <c r="AL45">
        <f>IF(R45=1,ABS(L45)-ROW()/100000000,"")</f>
        <v/>
      </c>
    </row>
    <row r="46">
      <c r="A46">
        <f>IF('NPV Comparison'!D59="","",'NPV Comparison'!D59)</f>
        <v/>
      </c>
      <c r="B46">
        <f>IF('NPV Comparison'!E59="","",'NPV Comparison'!E59)</f>
        <v/>
      </c>
      <c r="C46">
        <f>IF('NPV Comparison'!F59="","",'NPV Comparison'!F59)</f>
        <v/>
      </c>
      <c r="D46">
        <f>IF($A46="","",IFERROR(INDEX(Structure!$E$13:$E$312,MATCH($A46,Structure!$P$13:$P$312,0)),""))</f>
        <v/>
      </c>
      <c r="E46">
        <f>IF($A46="",0,IF(COUNTIF(Structure!$P$13:$P$312,$A46)=0,0,IF(COUNTIFS(Structure!$P$13:$P$312,$A46,Structure!$N$13:$N$312,"&lt;&gt;Zero Hours")=0,1,0)))</f>
        <v/>
      </c>
      <c r="F46">
        <f>IF($A46="",0,1-E46)</f>
        <v/>
      </c>
      <c r="G46">
        <f>IF($A46="",0,IF(COUNTIF('New Starters'!$D$14:$D$73,$A46)&gt;0,1,0))</f>
        <v/>
      </c>
      <c r="H46">
        <f>IF($A46="",0,IF(COUNTIF('Leavers'!$D$12:$D$71,$A46)&gt;0,1,0))</f>
        <v/>
      </c>
      <c r="I46">
        <f>IF($A46="","",IFERROR(INDEX('New Starters'!$K$14:$K$73,MATCH($A46,'New Starters'!$D$14:$D$73,0)),IFERROR(INDEX('Leavers'!$K$12:$K$71,MATCH($A46,'Leavers'!$D$12:$D$71,0)),"")))</f>
        <v/>
      </c>
      <c r="J46">
        <f>IF(AND(G46=1,I46&lt;&gt;"",COUNTIF('Leavers'!$K$12:$K$71,I46)&gt;0),1,IF(AND(H46=1,I46&lt;&gt;"",COUNTIF('New Starters'!$K$14:$K$73,I46)&gt;0),1,0))</f>
        <v/>
      </c>
      <c r="K46">
        <f>IF(ISNUMBER(SEARCH("Head Office",D46)),'Control Sheet'!$C$6,'Control Sheet'!$C$5)</f>
        <v/>
      </c>
      <c r="L46">
        <f>IF(OR($A46="",AND(B46="",C46="")),"",IF(B46="",C46,IF(C46="",-B46,C46-B46)))</f>
        <v/>
      </c>
      <c r="M46">
        <f>IFERROR(L46/B46,"")</f>
        <v/>
      </c>
      <c r="N46">
        <f>IF($A46="",0,IF(OR(B46="",C46="",C46=0,AND(ISNUMBER(M46),ABS(M46)&gt;K46)),1,0))</f>
        <v/>
      </c>
      <c r="O46">
        <f>IF(AND(N46=1,ABS(L46)&gt;='Control Sheet'!$C$7,F46=1),1,0)</f>
        <v/>
      </c>
      <c r="P46">
        <f>IF($A46="","",IF(F46=0,"Zero Hours",IF(J46=1,"Explained: Paired transfer",IF(AND(G46=1,H46=0,J46=0),"Explained: Starter",IF(AND(H46=1,G46=0,J46=0),"Explained: Leaver",IF(O46=1,"Review required","OK"))))))</f>
        <v/>
      </c>
      <c r="Q46">
        <f>IF(AND(F46=1,OR(C46="",C46=0),H46=0,J46=0),1,0)</f>
        <v/>
      </c>
      <c r="R46">
        <f>IF(F46=0,0,IF(P46="Review required",1,IF(AND(P46="Explained: Starter",ISNUMBER(C46),C46&gt;=1500),1,0)))</f>
        <v/>
      </c>
      <c r="S46">
        <f>IF(R46=0,"",IF(Q46=1,"High",IF(AND(P46="Explained: Starter",C46&gt;=1500),"High",IF(ABS(L46)&gt;=2000,"High",IF(ABS(L46)&gt;=500,"Medium","Low")))))</f>
        <v/>
      </c>
      <c r="T46">
        <f>SUMIFS('Payment Breakdown Prior'!$S$15:$S$164,'Payment Breakdown Prior'!$AE$15:$AE$164,$A46)</f>
        <v/>
      </c>
      <c r="U46">
        <f>SUMIFS('Payment Breakdown Current'!$S$15:$S$164,'Payment Breakdown Current'!$AE$15:$AE$164,$A46)</f>
        <v/>
      </c>
      <c r="V46">
        <f>IFERROR((U46-T46)/T46,"")</f>
        <v/>
      </c>
      <c r="W46">
        <f>(SUMIFS('Payment Breakdown Current'!$S$15:$S$164,'Payment Breakdown Current'!$AE$15:$AE$164,$A46))-(SUMIFS('Payment Breakdown Prior'!$S$15:$S$164,'Payment Breakdown Prior'!$AE$15:$AE$164,$A46))</f>
        <v/>
      </c>
      <c r="X46">
        <f>(SUMIFS('Payment Breakdown Current'!$T$15:$T$164,'Payment Breakdown Current'!$AE$15:$AE$164,$A46))-(SUMIFS('Payment Breakdown Prior'!$T$15:$T$164,'Payment Breakdown Prior'!$AE$15:$AE$164,$A46))</f>
        <v/>
      </c>
      <c r="Y46">
        <f>(SUMIFS('Payment Breakdown Current'!$U$15:$U$164,'Payment Breakdown Current'!$AE$15:$AE$164,$A46))-(SUMIFS('Payment Breakdown Prior'!$U$15:$U$164,'Payment Breakdown Prior'!$AE$15:$AE$164,$A46))</f>
        <v/>
      </c>
      <c r="Z46">
        <f>(SUMIFS('Payment Breakdown Current'!$V$15:$V$164,'Payment Breakdown Current'!$AE$15:$AE$164,$A46))-(SUMIFS('Payment Breakdown Prior'!$V$15:$V$164,'Payment Breakdown Prior'!$AE$15:$AE$164,$A46))</f>
        <v/>
      </c>
      <c r="AA46">
        <f>(SUMIFS('Payment Breakdown Current'!$W$15:$W$164,'Payment Breakdown Current'!$AE$15:$AE$164,$A46))-(SUMIFS('Payment Breakdown Prior'!$W$15:$W$164,'Payment Breakdown Prior'!$AE$15:$AE$164,$A46))</f>
        <v/>
      </c>
      <c r="AB46">
        <f>(SUMIFS('Payment Breakdown Current'!$X$15:$X$164,'Payment Breakdown Current'!$AE$15:$AE$164,$A46))-(SUMIFS('Payment Breakdown Prior'!$X$15:$X$164,'Payment Breakdown Prior'!$AE$15:$AE$164,$A46))</f>
        <v/>
      </c>
      <c r="AC46">
        <f>(SUMIFS('Payment Breakdown Current'!$Y$15:$Y$164,'Payment Breakdown Current'!$AE$15:$AE$164,$A46))-(SUMIFS('Payment Breakdown Prior'!$Y$15:$Y$164,'Payment Breakdown Prior'!$AE$15:$AE$164,$A46))</f>
        <v/>
      </c>
      <c r="AD46">
        <f>(SUMIFS('Payment Breakdown Current'!$Z$15:$Z$164,'Payment Breakdown Current'!$AE$15:$AE$164,$A46))-(SUMIFS('Payment Breakdown Prior'!$Z$15:$Z$164,'Payment Breakdown Prior'!$AE$15:$AE$164,$A46))</f>
        <v/>
      </c>
      <c r="AE46">
        <f>(SUMIFS('Payment Breakdown Current'!$AA$15:$AA$164,'Payment Breakdown Current'!$AE$15:$AE$164,$A46))-(SUMIFS('Payment Breakdown Prior'!$AA$15:$AA$164,'Payment Breakdown Prior'!$AE$15:$AE$164,$A46))</f>
        <v/>
      </c>
      <c r="AF46">
        <f>(SUMIFS('Payment Breakdown Current'!$AB$15:$AB$164,'Payment Breakdown Current'!$AE$15:$AE$164,$A46))-(SUMIFS('Payment Breakdown Prior'!$AB$15:$AB$164,'Payment Breakdown Prior'!$AE$15:$AE$164,$A46))</f>
        <v/>
      </c>
      <c r="AG46">
        <f>(SUMIFS('Payment Breakdown Current'!$AC$15:$AC$164,'Payment Breakdown Current'!$AE$15:$AE$164,$A46))-(SUMIFS('Payment Breakdown Prior'!$AC$15:$AC$164,'Payment Breakdown Prior'!$AE$15:$AE$164,$A46))</f>
        <v/>
      </c>
      <c r="AH46">
        <f>(SUMIFS('Payment Breakdown Current'!$AD$15:$AD$164,'Payment Breakdown Current'!$AE$15:$AE$164,$A46))-(SUMIFS('Payment Breakdown Prior'!$AD$15:$AD$164,'Payment Breakdown Prior'!$AE$15:$AE$164,$A46))</f>
        <v/>
      </c>
      <c r="AI46">
        <f t="array" ref="AI46">MAX(ABS(W46:AH46))</f>
        <v/>
      </c>
      <c r="AJ46">
        <f t="array" ref="AJ46">IF(AI46&lt;0.005,"",IFERROR(INDEX($W$1:$AH$1,MATCH(AI46,ABS(W46:AH46),0)),""))</f>
        <v/>
      </c>
      <c r="AK46">
        <f t="array" ref="AK46">IF(AI46&lt;0.005,"",IFERROR(INDEX(W46:AH46,MATCH(AI46,ABS(W46:AH46),0)),""))</f>
        <v/>
      </c>
      <c r="AL46">
        <f>IF(R46=1,ABS(L46)-ROW()/100000000,"")</f>
        <v/>
      </c>
    </row>
    <row r="47">
      <c r="A47">
        <f>IF('NPV Comparison'!D60="","",'NPV Comparison'!D60)</f>
        <v/>
      </c>
      <c r="B47">
        <f>IF('NPV Comparison'!E60="","",'NPV Comparison'!E60)</f>
        <v/>
      </c>
      <c r="C47">
        <f>IF('NPV Comparison'!F60="","",'NPV Comparison'!F60)</f>
        <v/>
      </c>
      <c r="D47">
        <f>IF($A47="","",IFERROR(INDEX(Structure!$E$13:$E$312,MATCH($A47,Structure!$P$13:$P$312,0)),""))</f>
        <v/>
      </c>
      <c r="E47">
        <f>IF($A47="",0,IF(COUNTIF(Structure!$P$13:$P$312,$A47)=0,0,IF(COUNTIFS(Structure!$P$13:$P$312,$A47,Structure!$N$13:$N$312,"&lt;&gt;Zero Hours")=0,1,0)))</f>
        <v/>
      </c>
      <c r="F47">
        <f>IF($A47="",0,1-E47)</f>
        <v/>
      </c>
      <c r="G47">
        <f>IF($A47="",0,IF(COUNTIF('New Starters'!$D$14:$D$73,$A47)&gt;0,1,0))</f>
        <v/>
      </c>
      <c r="H47">
        <f>IF($A47="",0,IF(COUNTIF('Leavers'!$D$12:$D$71,$A47)&gt;0,1,0))</f>
        <v/>
      </c>
      <c r="I47">
        <f>IF($A47="","",IFERROR(INDEX('New Starters'!$K$14:$K$73,MATCH($A47,'New Starters'!$D$14:$D$73,0)),IFERROR(INDEX('Leavers'!$K$12:$K$71,MATCH($A47,'Leavers'!$D$12:$D$71,0)),"")))</f>
        <v/>
      </c>
      <c r="J47">
        <f>IF(AND(G47=1,I47&lt;&gt;"",COUNTIF('Leavers'!$K$12:$K$71,I47)&gt;0),1,IF(AND(H47=1,I47&lt;&gt;"",COUNTIF('New Starters'!$K$14:$K$73,I47)&gt;0),1,0))</f>
        <v/>
      </c>
      <c r="K47">
        <f>IF(ISNUMBER(SEARCH("Head Office",D47)),'Control Sheet'!$C$6,'Control Sheet'!$C$5)</f>
        <v/>
      </c>
      <c r="L47">
        <f>IF(OR($A47="",AND(B47="",C47="")),"",IF(B47="",C47,IF(C47="",-B47,C47-B47)))</f>
        <v/>
      </c>
      <c r="M47">
        <f>IFERROR(L47/B47,"")</f>
        <v/>
      </c>
      <c r="N47">
        <f>IF($A47="",0,IF(OR(B47="",C47="",C47=0,AND(ISNUMBER(M47),ABS(M47)&gt;K47)),1,0))</f>
        <v/>
      </c>
      <c r="O47">
        <f>IF(AND(N47=1,ABS(L47)&gt;='Control Sheet'!$C$7,F47=1),1,0)</f>
        <v/>
      </c>
      <c r="P47">
        <f>IF($A47="","",IF(F47=0,"Zero Hours",IF(J47=1,"Explained: Paired transfer",IF(AND(G47=1,H47=0,J47=0),"Explained: Starter",IF(AND(H47=1,G47=0,J47=0),"Explained: Leaver",IF(O47=1,"Review required","OK"))))))</f>
        <v/>
      </c>
      <c r="Q47">
        <f>IF(AND(F47=1,OR(C47="",C47=0),H47=0,J47=0),1,0)</f>
        <v/>
      </c>
      <c r="R47">
        <f>IF(F47=0,0,IF(P47="Review required",1,IF(AND(P47="Explained: Starter",ISNUMBER(C47),C47&gt;=1500),1,0)))</f>
        <v/>
      </c>
      <c r="S47">
        <f>IF(R47=0,"",IF(Q47=1,"High",IF(AND(P47="Explained: Starter",C47&gt;=1500),"High",IF(ABS(L47)&gt;=2000,"High",IF(ABS(L47)&gt;=500,"Medium","Low")))))</f>
        <v/>
      </c>
      <c r="T47">
        <f>SUMIFS('Payment Breakdown Prior'!$S$15:$S$164,'Payment Breakdown Prior'!$AE$15:$AE$164,$A47)</f>
        <v/>
      </c>
      <c r="U47">
        <f>SUMIFS('Payment Breakdown Current'!$S$15:$S$164,'Payment Breakdown Current'!$AE$15:$AE$164,$A47)</f>
        <v/>
      </c>
      <c r="V47">
        <f>IFERROR((U47-T47)/T47,"")</f>
        <v/>
      </c>
      <c r="W47">
        <f>(SUMIFS('Payment Breakdown Current'!$S$15:$S$164,'Payment Breakdown Current'!$AE$15:$AE$164,$A47))-(SUMIFS('Payment Breakdown Prior'!$S$15:$S$164,'Payment Breakdown Prior'!$AE$15:$AE$164,$A47))</f>
        <v/>
      </c>
      <c r="X47">
        <f>(SUMIFS('Payment Breakdown Current'!$T$15:$T$164,'Payment Breakdown Current'!$AE$15:$AE$164,$A47))-(SUMIFS('Payment Breakdown Prior'!$T$15:$T$164,'Payment Breakdown Prior'!$AE$15:$AE$164,$A47))</f>
        <v/>
      </c>
      <c r="Y47">
        <f>(SUMIFS('Payment Breakdown Current'!$U$15:$U$164,'Payment Breakdown Current'!$AE$15:$AE$164,$A47))-(SUMIFS('Payment Breakdown Prior'!$U$15:$U$164,'Payment Breakdown Prior'!$AE$15:$AE$164,$A47))</f>
        <v/>
      </c>
      <c r="Z47">
        <f>(SUMIFS('Payment Breakdown Current'!$V$15:$V$164,'Payment Breakdown Current'!$AE$15:$AE$164,$A47))-(SUMIFS('Payment Breakdown Prior'!$V$15:$V$164,'Payment Breakdown Prior'!$AE$15:$AE$164,$A47))</f>
        <v/>
      </c>
      <c r="AA47">
        <f>(SUMIFS('Payment Breakdown Current'!$W$15:$W$164,'Payment Breakdown Current'!$AE$15:$AE$164,$A47))-(SUMIFS('Payment Breakdown Prior'!$W$15:$W$164,'Payment Breakdown Prior'!$AE$15:$AE$164,$A47))</f>
        <v/>
      </c>
      <c r="AB47">
        <f>(SUMIFS('Payment Breakdown Current'!$X$15:$X$164,'Payment Breakdown Current'!$AE$15:$AE$164,$A47))-(SUMIFS('Payment Breakdown Prior'!$X$15:$X$164,'Payment Breakdown Prior'!$AE$15:$AE$164,$A47))</f>
        <v/>
      </c>
      <c r="AC47">
        <f>(SUMIFS('Payment Breakdown Current'!$Y$15:$Y$164,'Payment Breakdown Current'!$AE$15:$AE$164,$A47))-(SUMIFS('Payment Breakdown Prior'!$Y$15:$Y$164,'Payment Breakdown Prior'!$AE$15:$AE$164,$A47))</f>
        <v/>
      </c>
      <c r="AD47">
        <f>(SUMIFS('Payment Breakdown Current'!$Z$15:$Z$164,'Payment Breakdown Current'!$AE$15:$AE$164,$A47))-(SUMIFS('Payment Breakdown Prior'!$Z$15:$Z$164,'Payment Breakdown Prior'!$AE$15:$AE$164,$A47))</f>
        <v/>
      </c>
      <c r="AE47">
        <f>(SUMIFS('Payment Breakdown Current'!$AA$15:$AA$164,'Payment Breakdown Current'!$AE$15:$AE$164,$A47))-(SUMIFS('Payment Breakdown Prior'!$AA$15:$AA$164,'Payment Breakdown Prior'!$AE$15:$AE$164,$A47))</f>
        <v/>
      </c>
      <c r="AF47">
        <f>(SUMIFS('Payment Breakdown Current'!$AB$15:$AB$164,'Payment Breakdown Current'!$AE$15:$AE$164,$A47))-(SUMIFS('Payment Breakdown Prior'!$AB$15:$AB$164,'Payment Breakdown Prior'!$AE$15:$AE$164,$A47))</f>
        <v/>
      </c>
      <c r="AG47">
        <f>(SUMIFS('Payment Breakdown Current'!$AC$15:$AC$164,'Payment Breakdown Current'!$AE$15:$AE$164,$A47))-(SUMIFS('Payment Breakdown Prior'!$AC$15:$AC$164,'Payment Breakdown Prior'!$AE$15:$AE$164,$A47))</f>
        <v/>
      </c>
      <c r="AH47">
        <f>(SUMIFS('Payment Breakdown Current'!$AD$15:$AD$164,'Payment Breakdown Current'!$AE$15:$AE$164,$A47))-(SUMIFS('Payment Breakdown Prior'!$AD$15:$AD$164,'Payment Breakdown Prior'!$AE$15:$AE$164,$A47))</f>
        <v/>
      </c>
      <c r="AI47">
        <f t="array" ref="AI47">MAX(ABS(W47:AH47))</f>
        <v/>
      </c>
      <c r="AJ47">
        <f t="array" ref="AJ47">IF(AI47&lt;0.005,"",IFERROR(INDEX($W$1:$AH$1,MATCH(AI47,ABS(W47:AH47),0)),""))</f>
        <v/>
      </c>
      <c r="AK47">
        <f t="array" ref="AK47">IF(AI47&lt;0.005,"",IFERROR(INDEX(W47:AH47,MATCH(AI47,ABS(W47:AH47),0)),""))</f>
        <v/>
      </c>
      <c r="AL47">
        <f>IF(R47=1,ABS(L47)-ROW()/100000000,"")</f>
        <v/>
      </c>
    </row>
    <row r="48">
      <c r="A48">
        <f>IF('NPV Comparison'!D61="","",'NPV Comparison'!D61)</f>
        <v/>
      </c>
      <c r="B48">
        <f>IF('NPV Comparison'!E61="","",'NPV Comparison'!E61)</f>
        <v/>
      </c>
      <c r="C48">
        <f>IF('NPV Comparison'!F61="","",'NPV Comparison'!F61)</f>
        <v/>
      </c>
      <c r="D48">
        <f>IF($A48="","",IFERROR(INDEX(Structure!$E$13:$E$312,MATCH($A48,Structure!$P$13:$P$312,0)),""))</f>
        <v/>
      </c>
      <c r="E48">
        <f>IF($A48="",0,IF(COUNTIF(Structure!$P$13:$P$312,$A48)=0,0,IF(COUNTIFS(Structure!$P$13:$P$312,$A48,Structure!$N$13:$N$312,"&lt;&gt;Zero Hours")=0,1,0)))</f>
        <v/>
      </c>
      <c r="F48">
        <f>IF($A48="",0,1-E48)</f>
        <v/>
      </c>
      <c r="G48">
        <f>IF($A48="",0,IF(COUNTIF('New Starters'!$D$14:$D$73,$A48)&gt;0,1,0))</f>
        <v/>
      </c>
      <c r="H48">
        <f>IF($A48="",0,IF(COUNTIF('Leavers'!$D$12:$D$71,$A48)&gt;0,1,0))</f>
        <v/>
      </c>
      <c r="I48">
        <f>IF($A48="","",IFERROR(INDEX('New Starters'!$K$14:$K$73,MATCH($A48,'New Starters'!$D$14:$D$73,0)),IFERROR(INDEX('Leavers'!$K$12:$K$71,MATCH($A48,'Leavers'!$D$12:$D$71,0)),"")))</f>
        <v/>
      </c>
      <c r="J48">
        <f>IF(AND(G48=1,I48&lt;&gt;"",COUNTIF('Leavers'!$K$12:$K$71,I48)&gt;0),1,IF(AND(H48=1,I48&lt;&gt;"",COUNTIF('New Starters'!$K$14:$K$73,I48)&gt;0),1,0))</f>
        <v/>
      </c>
      <c r="K48">
        <f>IF(ISNUMBER(SEARCH("Head Office",D48)),'Control Sheet'!$C$6,'Control Sheet'!$C$5)</f>
        <v/>
      </c>
      <c r="L48">
        <f>IF(OR($A48="",AND(B48="",C48="")),"",IF(B48="",C48,IF(C48="",-B48,C48-B48)))</f>
        <v/>
      </c>
      <c r="M48">
        <f>IFERROR(L48/B48,"")</f>
        <v/>
      </c>
      <c r="N48">
        <f>IF($A48="",0,IF(OR(B48="",C48="",C48=0,AND(ISNUMBER(M48),ABS(M48)&gt;K48)),1,0))</f>
        <v/>
      </c>
      <c r="O48">
        <f>IF(AND(N48=1,ABS(L48)&gt;='Control Sheet'!$C$7,F48=1),1,0)</f>
        <v/>
      </c>
      <c r="P48">
        <f>IF($A48="","",IF(F48=0,"Zero Hours",IF(J48=1,"Explained: Paired transfer",IF(AND(G48=1,H48=0,J48=0),"Explained: Starter",IF(AND(H48=1,G48=0,J48=0),"Explained: Leaver",IF(O48=1,"Review required","OK"))))))</f>
        <v/>
      </c>
      <c r="Q48">
        <f>IF(AND(F48=1,OR(C48="",C48=0),H48=0,J48=0),1,0)</f>
        <v/>
      </c>
      <c r="R48">
        <f>IF(F48=0,0,IF(P48="Review required",1,IF(AND(P48="Explained: Starter",ISNUMBER(C48),C48&gt;=1500),1,0)))</f>
        <v/>
      </c>
      <c r="S48">
        <f>IF(R48=0,"",IF(Q48=1,"High",IF(AND(P48="Explained: Starter",C48&gt;=1500),"High",IF(ABS(L48)&gt;=2000,"High",IF(ABS(L48)&gt;=500,"Medium","Low")))))</f>
        <v/>
      </c>
      <c r="T48">
        <f>SUMIFS('Payment Breakdown Prior'!$S$15:$S$164,'Payment Breakdown Prior'!$AE$15:$AE$164,$A48)</f>
        <v/>
      </c>
      <c r="U48">
        <f>SUMIFS('Payment Breakdown Current'!$S$15:$S$164,'Payment Breakdown Current'!$AE$15:$AE$164,$A48)</f>
        <v/>
      </c>
      <c r="V48">
        <f>IFERROR((U48-T48)/T48,"")</f>
        <v/>
      </c>
      <c r="W48">
        <f>(SUMIFS('Payment Breakdown Current'!$S$15:$S$164,'Payment Breakdown Current'!$AE$15:$AE$164,$A48))-(SUMIFS('Payment Breakdown Prior'!$S$15:$S$164,'Payment Breakdown Prior'!$AE$15:$AE$164,$A48))</f>
        <v/>
      </c>
      <c r="X48">
        <f>(SUMIFS('Payment Breakdown Current'!$T$15:$T$164,'Payment Breakdown Current'!$AE$15:$AE$164,$A48))-(SUMIFS('Payment Breakdown Prior'!$T$15:$T$164,'Payment Breakdown Prior'!$AE$15:$AE$164,$A48))</f>
        <v/>
      </c>
      <c r="Y48">
        <f>(SUMIFS('Payment Breakdown Current'!$U$15:$U$164,'Payment Breakdown Current'!$AE$15:$AE$164,$A48))-(SUMIFS('Payment Breakdown Prior'!$U$15:$U$164,'Payment Breakdown Prior'!$AE$15:$AE$164,$A48))</f>
        <v/>
      </c>
      <c r="Z48">
        <f>(SUMIFS('Payment Breakdown Current'!$V$15:$V$164,'Payment Breakdown Current'!$AE$15:$AE$164,$A48))-(SUMIFS('Payment Breakdown Prior'!$V$15:$V$164,'Payment Breakdown Prior'!$AE$15:$AE$164,$A48))</f>
        <v/>
      </c>
      <c r="AA48">
        <f>(SUMIFS('Payment Breakdown Current'!$W$15:$W$164,'Payment Breakdown Current'!$AE$15:$AE$164,$A48))-(SUMIFS('Payment Breakdown Prior'!$W$15:$W$164,'Payment Breakdown Prior'!$AE$15:$AE$164,$A48))</f>
        <v/>
      </c>
      <c r="AB48">
        <f>(SUMIFS('Payment Breakdown Current'!$X$15:$X$164,'Payment Breakdown Current'!$AE$15:$AE$164,$A48))-(SUMIFS('Payment Breakdown Prior'!$X$15:$X$164,'Payment Breakdown Prior'!$AE$15:$AE$164,$A48))</f>
        <v/>
      </c>
      <c r="AC48">
        <f>(SUMIFS('Payment Breakdown Current'!$Y$15:$Y$164,'Payment Breakdown Current'!$AE$15:$AE$164,$A48))-(SUMIFS('Payment Breakdown Prior'!$Y$15:$Y$164,'Payment Breakdown Prior'!$AE$15:$AE$164,$A48))</f>
        <v/>
      </c>
      <c r="AD48">
        <f>(SUMIFS('Payment Breakdown Current'!$Z$15:$Z$164,'Payment Breakdown Current'!$AE$15:$AE$164,$A48))-(SUMIFS('Payment Breakdown Prior'!$Z$15:$Z$164,'Payment Breakdown Prior'!$AE$15:$AE$164,$A48))</f>
        <v/>
      </c>
      <c r="AE48">
        <f>(SUMIFS('Payment Breakdown Current'!$AA$15:$AA$164,'Payment Breakdown Current'!$AE$15:$AE$164,$A48))-(SUMIFS('Payment Breakdown Prior'!$AA$15:$AA$164,'Payment Breakdown Prior'!$AE$15:$AE$164,$A48))</f>
        <v/>
      </c>
      <c r="AF48">
        <f>(SUMIFS('Payment Breakdown Current'!$AB$15:$AB$164,'Payment Breakdown Current'!$AE$15:$AE$164,$A48))-(SUMIFS('Payment Breakdown Prior'!$AB$15:$AB$164,'Payment Breakdown Prior'!$AE$15:$AE$164,$A48))</f>
        <v/>
      </c>
      <c r="AG48">
        <f>(SUMIFS('Payment Breakdown Current'!$AC$15:$AC$164,'Payment Breakdown Current'!$AE$15:$AE$164,$A48))-(SUMIFS('Payment Breakdown Prior'!$AC$15:$AC$164,'Payment Breakdown Prior'!$AE$15:$AE$164,$A48))</f>
        <v/>
      </c>
      <c r="AH48">
        <f>(SUMIFS('Payment Breakdown Current'!$AD$15:$AD$164,'Payment Breakdown Current'!$AE$15:$AE$164,$A48))-(SUMIFS('Payment Breakdown Prior'!$AD$15:$AD$164,'Payment Breakdown Prior'!$AE$15:$AE$164,$A48))</f>
        <v/>
      </c>
      <c r="AI48">
        <f t="array" ref="AI48">MAX(ABS(W48:AH48))</f>
        <v/>
      </c>
      <c r="AJ48">
        <f t="array" ref="AJ48">IF(AI48&lt;0.005,"",IFERROR(INDEX($W$1:$AH$1,MATCH(AI48,ABS(W48:AH48),0)),""))</f>
        <v/>
      </c>
      <c r="AK48">
        <f t="array" ref="AK48">IF(AI48&lt;0.005,"",IFERROR(INDEX(W48:AH48,MATCH(AI48,ABS(W48:AH48),0)),""))</f>
        <v/>
      </c>
      <c r="AL48">
        <f>IF(R48=1,ABS(L48)-ROW()/100000000,"")</f>
        <v/>
      </c>
    </row>
    <row r="49">
      <c r="A49">
        <f>IF('NPV Comparison'!D62="","",'NPV Comparison'!D62)</f>
        <v/>
      </c>
      <c r="B49">
        <f>IF('NPV Comparison'!E62="","",'NPV Comparison'!E62)</f>
        <v/>
      </c>
      <c r="C49">
        <f>IF('NPV Comparison'!F62="","",'NPV Comparison'!F62)</f>
        <v/>
      </c>
      <c r="D49">
        <f>IF($A49="","",IFERROR(INDEX(Structure!$E$13:$E$312,MATCH($A49,Structure!$P$13:$P$312,0)),""))</f>
        <v/>
      </c>
      <c r="E49">
        <f>IF($A49="",0,IF(COUNTIF(Structure!$P$13:$P$312,$A49)=0,0,IF(COUNTIFS(Structure!$P$13:$P$312,$A49,Structure!$N$13:$N$312,"&lt;&gt;Zero Hours")=0,1,0)))</f>
        <v/>
      </c>
      <c r="F49">
        <f>IF($A49="",0,1-E49)</f>
        <v/>
      </c>
      <c r="G49">
        <f>IF($A49="",0,IF(COUNTIF('New Starters'!$D$14:$D$73,$A49)&gt;0,1,0))</f>
        <v/>
      </c>
      <c r="H49">
        <f>IF($A49="",0,IF(COUNTIF('Leavers'!$D$12:$D$71,$A49)&gt;0,1,0))</f>
        <v/>
      </c>
      <c r="I49">
        <f>IF($A49="","",IFERROR(INDEX('New Starters'!$K$14:$K$73,MATCH($A49,'New Starters'!$D$14:$D$73,0)),IFERROR(INDEX('Leavers'!$K$12:$K$71,MATCH($A49,'Leavers'!$D$12:$D$71,0)),"")))</f>
        <v/>
      </c>
      <c r="J49">
        <f>IF(AND(G49=1,I49&lt;&gt;"",COUNTIF('Leavers'!$K$12:$K$71,I49)&gt;0),1,IF(AND(H49=1,I49&lt;&gt;"",COUNTIF('New Starters'!$K$14:$K$73,I49)&gt;0),1,0))</f>
        <v/>
      </c>
      <c r="K49">
        <f>IF(ISNUMBER(SEARCH("Head Office",D49)),'Control Sheet'!$C$6,'Control Sheet'!$C$5)</f>
        <v/>
      </c>
      <c r="L49">
        <f>IF(OR($A49="",AND(B49="",C49="")),"",IF(B49="",C49,IF(C49="",-B49,C49-B49)))</f>
        <v/>
      </c>
      <c r="M49">
        <f>IFERROR(L49/B49,"")</f>
        <v/>
      </c>
      <c r="N49">
        <f>IF($A49="",0,IF(OR(B49="",C49="",C49=0,AND(ISNUMBER(M49),ABS(M49)&gt;K49)),1,0))</f>
        <v/>
      </c>
      <c r="O49">
        <f>IF(AND(N49=1,ABS(L49)&gt;='Control Sheet'!$C$7,F49=1),1,0)</f>
        <v/>
      </c>
      <c r="P49">
        <f>IF($A49="","",IF(F49=0,"Zero Hours",IF(J49=1,"Explained: Paired transfer",IF(AND(G49=1,H49=0,J49=0),"Explained: Starter",IF(AND(H49=1,G49=0,J49=0),"Explained: Leaver",IF(O49=1,"Review required","OK"))))))</f>
        <v/>
      </c>
      <c r="Q49">
        <f>IF(AND(F49=1,OR(C49="",C49=0),H49=0,J49=0),1,0)</f>
        <v/>
      </c>
      <c r="R49">
        <f>IF(F49=0,0,IF(P49="Review required",1,IF(AND(P49="Explained: Starter",ISNUMBER(C49),C49&gt;=1500),1,0)))</f>
        <v/>
      </c>
      <c r="S49">
        <f>IF(R49=0,"",IF(Q49=1,"High",IF(AND(P49="Explained: Starter",C49&gt;=1500),"High",IF(ABS(L49)&gt;=2000,"High",IF(ABS(L49)&gt;=500,"Medium","Low")))))</f>
        <v/>
      </c>
      <c r="T49">
        <f>SUMIFS('Payment Breakdown Prior'!$S$15:$S$164,'Payment Breakdown Prior'!$AE$15:$AE$164,$A49)</f>
        <v/>
      </c>
      <c r="U49">
        <f>SUMIFS('Payment Breakdown Current'!$S$15:$S$164,'Payment Breakdown Current'!$AE$15:$AE$164,$A49)</f>
        <v/>
      </c>
      <c r="V49">
        <f>IFERROR((U49-T49)/T49,"")</f>
        <v/>
      </c>
      <c r="W49">
        <f>(SUMIFS('Payment Breakdown Current'!$S$15:$S$164,'Payment Breakdown Current'!$AE$15:$AE$164,$A49))-(SUMIFS('Payment Breakdown Prior'!$S$15:$S$164,'Payment Breakdown Prior'!$AE$15:$AE$164,$A49))</f>
        <v/>
      </c>
      <c r="X49">
        <f>(SUMIFS('Payment Breakdown Current'!$T$15:$T$164,'Payment Breakdown Current'!$AE$15:$AE$164,$A49))-(SUMIFS('Payment Breakdown Prior'!$T$15:$T$164,'Payment Breakdown Prior'!$AE$15:$AE$164,$A49))</f>
        <v/>
      </c>
      <c r="Y49">
        <f>(SUMIFS('Payment Breakdown Current'!$U$15:$U$164,'Payment Breakdown Current'!$AE$15:$AE$164,$A49))-(SUMIFS('Payment Breakdown Prior'!$U$15:$U$164,'Payment Breakdown Prior'!$AE$15:$AE$164,$A49))</f>
        <v/>
      </c>
      <c r="Z49">
        <f>(SUMIFS('Payment Breakdown Current'!$V$15:$V$164,'Payment Breakdown Current'!$AE$15:$AE$164,$A49))-(SUMIFS('Payment Breakdown Prior'!$V$15:$V$164,'Payment Breakdown Prior'!$AE$15:$AE$164,$A49))</f>
        <v/>
      </c>
      <c r="AA49">
        <f>(SUMIFS('Payment Breakdown Current'!$W$15:$W$164,'Payment Breakdown Current'!$AE$15:$AE$164,$A49))-(SUMIFS('Payment Breakdown Prior'!$W$15:$W$164,'Payment Breakdown Prior'!$AE$15:$AE$164,$A49))</f>
        <v/>
      </c>
      <c r="AB49">
        <f>(SUMIFS('Payment Breakdown Current'!$X$15:$X$164,'Payment Breakdown Current'!$AE$15:$AE$164,$A49))-(SUMIFS('Payment Breakdown Prior'!$X$15:$X$164,'Payment Breakdown Prior'!$AE$15:$AE$164,$A49))</f>
        <v/>
      </c>
      <c r="AC49">
        <f>(SUMIFS('Payment Breakdown Current'!$Y$15:$Y$164,'Payment Breakdown Current'!$AE$15:$AE$164,$A49))-(SUMIFS('Payment Breakdown Prior'!$Y$15:$Y$164,'Payment Breakdown Prior'!$AE$15:$AE$164,$A49))</f>
        <v/>
      </c>
      <c r="AD49">
        <f>(SUMIFS('Payment Breakdown Current'!$Z$15:$Z$164,'Payment Breakdown Current'!$AE$15:$AE$164,$A49))-(SUMIFS('Payment Breakdown Prior'!$Z$15:$Z$164,'Payment Breakdown Prior'!$AE$15:$AE$164,$A49))</f>
        <v/>
      </c>
      <c r="AE49">
        <f>(SUMIFS('Payment Breakdown Current'!$AA$15:$AA$164,'Payment Breakdown Current'!$AE$15:$AE$164,$A49))-(SUMIFS('Payment Breakdown Prior'!$AA$15:$AA$164,'Payment Breakdown Prior'!$AE$15:$AE$164,$A49))</f>
        <v/>
      </c>
      <c r="AF49">
        <f>(SUMIFS('Payment Breakdown Current'!$AB$15:$AB$164,'Payment Breakdown Current'!$AE$15:$AE$164,$A49))-(SUMIFS('Payment Breakdown Prior'!$AB$15:$AB$164,'Payment Breakdown Prior'!$AE$15:$AE$164,$A49))</f>
        <v/>
      </c>
      <c r="AG49">
        <f>(SUMIFS('Payment Breakdown Current'!$AC$15:$AC$164,'Payment Breakdown Current'!$AE$15:$AE$164,$A49))-(SUMIFS('Payment Breakdown Prior'!$AC$15:$AC$164,'Payment Breakdown Prior'!$AE$15:$AE$164,$A49))</f>
        <v/>
      </c>
      <c r="AH49">
        <f>(SUMIFS('Payment Breakdown Current'!$AD$15:$AD$164,'Payment Breakdown Current'!$AE$15:$AE$164,$A49))-(SUMIFS('Payment Breakdown Prior'!$AD$15:$AD$164,'Payment Breakdown Prior'!$AE$15:$AE$164,$A49))</f>
        <v/>
      </c>
      <c r="AI49">
        <f t="array" ref="AI49">MAX(ABS(W49:AH49))</f>
        <v/>
      </c>
      <c r="AJ49">
        <f t="array" ref="AJ49">IF(AI49&lt;0.005,"",IFERROR(INDEX($W$1:$AH$1,MATCH(AI49,ABS(W49:AH49),0)),""))</f>
        <v/>
      </c>
      <c r="AK49">
        <f t="array" ref="AK49">IF(AI49&lt;0.005,"",IFERROR(INDEX(W49:AH49,MATCH(AI49,ABS(W49:AH49),0)),""))</f>
        <v/>
      </c>
      <c r="AL49">
        <f>IF(R49=1,ABS(L49)-ROW()/100000000,"")</f>
        <v/>
      </c>
    </row>
    <row r="50">
      <c r="A50">
        <f>IF('NPV Comparison'!D63="","",'NPV Comparison'!D63)</f>
        <v/>
      </c>
      <c r="B50">
        <f>IF('NPV Comparison'!E63="","",'NPV Comparison'!E63)</f>
        <v/>
      </c>
      <c r="C50">
        <f>IF('NPV Comparison'!F63="","",'NPV Comparison'!F63)</f>
        <v/>
      </c>
      <c r="D50">
        <f>IF($A50="","",IFERROR(INDEX(Structure!$E$13:$E$312,MATCH($A50,Structure!$P$13:$P$312,0)),""))</f>
        <v/>
      </c>
      <c r="E50">
        <f>IF($A50="",0,IF(COUNTIF(Structure!$P$13:$P$312,$A50)=0,0,IF(COUNTIFS(Structure!$P$13:$P$312,$A50,Structure!$N$13:$N$312,"&lt;&gt;Zero Hours")=0,1,0)))</f>
        <v/>
      </c>
      <c r="F50">
        <f>IF($A50="",0,1-E50)</f>
        <v/>
      </c>
      <c r="G50">
        <f>IF($A50="",0,IF(COUNTIF('New Starters'!$D$14:$D$73,$A50)&gt;0,1,0))</f>
        <v/>
      </c>
      <c r="H50">
        <f>IF($A50="",0,IF(COUNTIF('Leavers'!$D$12:$D$71,$A50)&gt;0,1,0))</f>
        <v/>
      </c>
      <c r="I50">
        <f>IF($A50="","",IFERROR(INDEX('New Starters'!$K$14:$K$73,MATCH($A50,'New Starters'!$D$14:$D$73,0)),IFERROR(INDEX('Leavers'!$K$12:$K$71,MATCH($A50,'Leavers'!$D$12:$D$71,0)),"")))</f>
        <v/>
      </c>
      <c r="J50">
        <f>IF(AND(G50=1,I50&lt;&gt;"",COUNTIF('Leavers'!$K$12:$K$71,I50)&gt;0),1,IF(AND(H50=1,I50&lt;&gt;"",COUNTIF('New Starters'!$K$14:$K$73,I50)&gt;0),1,0))</f>
        <v/>
      </c>
      <c r="K50">
        <f>IF(ISNUMBER(SEARCH("Head Office",D50)),'Control Sheet'!$C$6,'Control Sheet'!$C$5)</f>
        <v/>
      </c>
      <c r="L50">
        <f>IF(OR($A50="",AND(B50="",C50="")),"",IF(B50="",C50,IF(C50="",-B50,C50-B50)))</f>
        <v/>
      </c>
      <c r="M50">
        <f>IFERROR(L50/B50,"")</f>
        <v/>
      </c>
      <c r="N50">
        <f>IF($A50="",0,IF(OR(B50="",C50="",C50=0,AND(ISNUMBER(M50),ABS(M50)&gt;K50)),1,0))</f>
        <v/>
      </c>
      <c r="O50">
        <f>IF(AND(N50=1,ABS(L50)&gt;='Control Sheet'!$C$7,F50=1),1,0)</f>
        <v/>
      </c>
      <c r="P50">
        <f>IF($A50="","",IF(F50=0,"Zero Hours",IF(J50=1,"Explained: Paired transfer",IF(AND(G50=1,H50=0,J50=0),"Explained: Starter",IF(AND(H50=1,G50=0,J50=0),"Explained: Leaver",IF(O50=1,"Review required","OK"))))))</f>
        <v/>
      </c>
      <c r="Q50">
        <f>IF(AND(F50=1,OR(C50="",C50=0),H50=0,J50=0),1,0)</f>
        <v/>
      </c>
      <c r="R50">
        <f>IF(F50=0,0,IF(P50="Review required",1,IF(AND(P50="Explained: Starter",ISNUMBER(C50),C50&gt;=1500),1,0)))</f>
        <v/>
      </c>
      <c r="S50">
        <f>IF(R50=0,"",IF(Q50=1,"High",IF(AND(P50="Explained: Starter",C50&gt;=1500),"High",IF(ABS(L50)&gt;=2000,"High",IF(ABS(L50)&gt;=500,"Medium","Low")))))</f>
        <v/>
      </c>
      <c r="T50">
        <f>SUMIFS('Payment Breakdown Prior'!$S$15:$S$164,'Payment Breakdown Prior'!$AE$15:$AE$164,$A50)</f>
        <v/>
      </c>
      <c r="U50">
        <f>SUMIFS('Payment Breakdown Current'!$S$15:$S$164,'Payment Breakdown Current'!$AE$15:$AE$164,$A50)</f>
        <v/>
      </c>
      <c r="V50">
        <f>IFERROR((U50-T50)/T50,"")</f>
        <v/>
      </c>
      <c r="W50">
        <f>(SUMIFS('Payment Breakdown Current'!$S$15:$S$164,'Payment Breakdown Current'!$AE$15:$AE$164,$A50))-(SUMIFS('Payment Breakdown Prior'!$S$15:$S$164,'Payment Breakdown Prior'!$AE$15:$AE$164,$A50))</f>
        <v/>
      </c>
      <c r="X50">
        <f>(SUMIFS('Payment Breakdown Current'!$T$15:$T$164,'Payment Breakdown Current'!$AE$15:$AE$164,$A50))-(SUMIFS('Payment Breakdown Prior'!$T$15:$T$164,'Payment Breakdown Prior'!$AE$15:$AE$164,$A50))</f>
        <v/>
      </c>
      <c r="Y50">
        <f>(SUMIFS('Payment Breakdown Current'!$U$15:$U$164,'Payment Breakdown Current'!$AE$15:$AE$164,$A50))-(SUMIFS('Payment Breakdown Prior'!$U$15:$U$164,'Payment Breakdown Prior'!$AE$15:$AE$164,$A50))</f>
        <v/>
      </c>
      <c r="Z50">
        <f>(SUMIFS('Payment Breakdown Current'!$V$15:$V$164,'Payment Breakdown Current'!$AE$15:$AE$164,$A50))-(SUMIFS('Payment Breakdown Prior'!$V$15:$V$164,'Payment Breakdown Prior'!$AE$15:$AE$164,$A50))</f>
        <v/>
      </c>
      <c r="AA50">
        <f>(SUMIFS('Payment Breakdown Current'!$W$15:$W$164,'Payment Breakdown Current'!$AE$15:$AE$164,$A50))-(SUMIFS('Payment Breakdown Prior'!$W$15:$W$164,'Payment Breakdown Prior'!$AE$15:$AE$164,$A50))</f>
        <v/>
      </c>
      <c r="AB50">
        <f>(SUMIFS('Payment Breakdown Current'!$X$15:$X$164,'Payment Breakdown Current'!$AE$15:$AE$164,$A50))-(SUMIFS('Payment Breakdown Prior'!$X$15:$X$164,'Payment Breakdown Prior'!$AE$15:$AE$164,$A50))</f>
        <v/>
      </c>
      <c r="AC50">
        <f>(SUMIFS('Payment Breakdown Current'!$Y$15:$Y$164,'Payment Breakdown Current'!$AE$15:$AE$164,$A50))-(SUMIFS('Payment Breakdown Prior'!$Y$15:$Y$164,'Payment Breakdown Prior'!$AE$15:$AE$164,$A50))</f>
        <v/>
      </c>
      <c r="AD50">
        <f>(SUMIFS('Payment Breakdown Current'!$Z$15:$Z$164,'Payment Breakdown Current'!$AE$15:$AE$164,$A50))-(SUMIFS('Payment Breakdown Prior'!$Z$15:$Z$164,'Payment Breakdown Prior'!$AE$15:$AE$164,$A50))</f>
        <v/>
      </c>
      <c r="AE50">
        <f>(SUMIFS('Payment Breakdown Current'!$AA$15:$AA$164,'Payment Breakdown Current'!$AE$15:$AE$164,$A50))-(SUMIFS('Payment Breakdown Prior'!$AA$15:$AA$164,'Payment Breakdown Prior'!$AE$15:$AE$164,$A50))</f>
        <v/>
      </c>
      <c r="AF50">
        <f>(SUMIFS('Payment Breakdown Current'!$AB$15:$AB$164,'Payment Breakdown Current'!$AE$15:$AE$164,$A50))-(SUMIFS('Payment Breakdown Prior'!$AB$15:$AB$164,'Payment Breakdown Prior'!$AE$15:$AE$164,$A50))</f>
        <v/>
      </c>
      <c r="AG50">
        <f>(SUMIFS('Payment Breakdown Current'!$AC$15:$AC$164,'Payment Breakdown Current'!$AE$15:$AE$164,$A50))-(SUMIFS('Payment Breakdown Prior'!$AC$15:$AC$164,'Payment Breakdown Prior'!$AE$15:$AE$164,$A50))</f>
        <v/>
      </c>
      <c r="AH50">
        <f>(SUMIFS('Payment Breakdown Current'!$AD$15:$AD$164,'Payment Breakdown Current'!$AE$15:$AE$164,$A50))-(SUMIFS('Payment Breakdown Prior'!$AD$15:$AD$164,'Payment Breakdown Prior'!$AE$15:$AE$164,$A50))</f>
        <v/>
      </c>
      <c r="AI50">
        <f t="array" ref="AI50">MAX(ABS(W50:AH50))</f>
        <v/>
      </c>
      <c r="AJ50">
        <f t="array" ref="AJ50">IF(AI50&lt;0.005,"",IFERROR(INDEX($W$1:$AH$1,MATCH(AI50,ABS(W50:AH50),0)),""))</f>
        <v/>
      </c>
      <c r="AK50">
        <f t="array" ref="AK50">IF(AI50&lt;0.005,"",IFERROR(INDEX(W50:AH50,MATCH(AI50,ABS(W50:AH50),0)),""))</f>
        <v/>
      </c>
      <c r="AL50">
        <f>IF(R50=1,ABS(L50)-ROW()/100000000,"")</f>
        <v/>
      </c>
    </row>
    <row r="51">
      <c r="A51">
        <f>IF('NPV Comparison'!D64="","",'NPV Comparison'!D64)</f>
        <v/>
      </c>
      <c r="B51">
        <f>IF('NPV Comparison'!E64="","",'NPV Comparison'!E64)</f>
        <v/>
      </c>
      <c r="C51">
        <f>IF('NPV Comparison'!F64="","",'NPV Comparison'!F64)</f>
        <v/>
      </c>
      <c r="D51">
        <f>IF($A51="","",IFERROR(INDEX(Structure!$E$13:$E$312,MATCH($A51,Structure!$P$13:$P$312,0)),""))</f>
        <v/>
      </c>
      <c r="E51">
        <f>IF($A51="",0,IF(COUNTIF(Structure!$P$13:$P$312,$A51)=0,0,IF(COUNTIFS(Structure!$P$13:$P$312,$A51,Structure!$N$13:$N$312,"&lt;&gt;Zero Hours")=0,1,0)))</f>
        <v/>
      </c>
      <c r="F51">
        <f>IF($A51="",0,1-E51)</f>
        <v/>
      </c>
      <c r="G51">
        <f>IF($A51="",0,IF(COUNTIF('New Starters'!$D$14:$D$73,$A51)&gt;0,1,0))</f>
        <v/>
      </c>
      <c r="H51">
        <f>IF($A51="",0,IF(COUNTIF('Leavers'!$D$12:$D$71,$A51)&gt;0,1,0))</f>
        <v/>
      </c>
      <c r="I51">
        <f>IF($A51="","",IFERROR(INDEX('New Starters'!$K$14:$K$73,MATCH($A51,'New Starters'!$D$14:$D$73,0)),IFERROR(INDEX('Leavers'!$K$12:$K$71,MATCH($A51,'Leavers'!$D$12:$D$71,0)),"")))</f>
        <v/>
      </c>
      <c r="J51">
        <f>IF(AND(G51=1,I51&lt;&gt;"",COUNTIF('Leavers'!$K$12:$K$71,I51)&gt;0),1,IF(AND(H51=1,I51&lt;&gt;"",COUNTIF('New Starters'!$K$14:$K$73,I51)&gt;0),1,0))</f>
        <v/>
      </c>
      <c r="K51">
        <f>IF(ISNUMBER(SEARCH("Head Office",D51)),'Control Sheet'!$C$6,'Control Sheet'!$C$5)</f>
        <v/>
      </c>
      <c r="L51">
        <f>IF(OR($A51="",AND(B51="",C51="")),"",IF(B51="",C51,IF(C51="",-B51,C51-B51)))</f>
        <v/>
      </c>
      <c r="M51">
        <f>IFERROR(L51/B51,"")</f>
        <v/>
      </c>
      <c r="N51">
        <f>IF($A51="",0,IF(OR(B51="",C51="",C51=0,AND(ISNUMBER(M51),ABS(M51)&gt;K51)),1,0))</f>
        <v/>
      </c>
      <c r="O51">
        <f>IF(AND(N51=1,ABS(L51)&gt;='Control Sheet'!$C$7,F51=1),1,0)</f>
        <v/>
      </c>
      <c r="P51">
        <f>IF($A51="","",IF(F51=0,"Zero Hours",IF(J51=1,"Explained: Paired transfer",IF(AND(G51=1,H51=0,J51=0),"Explained: Starter",IF(AND(H51=1,G51=0,J51=0),"Explained: Leaver",IF(O51=1,"Review required","OK"))))))</f>
        <v/>
      </c>
      <c r="Q51">
        <f>IF(AND(F51=1,OR(C51="",C51=0),H51=0,J51=0),1,0)</f>
        <v/>
      </c>
      <c r="R51">
        <f>IF(F51=0,0,IF(P51="Review required",1,IF(AND(P51="Explained: Starter",ISNUMBER(C51),C51&gt;=1500),1,0)))</f>
        <v/>
      </c>
      <c r="S51">
        <f>IF(R51=0,"",IF(Q51=1,"High",IF(AND(P51="Explained: Starter",C51&gt;=1500),"High",IF(ABS(L51)&gt;=2000,"High",IF(ABS(L51)&gt;=500,"Medium","Low")))))</f>
        <v/>
      </c>
      <c r="T51">
        <f>SUMIFS('Payment Breakdown Prior'!$S$15:$S$164,'Payment Breakdown Prior'!$AE$15:$AE$164,$A51)</f>
        <v/>
      </c>
      <c r="U51">
        <f>SUMIFS('Payment Breakdown Current'!$S$15:$S$164,'Payment Breakdown Current'!$AE$15:$AE$164,$A51)</f>
        <v/>
      </c>
      <c r="V51">
        <f>IFERROR((U51-T51)/T51,"")</f>
        <v/>
      </c>
      <c r="W51">
        <f>(SUMIFS('Payment Breakdown Current'!$S$15:$S$164,'Payment Breakdown Current'!$AE$15:$AE$164,$A51))-(SUMIFS('Payment Breakdown Prior'!$S$15:$S$164,'Payment Breakdown Prior'!$AE$15:$AE$164,$A51))</f>
        <v/>
      </c>
      <c r="X51">
        <f>(SUMIFS('Payment Breakdown Current'!$T$15:$T$164,'Payment Breakdown Current'!$AE$15:$AE$164,$A51))-(SUMIFS('Payment Breakdown Prior'!$T$15:$T$164,'Payment Breakdown Prior'!$AE$15:$AE$164,$A51))</f>
        <v/>
      </c>
      <c r="Y51">
        <f>(SUMIFS('Payment Breakdown Current'!$U$15:$U$164,'Payment Breakdown Current'!$AE$15:$AE$164,$A51))-(SUMIFS('Payment Breakdown Prior'!$U$15:$U$164,'Payment Breakdown Prior'!$AE$15:$AE$164,$A51))</f>
        <v/>
      </c>
      <c r="Z51">
        <f>(SUMIFS('Payment Breakdown Current'!$V$15:$V$164,'Payment Breakdown Current'!$AE$15:$AE$164,$A51))-(SUMIFS('Payment Breakdown Prior'!$V$15:$V$164,'Payment Breakdown Prior'!$AE$15:$AE$164,$A51))</f>
        <v/>
      </c>
      <c r="AA51">
        <f>(SUMIFS('Payment Breakdown Current'!$W$15:$W$164,'Payment Breakdown Current'!$AE$15:$AE$164,$A51))-(SUMIFS('Payment Breakdown Prior'!$W$15:$W$164,'Payment Breakdown Prior'!$AE$15:$AE$164,$A51))</f>
        <v/>
      </c>
      <c r="AB51">
        <f>(SUMIFS('Payment Breakdown Current'!$X$15:$X$164,'Payment Breakdown Current'!$AE$15:$AE$164,$A51))-(SUMIFS('Payment Breakdown Prior'!$X$15:$X$164,'Payment Breakdown Prior'!$AE$15:$AE$164,$A51))</f>
        <v/>
      </c>
      <c r="AC51">
        <f>(SUMIFS('Payment Breakdown Current'!$Y$15:$Y$164,'Payment Breakdown Current'!$AE$15:$AE$164,$A51))-(SUMIFS('Payment Breakdown Prior'!$Y$15:$Y$164,'Payment Breakdown Prior'!$AE$15:$AE$164,$A51))</f>
        <v/>
      </c>
      <c r="AD51">
        <f>(SUMIFS('Payment Breakdown Current'!$Z$15:$Z$164,'Payment Breakdown Current'!$AE$15:$AE$164,$A51))-(SUMIFS('Payment Breakdown Prior'!$Z$15:$Z$164,'Payment Breakdown Prior'!$AE$15:$AE$164,$A51))</f>
        <v/>
      </c>
      <c r="AE51">
        <f>(SUMIFS('Payment Breakdown Current'!$AA$15:$AA$164,'Payment Breakdown Current'!$AE$15:$AE$164,$A51))-(SUMIFS('Payment Breakdown Prior'!$AA$15:$AA$164,'Payment Breakdown Prior'!$AE$15:$AE$164,$A51))</f>
        <v/>
      </c>
      <c r="AF51">
        <f>(SUMIFS('Payment Breakdown Current'!$AB$15:$AB$164,'Payment Breakdown Current'!$AE$15:$AE$164,$A51))-(SUMIFS('Payment Breakdown Prior'!$AB$15:$AB$164,'Payment Breakdown Prior'!$AE$15:$AE$164,$A51))</f>
        <v/>
      </c>
      <c r="AG51">
        <f>(SUMIFS('Payment Breakdown Current'!$AC$15:$AC$164,'Payment Breakdown Current'!$AE$15:$AE$164,$A51))-(SUMIFS('Payment Breakdown Prior'!$AC$15:$AC$164,'Payment Breakdown Prior'!$AE$15:$AE$164,$A51))</f>
        <v/>
      </c>
      <c r="AH51">
        <f>(SUMIFS('Payment Breakdown Current'!$AD$15:$AD$164,'Payment Breakdown Current'!$AE$15:$AE$164,$A51))-(SUMIFS('Payment Breakdown Prior'!$AD$15:$AD$164,'Payment Breakdown Prior'!$AE$15:$AE$164,$A51))</f>
        <v/>
      </c>
      <c r="AI51">
        <f t="array" ref="AI51">MAX(ABS(W51:AH51))</f>
        <v/>
      </c>
      <c r="AJ51">
        <f t="array" ref="AJ51">IF(AI51&lt;0.005,"",IFERROR(INDEX($W$1:$AH$1,MATCH(AI51,ABS(W51:AH51),0)),""))</f>
        <v/>
      </c>
      <c r="AK51">
        <f t="array" ref="AK51">IF(AI51&lt;0.005,"",IFERROR(INDEX(W51:AH51,MATCH(AI51,ABS(W51:AH51),0)),""))</f>
        <v/>
      </c>
      <c r="AL51">
        <f>IF(R51=1,ABS(L51)-ROW()/100000000,"")</f>
        <v/>
      </c>
    </row>
    <row r="52">
      <c r="A52">
        <f>IF('NPV Comparison'!D65="","",'NPV Comparison'!D65)</f>
        <v/>
      </c>
      <c r="B52">
        <f>IF('NPV Comparison'!E65="","",'NPV Comparison'!E65)</f>
        <v/>
      </c>
      <c r="C52">
        <f>IF('NPV Comparison'!F65="","",'NPV Comparison'!F65)</f>
        <v/>
      </c>
      <c r="D52">
        <f>IF($A52="","",IFERROR(INDEX(Structure!$E$13:$E$312,MATCH($A52,Structure!$P$13:$P$312,0)),""))</f>
        <v/>
      </c>
      <c r="E52">
        <f>IF($A52="",0,IF(COUNTIF(Structure!$P$13:$P$312,$A52)=0,0,IF(COUNTIFS(Structure!$P$13:$P$312,$A52,Structure!$N$13:$N$312,"&lt;&gt;Zero Hours")=0,1,0)))</f>
        <v/>
      </c>
      <c r="F52">
        <f>IF($A52="",0,1-E52)</f>
        <v/>
      </c>
      <c r="G52">
        <f>IF($A52="",0,IF(COUNTIF('New Starters'!$D$14:$D$73,$A52)&gt;0,1,0))</f>
        <v/>
      </c>
      <c r="H52">
        <f>IF($A52="",0,IF(COUNTIF('Leavers'!$D$12:$D$71,$A52)&gt;0,1,0))</f>
        <v/>
      </c>
      <c r="I52">
        <f>IF($A52="","",IFERROR(INDEX('New Starters'!$K$14:$K$73,MATCH($A52,'New Starters'!$D$14:$D$73,0)),IFERROR(INDEX('Leavers'!$K$12:$K$71,MATCH($A52,'Leavers'!$D$12:$D$71,0)),"")))</f>
        <v/>
      </c>
      <c r="J52">
        <f>IF(AND(G52=1,I52&lt;&gt;"",COUNTIF('Leavers'!$K$12:$K$71,I52)&gt;0),1,IF(AND(H52=1,I52&lt;&gt;"",COUNTIF('New Starters'!$K$14:$K$73,I52)&gt;0),1,0))</f>
        <v/>
      </c>
      <c r="K52">
        <f>IF(ISNUMBER(SEARCH("Head Office",D52)),'Control Sheet'!$C$6,'Control Sheet'!$C$5)</f>
        <v/>
      </c>
      <c r="L52">
        <f>IF(OR($A52="",AND(B52="",C52="")),"",IF(B52="",C52,IF(C52="",-B52,C52-B52)))</f>
        <v/>
      </c>
      <c r="M52">
        <f>IFERROR(L52/B52,"")</f>
        <v/>
      </c>
      <c r="N52">
        <f>IF($A52="",0,IF(OR(B52="",C52="",C52=0,AND(ISNUMBER(M52),ABS(M52)&gt;K52)),1,0))</f>
        <v/>
      </c>
      <c r="O52">
        <f>IF(AND(N52=1,ABS(L52)&gt;='Control Sheet'!$C$7,F52=1),1,0)</f>
        <v/>
      </c>
      <c r="P52">
        <f>IF($A52="","",IF(F52=0,"Zero Hours",IF(J52=1,"Explained: Paired transfer",IF(AND(G52=1,H52=0,J52=0),"Explained: Starter",IF(AND(H52=1,G52=0,J52=0),"Explained: Leaver",IF(O52=1,"Review required","OK"))))))</f>
        <v/>
      </c>
      <c r="Q52">
        <f>IF(AND(F52=1,OR(C52="",C52=0),H52=0,J52=0),1,0)</f>
        <v/>
      </c>
      <c r="R52">
        <f>IF(F52=0,0,IF(P52="Review required",1,IF(AND(P52="Explained: Starter",ISNUMBER(C52),C52&gt;=1500),1,0)))</f>
        <v/>
      </c>
      <c r="S52">
        <f>IF(R52=0,"",IF(Q52=1,"High",IF(AND(P52="Explained: Starter",C52&gt;=1500),"High",IF(ABS(L52)&gt;=2000,"High",IF(ABS(L52)&gt;=500,"Medium","Low")))))</f>
        <v/>
      </c>
      <c r="T52">
        <f>SUMIFS('Payment Breakdown Prior'!$S$15:$S$164,'Payment Breakdown Prior'!$AE$15:$AE$164,$A52)</f>
        <v/>
      </c>
      <c r="U52">
        <f>SUMIFS('Payment Breakdown Current'!$S$15:$S$164,'Payment Breakdown Current'!$AE$15:$AE$164,$A52)</f>
        <v/>
      </c>
      <c r="V52">
        <f>IFERROR((U52-T52)/T52,"")</f>
        <v/>
      </c>
      <c r="W52">
        <f>(SUMIFS('Payment Breakdown Current'!$S$15:$S$164,'Payment Breakdown Current'!$AE$15:$AE$164,$A52))-(SUMIFS('Payment Breakdown Prior'!$S$15:$S$164,'Payment Breakdown Prior'!$AE$15:$AE$164,$A52))</f>
        <v/>
      </c>
      <c r="X52">
        <f>(SUMIFS('Payment Breakdown Current'!$T$15:$T$164,'Payment Breakdown Current'!$AE$15:$AE$164,$A52))-(SUMIFS('Payment Breakdown Prior'!$T$15:$T$164,'Payment Breakdown Prior'!$AE$15:$AE$164,$A52))</f>
        <v/>
      </c>
      <c r="Y52">
        <f>(SUMIFS('Payment Breakdown Current'!$U$15:$U$164,'Payment Breakdown Current'!$AE$15:$AE$164,$A52))-(SUMIFS('Payment Breakdown Prior'!$U$15:$U$164,'Payment Breakdown Prior'!$AE$15:$AE$164,$A52))</f>
        <v/>
      </c>
      <c r="Z52">
        <f>(SUMIFS('Payment Breakdown Current'!$V$15:$V$164,'Payment Breakdown Current'!$AE$15:$AE$164,$A52))-(SUMIFS('Payment Breakdown Prior'!$V$15:$V$164,'Payment Breakdown Prior'!$AE$15:$AE$164,$A52))</f>
        <v/>
      </c>
      <c r="AA52">
        <f>(SUMIFS('Payment Breakdown Current'!$W$15:$W$164,'Payment Breakdown Current'!$AE$15:$AE$164,$A52))-(SUMIFS('Payment Breakdown Prior'!$W$15:$W$164,'Payment Breakdown Prior'!$AE$15:$AE$164,$A52))</f>
        <v/>
      </c>
      <c r="AB52">
        <f>(SUMIFS('Payment Breakdown Current'!$X$15:$X$164,'Payment Breakdown Current'!$AE$15:$AE$164,$A52))-(SUMIFS('Payment Breakdown Prior'!$X$15:$X$164,'Payment Breakdown Prior'!$AE$15:$AE$164,$A52))</f>
        <v/>
      </c>
      <c r="AC52">
        <f>(SUMIFS('Payment Breakdown Current'!$Y$15:$Y$164,'Payment Breakdown Current'!$AE$15:$AE$164,$A52))-(SUMIFS('Payment Breakdown Prior'!$Y$15:$Y$164,'Payment Breakdown Prior'!$AE$15:$AE$164,$A52))</f>
        <v/>
      </c>
      <c r="AD52">
        <f>(SUMIFS('Payment Breakdown Current'!$Z$15:$Z$164,'Payment Breakdown Current'!$AE$15:$AE$164,$A52))-(SUMIFS('Payment Breakdown Prior'!$Z$15:$Z$164,'Payment Breakdown Prior'!$AE$15:$AE$164,$A52))</f>
        <v/>
      </c>
      <c r="AE52">
        <f>(SUMIFS('Payment Breakdown Current'!$AA$15:$AA$164,'Payment Breakdown Current'!$AE$15:$AE$164,$A52))-(SUMIFS('Payment Breakdown Prior'!$AA$15:$AA$164,'Payment Breakdown Prior'!$AE$15:$AE$164,$A52))</f>
        <v/>
      </c>
      <c r="AF52">
        <f>(SUMIFS('Payment Breakdown Current'!$AB$15:$AB$164,'Payment Breakdown Current'!$AE$15:$AE$164,$A52))-(SUMIFS('Payment Breakdown Prior'!$AB$15:$AB$164,'Payment Breakdown Prior'!$AE$15:$AE$164,$A52))</f>
        <v/>
      </c>
      <c r="AG52">
        <f>(SUMIFS('Payment Breakdown Current'!$AC$15:$AC$164,'Payment Breakdown Current'!$AE$15:$AE$164,$A52))-(SUMIFS('Payment Breakdown Prior'!$AC$15:$AC$164,'Payment Breakdown Prior'!$AE$15:$AE$164,$A52))</f>
        <v/>
      </c>
      <c r="AH52">
        <f>(SUMIFS('Payment Breakdown Current'!$AD$15:$AD$164,'Payment Breakdown Current'!$AE$15:$AE$164,$A52))-(SUMIFS('Payment Breakdown Prior'!$AD$15:$AD$164,'Payment Breakdown Prior'!$AE$15:$AE$164,$A52))</f>
        <v/>
      </c>
      <c r="AI52">
        <f t="array" ref="AI52">MAX(ABS(W52:AH52))</f>
        <v/>
      </c>
      <c r="AJ52">
        <f t="array" ref="AJ52">IF(AI52&lt;0.005,"",IFERROR(INDEX($W$1:$AH$1,MATCH(AI52,ABS(W52:AH52),0)),""))</f>
        <v/>
      </c>
      <c r="AK52">
        <f t="array" ref="AK52">IF(AI52&lt;0.005,"",IFERROR(INDEX(W52:AH52,MATCH(AI52,ABS(W52:AH52),0)),""))</f>
        <v/>
      </c>
      <c r="AL52">
        <f>IF(R52=1,ABS(L52)-ROW()/100000000,"")</f>
        <v/>
      </c>
    </row>
    <row r="53">
      <c r="A53">
        <f>IF('NPV Comparison'!D66="","",'NPV Comparison'!D66)</f>
        <v/>
      </c>
      <c r="B53">
        <f>IF('NPV Comparison'!E66="","",'NPV Comparison'!E66)</f>
        <v/>
      </c>
      <c r="C53">
        <f>IF('NPV Comparison'!F66="","",'NPV Comparison'!F66)</f>
        <v/>
      </c>
      <c r="D53">
        <f>IF($A53="","",IFERROR(INDEX(Structure!$E$13:$E$312,MATCH($A53,Structure!$P$13:$P$312,0)),""))</f>
        <v/>
      </c>
      <c r="E53">
        <f>IF($A53="",0,IF(COUNTIF(Structure!$P$13:$P$312,$A53)=0,0,IF(COUNTIFS(Structure!$P$13:$P$312,$A53,Structure!$N$13:$N$312,"&lt;&gt;Zero Hours")=0,1,0)))</f>
        <v/>
      </c>
      <c r="F53">
        <f>IF($A53="",0,1-E53)</f>
        <v/>
      </c>
      <c r="G53">
        <f>IF($A53="",0,IF(COUNTIF('New Starters'!$D$14:$D$73,$A53)&gt;0,1,0))</f>
        <v/>
      </c>
      <c r="H53">
        <f>IF($A53="",0,IF(COUNTIF('Leavers'!$D$12:$D$71,$A53)&gt;0,1,0))</f>
        <v/>
      </c>
      <c r="I53">
        <f>IF($A53="","",IFERROR(INDEX('New Starters'!$K$14:$K$73,MATCH($A53,'New Starters'!$D$14:$D$73,0)),IFERROR(INDEX('Leavers'!$K$12:$K$71,MATCH($A53,'Leavers'!$D$12:$D$71,0)),"")))</f>
        <v/>
      </c>
      <c r="J53">
        <f>IF(AND(G53=1,I53&lt;&gt;"",COUNTIF('Leavers'!$K$12:$K$71,I53)&gt;0),1,IF(AND(H53=1,I53&lt;&gt;"",COUNTIF('New Starters'!$K$14:$K$73,I53)&gt;0),1,0))</f>
        <v/>
      </c>
      <c r="K53">
        <f>IF(ISNUMBER(SEARCH("Head Office",D53)),'Control Sheet'!$C$6,'Control Sheet'!$C$5)</f>
        <v/>
      </c>
      <c r="L53">
        <f>IF(OR($A53="",AND(B53="",C53="")),"",IF(B53="",C53,IF(C53="",-B53,C53-B53)))</f>
        <v/>
      </c>
      <c r="M53">
        <f>IFERROR(L53/B53,"")</f>
        <v/>
      </c>
      <c r="N53">
        <f>IF($A53="",0,IF(OR(B53="",C53="",C53=0,AND(ISNUMBER(M53),ABS(M53)&gt;K53)),1,0))</f>
        <v/>
      </c>
      <c r="O53">
        <f>IF(AND(N53=1,ABS(L53)&gt;='Control Sheet'!$C$7,F53=1),1,0)</f>
        <v/>
      </c>
      <c r="P53">
        <f>IF($A53="","",IF(F53=0,"Zero Hours",IF(J53=1,"Explained: Paired transfer",IF(AND(G53=1,H53=0,J53=0),"Explained: Starter",IF(AND(H53=1,G53=0,J53=0),"Explained: Leaver",IF(O53=1,"Review required","OK"))))))</f>
        <v/>
      </c>
      <c r="Q53">
        <f>IF(AND(F53=1,OR(C53="",C53=0),H53=0,J53=0),1,0)</f>
        <v/>
      </c>
      <c r="R53">
        <f>IF(F53=0,0,IF(P53="Review required",1,IF(AND(P53="Explained: Starter",ISNUMBER(C53),C53&gt;=1500),1,0)))</f>
        <v/>
      </c>
      <c r="S53">
        <f>IF(R53=0,"",IF(Q53=1,"High",IF(AND(P53="Explained: Starter",C53&gt;=1500),"High",IF(ABS(L53)&gt;=2000,"High",IF(ABS(L53)&gt;=500,"Medium","Low")))))</f>
        <v/>
      </c>
      <c r="T53">
        <f>SUMIFS('Payment Breakdown Prior'!$S$15:$S$164,'Payment Breakdown Prior'!$AE$15:$AE$164,$A53)</f>
        <v/>
      </c>
      <c r="U53">
        <f>SUMIFS('Payment Breakdown Current'!$S$15:$S$164,'Payment Breakdown Current'!$AE$15:$AE$164,$A53)</f>
        <v/>
      </c>
      <c r="V53">
        <f>IFERROR((U53-T53)/T53,"")</f>
        <v/>
      </c>
      <c r="W53">
        <f>(SUMIFS('Payment Breakdown Current'!$S$15:$S$164,'Payment Breakdown Current'!$AE$15:$AE$164,$A53))-(SUMIFS('Payment Breakdown Prior'!$S$15:$S$164,'Payment Breakdown Prior'!$AE$15:$AE$164,$A53))</f>
        <v/>
      </c>
      <c r="X53">
        <f>(SUMIFS('Payment Breakdown Current'!$T$15:$T$164,'Payment Breakdown Current'!$AE$15:$AE$164,$A53))-(SUMIFS('Payment Breakdown Prior'!$T$15:$T$164,'Payment Breakdown Prior'!$AE$15:$AE$164,$A53))</f>
        <v/>
      </c>
      <c r="Y53">
        <f>(SUMIFS('Payment Breakdown Current'!$U$15:$U$164,'Payment Breakdown Current'!$AE$15:$AE$164,$A53))-(SUMIFS('Payment Breakdown Prior'!$U$15:$U$164,'Payment Breakdown Prior'!$AE$15:$AE$164,$A53))</f>
        <v/>
      </c>
      <c r="Z53">
        <f>(SUMIFS('Payment Breakdown Current'!$V$15:$V$164,'Payment Breakdown Current'!$AE$15:$AE$164,$A53))-(SUMIFS('Payment Breakdown Prior'!$V$15:$V$164,'Payment Breakdown Prior'!$AE$15:$AE$164,$A53))</f>
        <v/>
      </c>
      <c r="AA53">
        <f>(SUMIFS('Payment Breakdown Current'!$W$15:$W$164,'Payment Breakdown Current'!$AE$15:$AE$164,$A53))-(SUMIFS('Payment Breakdown Prior'!$W$15:$W$164,'Payment Breakdown Prior'!$AE$15:$AE$164,$A53))</f>
        <v/>
      </c>
      <c r="AB53">
        <f>(SUMIFS('Payment Breakdown Current'!$X$15:$X$164,'Payment Breakdown Current'!$AE$15:$AE$164,$A53))-(SUMIFS('Payment Breakdown Prior'!$X$15:$X$164,'Payment Breakdown Prior'!$AE$15:$AE$164,$A53))</f>
        <v/>
      </c>
      <c r="AC53">
        <f>(SUMIFS('Payment Breakdown Current'!$Y$15:$Y$164,'Payment Breakdown Current'!$AE$15:$AE$164,$A53))-(SUMIFS('Payment Breakdown Prior'!$Y$15:$Y$164,'Payment Breakdown Prior'!$AE$15:$AE$164,$A53))</f>
        <v/>
      </c>
      <c r="AD53">
        <f>(SUMIFS('Payment Breakdown Current'!$Z$15:$Z$164,'Payment Breakdown Current'!$AE$15:$AE$164,$A53))-(SUMIFS('Payment Breakdown Prior'!$Z$15:$Z$164,'Payment Breakdown Prior'!$AE$15:$AE$164,$A53))</f>
        <v/>
      </c>
      <c r="AE53">
        <f>(SUMIFS('Payment Breakdown Current'!$AA$15:$AA$164,'Payment Breakdown Current'!$AE$15:$AE$164,$A53))-(SUMIFS('Payment Breakdown Prior'!$AA$15:$AA$164,'Payment Breakdown Prior'!$AE$15:$AE$164,$A53))</f>
        <v/>
      </c>
      <c r="AF53">
        <f>(SUMIFS('Payment Breakdown Current'!$AB$15:$AB$164,'Payment Breakdown Current'!$AE$15:$AE$164,$A53))-(SUMIFS('Payment Breakdown Prior'!$AB$15:$AB$164,'Payment Breakdown Prior'!$AE$15:$AE$164,$A53))</f>
        <v/>
      </c>
      <c r="AG53">
        <f>(SUMIFS('Payment Breakdown Current'!$AC$15:$AC$164,'Payment Breakdown Current'!$AE$15:$AE$164,$A53))-(SUMIFS('Payment Breakdown Prior'!$AC$15:$AC$164,'Payment Breakdown Prior'!$AE$15:$AE$164,$A53))</f>
        <v/>
      </c>
      <c r="AH53">
        <f>(SUMIFS('Payment Breakdown Current'!$AD$15:$AD$164,'Payment Breakdown Current'!$AE$15:$AE$164,$A53))-(SUMIFS('Payment Breakdown Prior'!$AD$15:$AD$164,'Payment Breakdown Prior'!$AE$15:$AE$164,$A53))</f>
        <v/>
      </c>
      <c r="AI53">
        <f t="array" ref="AI53">MAX(ABS(W53:AH53))</f>
        <v/>
      </c>
      <c r="AJ53">
        <f t="array" ref="AJ53">IF(AI53&lt;0.005,"",IFERROR(INDEX($W$1:$AH$1,MATCH(AI53,ABS(W53:AH53),0)),""))</f>
        <v/>
      </c>
      <c r="AK53">
        <f t="array" ref="AK53">IF(AI53&lt;0.005,"",IFERROR(INDEX(W53:AH53,MATCH(AI53,ABS(W53:AH53),0)),""))</f>
        <v/>
      </c>
      <c r="AL53">
        <f>IF(R53=1,ABS(L53)-ROW()/100000000,"")</f>
        <v/>
      </c>
    </row>
    <row r="54">
      <c r="A54">
        <f>IF('NPV Comparison'!D67="","",'NPV Comparison'!D67)</f>
        <v/>
      </c>
      <c r="B54">
        <f>IF('NPV Comparison'!E67="","",'NPV Comparison'!E67)</f>
        <v/>
      </c>
      <c r="C54">
        <f>IF('NPV Comparison'!F67="","",'NPV Comparison'!F67)</f>
        <v/>
      </c>
      <c r="D54">
        <f>IF($A54="","",IFERROR(INDEX(Structure!$E$13:$E$312,MATCH($A54,Structure!$P$13:$P$312,0)),""))</f>
        <v/>
      </c>
      <c r="E54">
        <f>IF($A54="",0,IF(COUNTIF(Structure!$P$13:$P$312,$A54)=0,0,IF(COUNTIFS(Structure!$P$13:$P$312,$A54,Structure!$N$13:$N$312,"&lt;&gt;Zero Hours")=0,1,0)))</f>
        <v/>
      </c>
      <c r="F54">
        <f>IF($A54="",0,1-E54)</f>
        <v/>
      </c>
      <c r="G54">
        <f>IF($A54="",0,IF(COUNTIF('New Starters'!$D$14:$D$73,$A54)&gt;0,1,0))</f>
        <v/>
      </c>
      <c r="H54">
        <f>IF($A54="",0,IF(COUNTIF('Leavers'!$D$12:$D$71,$A54)&gt;0,1,0))</f>
        <v/>
      </c>
      <c r="I54">
        <f>IF($A54="","",IFERROR(INDEX('New Starters'!$K$14:$K$73,MATCH($A54,'New Starters'!$D$14:$D$73,0)),IFERROR(INDEX('Leavers'!$K$12:$K$71,MATCH($A54,'Leavers'!$D$12:$D$71,0)),"")))</f>
        <v/>
      </c>
      <c r="J54">
        <f>IF(AND(G54=1,I54&lt;&gt;"",COUNTIF('Leavers'!$K$12:$K$71,I54)&gt;0),1,IF(AND(H54=1,I54&lt;&gt;"",COUNTIF('New Starters'!$K$14:$K$73,I54)&gt;0),1,0))</f>
        <v/>
      </c>
      <c r="K54">
        <f>IF(ISNUMBER(SEARCH("Head Office",D54)),'Control Sheet'!$C$6,'Control Sheet'!$C$5)</f>
        <v/>
      </c>
      <c r="L54">
        <f>IF(OR($A54="",AND(B54="",C54="")),"",IF(B54="",C54,IF(C54="",-B54,C54-B54)))</f>
        <v/>
      </c>
      <c r="M54">
        <f>IFERROR(L54/B54,"")</f>
        <v/>
      </c>
      <c r="N54">
        <f>IF($A54="",0,IF(OR(B54="",C54="",C54=0,AND(ISNUMBER(M54),ABS(M54)&gt;K54)),1,0))</f>
        <v/>
      </c>
      <c r="O54">
        <f>IF(AND(N54=1,ABS(L54)&gt;='Control Sheet'!$C$7,F54=1),1,0)</f>
        <v/>
      </c>
      <c r="P54">
        <f>IF($A54="","",IF(F54=0,"Zero Hours",IF(J54=1,"Explained: Paired transfer",IF(AND(G54=1,H54=0,J54=0),"Explained: Starter",IF(AND(H54=1,G54=0,J54=0),"Explained: Leaver",IF(O54=1,"Review required","OK"))))))</f>
        <v/>
      </c>
      <c r="Q54">
        <f>IF(AND(F54=1,OR(C54="",C54=0),H54=0,J54=0),1,0)</f>
        <v/>
      </c>
      <c r="R54">
        <f>IF(F54=0,0,IF(P54="Review required",1,IF(AND(P54="Explained: Starter",ISNUMBER(C54),C54&gt;=1500),1,0)))</f>
        <v/>
      </c>
      <c r="S54">
        <f>IF(R54=0,"",IF(Q54=1,"High",IF(AND(P54="Explained: Starter",C54&gt;=1500),"High",IF(ABS(L54)&gt;=2000,"High",IF(ABS(L54)&gt;=500,"Medium","Low")))))</f>
        <v/>
      </c>
      <c r="T54">
        <f>SUMIFS('Payment Breakdown Prior'!$S$15:$S$164,'Payment Breakdown Prior'!$AE$15:$AE$164,$A54)</f>
        <v/>
      </c>
      <c r="U54">
        <f>SUMIFS('Payment Breakdown Current'!$S$15:$S$164,'Payment Breakdown Current'!$AE$15:$AE$164,$A54)</f>
        <v/>
      </c>
      <c r="V54">
        <f>IFERROR((U54-T54)/T54,"")</f>
        <v/>
      </c>
      <c r="W54">
        <f>(SUMIFS('Payment Breakdown Current'!$S$15:$S$164,'Payment Breakdown Current'!$AE$15:$AE$164,$A54))-(SUMIFS('Payment Breakdown Prior'!$S$15:$S$164,'Payment Breakdown Prior'!$AE$15:$AE$164,$A54))</f>
        <v/>
      </c>
      <c r="X54">
        <f>(SUMIFS('Payment Breakdown Current'!$T$15:$T$164,'Payment Breakdown Current'!$AE$15:$AE$164,$A54))-(SUMIFS('Payment Breakdown Prior'!$T$15:$T$164,'Payment Breakdown Prior'!$AE$15:$AE$164,$A54))</f>
        <v/>
      </c>
      <c r="Y54">
        <f>(SUMIFS('Payment Breakdown Current'!$U$15:$U$164,'Payment Breakdown Current'!$AE$15:$AE$164,$A54))-(SUMIFS('Payment Breakdown Prior'!$U$15:$U$164,'Payment Breakdown Prior'!$AE$15:$AE$164,$A54))</f>
        <v/>
      </c>
      <c r="Z54">
        <f>(SUMIFS('Payment Breakdown Current'!$V$15:$V$164,'Payment Breakdown Current'!$AE$15:$AE$164,$A54))-(SUMIFS('Payment Breakdown Prior'!$V$15:$V$164,'Payment Breakdown Prior'!$AE$15:$AE$164,$A54))</f>
        <v/>
      </c>
      <c r="AA54">
        <f>(SUMIFS('Payment Breakdown Current'!$W$15:$W$164,'Payment Breakdown Current'!$AE$15:$AE$164,$A54))-(SUMIFS('Payment Breakdown Prior'!$W$15:$W$164,'Payment Breakdown Prior'!$AE$15:$AE$164,$A54))</f>
        <v/>
      </c>
      <c r="AB54">
        <f>(SUMIFS('Payment Breakdown Current'!$X$15:$X$164,'Payment Breakdown Current'!$AE$15:$AE$164,$A54))-(SUMIFS('Payment Breakdown Prior'!$X$15:$X$164,'Payment Breakdown Prior'!$AE$15:$AE$164,$A54))</f>
        <v/>
      </c>
      <c r="AC54">
        <f>(SUMIFS('Payment Breakdown Current'!$Y$15:$Y$164,'Payment Breakdown Current'!$AE$15:$AE$164,$A54))-(SUMIFS('Payment Breakdown Prior'!$Y$15:$Y$164,'Payment Breakdown Prior'!$AE$15:$AE$164,$A54))</f>
        <v/>
      </c>
      <c r="AD54">
        <f>(SUMIFS('Payment Breakdown Current'!$Z$15:$Z$164,'Payment Breakdown Current'!$AE$15:$AE$164,$A54))-(SUMIFS('Payment Breakdown Prior'!$Z$15:$Z$164,'Payment Breakdown Prior'!$AE$15:$AE$164,$A54))</f>
        <v/>
      </c>
      <c r="AE54">
        <f>(SUMIFS('Payment Breakdown Current'!$AA$15:$AA$164,'Payment Breakdown Current'!$AE$15:$AE$164,$A54))-(SUMIFS('Payment Breakdown Prior'!$AA$15:$AA$164,'Payment Breakdown Prior'!$AE$15:$AE$164,$A54))</f>
        <v/>
      </c>
      <c r="AF54">
        <f>(SUMIFS('Payment Breakdown Current'!$AB$15:$AB$164,'Payment Breakdown Current'!$AE$15:$AE$164,$A54))-(SUMIFS('Payment Breakdown Prior'!$AB$15:$AB$164,'Payment Breakdown Prior'!$AE$15:$AE$164,$A54))</f>
        <v/>
      </c>
      <c r="AG54">
        <f>(SUMIFS('Payment Breakdown Current'!$AC$15:$AC$164,'Payment Breakdown Current'!$AE$15:$AE$164,$A54))-(SUMIFS('Payment Breakdown Prior'!$AC$15:$AC$164,'Payment Breakdown Prior'!$AE$15:$AE$164,$A54))</f>
        <v/>
      </c>
      <c r="AH54">
        <f>(SUMIFS('Payment Breakdown Current'!$AD$15:$AD$164,'Payment Breakdown Current'!$AE$15:$AE$164,$A54))-(SUMIFS('Payment Breakdown Prior'!$AD$15:$AD$164,'Payment Breakdown Prior'!$AE$15:$AE$164,$A54))</f>
        <v/>
      </c>
      <c r="AI54">
        <f t="array" ref="AI54">MAX(ABS(W54:AH54))</f>
        <v/>
      </c>
      <c r="AJ54">
        <f t="array" ref="AJ54">IF(AI54&lt;0.005,"",IFERROR(INDEX($W$1:$AH$1,MATCH(AI54,ABS(W54:AH54),0)),""))</f>
        <v/>
      </c>
      <c r="AK54">
        <f t="array" ref="AK54">IF(AI54&lt;0.005,"",IFERROR(INDEX(W54:AH54,MATCH(AI54,ABS(W54:AH54),0)),""))</f>
        <v/>
      </c>
      <c r="AL54">
        <f>IF(R54=1,ABS(L54)-ROW()/100000000,"")</f>
        <v/>
      </c>
    </row>
    <row r="55">
      <c r="A55">
        <f>IF('NPV Comparison'!D68="","",'NPV Comparison'!D68)</f>
        <v/>
      </c>
      <c r="B55">
        <f>IF('NPV Comparison'!E68="","",'NPV Comparison'!E68)</f>
        <v/>
      </c>
      <c r="C55">
        <f>IF('NPV Comparison'!F68="","",'NPV Comparison'!F68)</f>
        <v/>
      </c>
      <c r="D55">
        <f>IF($A55="","",IFERROR(INDEX(Structure!$E$13:$E$312,MATCH($A55,Structure!$P$13:$P$312,0)),""))</f>
        <v/>
      </c>
      <c r="E55">
        <f>IF($A55="",0,IF(COUNTIF(Structure!$P$13:$P$312,$A55)=0,0,IF(COUNTIFS(Structure!$P$13:$P$312,$A55,Structure!$N$13:$N$312,"&lt;&gt;Zero Hours")=0,1,0)))</f>
        <v/>
      </c>
      <c r="F55">
        <f>IF($A55="",0,1-E55)</f>
        <v/>
      </c>
      <c r="G55">
        <f>IF($A55="",0,IF(COUNTIF('New Starters'!$D$14:$D$73,$A55)&gt;0,1,0))</f>
        <v/>
      </c>
      <c r="H55">
        <f>IF($A55="",0,IF(COUNTIF('Leavers'!$D$12:$D$71,$A55)&gt;0,1,0))</f>
        <v/>
      </c>
      <c r="I55">
        <f>IF($A55="","",IFERROR(INDEX('New Starters'!$K$14:$K$73,MATCH($A55,'New Starters'!$D$14:$D$73,0)),IFERROR(INDEX('Leavers'!$K$12:$K$71,MATCH($A55,'Leavers'!$D$12:$D$71,0)),"")))</f>
        <v/>
      </c>
      <c r="J55">
        <f>IF(AND(G55=1,I55&lt;&gt;"",COUNTIF('Leavers'!$K$12:$K$71,I55)&gt;0),1,IF(AND(H55=1,I55&lt;&gt;"",COUNTIF('New Starters'!$K$14:$K$73,I55)&gt;0),1,0))</f>
        <v/>
      </c>
      <c r="K55">
        <f>IF(ISNUMBER(SEARCH("Head Office",D55)),'Control Sheet'!$C$6,'Control Sheet'!$C$5)</f>
        <v/>
      </c>
      <c r="L55">
        <f>IF(OR($A55="",AND(B55="",C55="")),"",IF(B55="",C55,IF(C55="",-B55,C55-B55)))</f>
        <v/>
      </c>
      <c r="M55">
        <f>IFERROR(L55/B55,"")</f>
        <v/>
      </c>
      <c r="N55">
        <f>IF($A55="",0,IF(OR(B55="",C55="",C55=0,AND(ISNUMBER(M55),ABS(M55)&gt;K55)),1,0))</f>
        <v/>
      </c>
      <c r="O55">
        <f>IF(AND(N55=1,ABS(L55)&gt;='Control Sheet'!$C$7,F55=1),1,0)</f>
        <v/>
      </c>
      <c r="P55">
        <f>IF($A55="","",IF(F55=0,"Zero Hours",IF(J55=1,"Explained: Paired transfer",IF(AND(G55=1,H55=0,J55=0),"Explained: Starter",IF(AND(H55=1,G55=0,J55=0),"Explained: Leaver",IF(O55=1,"Review required","OK"))))))</f>
        <v/>
      </c>
      <c r="Q55">
        <f>IF(AND(F55=1,OR(C55="",C55=0),H55=0,J55=0),1,0)</f>
        <v/>
      </c>
      <c r="R55">
        <f>IF(F55=0,0,IF(P55="Review required",1,IF(AND(P55="Explained: Starter",ISNUMBER(C55),C55&gt;=1500),1,0)))</f>
        <v/>
      </c>
      <c r="S55">
        <f>IF(R55=0,"",IF(Q55=1,"High",IF(AND(P55="Explained: Starter",C55&gt;=1500),"High",IF(ABS(L55)&gt;=2000,"High",IF(ABS(L55)&gt;=500,"Medium","Low")))))</f>
        <v/>
      </c>
      <c r="T55">
        <f>SUMIFS('Payment Breakdown Prior'!$S$15:$S$164,'Payment Breakdown Prior'!$AE$15:$AE$164,$A55)</f>
        <v/>
      </c>
      <c r="U55">
        <f>SUMIFS('Payment Breakdown Current'!$S$15:$S$164,'Payment Breakdown Current'!$AE$15:$AE$164,$A55)</f>
        <v/>
      </c>
      <c r="V55">
        <f>IFERROR((U55-T55)/T55,"")</f>
        <v/>
      </c>
      <c r="W55">
        <f>(SUMIFS('Payment Breakdown Current'!$S$15:$S$164,'Payment Breakdown Current'!$AE$15:$AE$164,$A55))-(SUMIFS('Payment Breakdown Prior'!$S$15:$S$164,'Payment Breakdown Prior'!$AE$15:$AE$164,$A55))</f>
        <v/>
      </c>
      <c r="X55">
        <f>(SUMIFS('Payment Breakdown Current'!$T$15:$T$164,'Payment Breakdown Current'!$AE$15:$AE$164,$A55))-(SUMIFS('Payment Breakdown Prior'!$T$15:$T$164,'Payment Breakdown Prior'!$AE$15:$AE$164,$A55))</f>
        <v/>
      </c>
      <c r="Y55">
        <f>(SUMIFS('Payment Breakdown Current'!$U$15:$U$164,'Payment Breakdown Current'!$AE$15:$AE$164,$A55))-(SUMIFS('Payment Breakdown Prior'!$U$15:$U$164,'Payment Breakdown Prior'!$AE$15:$AE$164,$A55))</f>
        <v/>
      </c>
      <c r="Z55">
        <f>(SUMIFS('Payment Breakdown Current'!$V$15:$V$164,'Payment Breakdown Current'!$AE$15:$AE$164,$A55))-(SUMIFS('Payment Breakdown Prior'!$V$15:$V$164,'Payment Breakdown Prior'!$AE$15:$AE$164,$A55))</f>
        <v/>
      </c>
      <c r="AA55">
        <f>(SUMIFS('Payment Breakdown Current'!$W$15:$W$164,'Payment Breakdown Current'!$AE$15:$AE$164,$A55))-(SUMIFS('Payment Breakdown Prior'!$W$15:$W$164,'Payment Breakdown Prior'!$AE$15:$AE$164,$A55))</f>
        <v/>
      </c>
      <c r="AB55">
        <f>(SUMIFS('Payment Breakdown Current'!$X$15:$X$164,'Payment Breakdown Current'!$AE$15:$AE$164,$A55))-(SUMIFS('Payment Breakdown Prior'!$X$15:$X$164,'Payment Breakdown Prior'!$AE$15:$AE$164,$A55))</f>
        <v/>
      </c>
      <c r="AC55">
        <f>(SUMIFS('Payment Breakdown Current'!$Y$15:$Y$164,'Payment Breakdown Current'!$AE$15:$AE$164,$A55))-(SUMIFS('Payment Breakdown Prior'!$Y$15:$Y$164,'Payment Breakdown Prior'!$AE$15:$AE$164,$A55))</f>
        <v/>
      </c>
      <c r="AD55">
        <f>(SUMIFS('Payment Breakdown Current'!$Z$15:$Z$164,'Payment Breakdown Current'!$AE$15:$AE$164,$A55))-(SUMIFS('Payment Breakdown Prior'!$Z$15:$Z$164,'Payment Breakdown Prior'!$AE$15:$AE$164,$A55))</f>
        <v/>
      </c>
      <c r="AE55">
        <f>(SUMIFS('Payment Breakdown Current'!$AA$15:$AA$164,'Payment Breakdown Current'!$AE$15:$AE$164,$A55))-(SUMIFS('Payment Breakdown Prior'!$AA$15:$AA$164,'Payment Breakdown Prior'!$AE$15:$AE$164,$A55))</f>
        <v/>
      </c>
      <c r="AF55">
        <f>(SUMIFS('Payment Breakdown Current'!$AB$15:$AB$164,'Payment Breakdown Current'!$AE$15:$AE$164,$A55))-(SUMIFS('Payment Breakdown Prior'!$AB$15:$AB$164,'Payment Breakdown Prior'!$AE$15:$AE$164,$A55))</f>
        <v/>
      </c>
      <c r="AG55">
        <f>(SUMIFS('Payment Breakdown Current'!$AC$15:$AC$164,'Payment Breakdown Current'!$AE$15:$AE$164,$A55))-(SUMIFS('Payment Breakdown Prior'!$AC$15:$AC$164,'Payment Breakdown Prior'!$AE$15:$AE$164,$A55))</f>
        <v/>
      </c>
      <c r="AH55">
        <f>(SUMIFS('Payment Breakdown Current'!$AD$15:$AD$164,'Payment Breakdown Current'!$AE$15:$AE$164,$A55))-(SUMIFS('Payment Breakdown Prior'!$AD$15:$AD$164,'Payment Breakdown Prior'!$AE$15:$AE$164,$A55))</f>
        <v/>
      </c>
      <c r="AI55">
        <f t="array" ref="AI55">MAX(ABS(W55:AH55))</f>
        <v/>
      </c>
      <c r="AJ55">
        <f t="array" ref="AJ55">IF(AI55&lt;0.005,"",IFERROR(INDEX($W$1:$AH$1,MATCH(AI55,ABS(W55:AH55),0)),""))</f>
        <v/>
      </c>
      <c r="AK55">
        <f t="array" ref="AK55">IF(AI55&lt;0.005,"",IFERROR(INDEX(W55:AH55,MATCH(AI55,ABS(W55:AH55),0)),""))</f>
        <v/>
      </c>
      <c r="AL55">
        <f>IF(R55=1,ABS(L55)-ROW()/100000000,"")</f>
        <v/>
      </c>
    </row>
    <row r="56">
      <c r="A56">
        <f>IF('NPV Comparison'!D69="","",'NPV Comparison'!D69)</f>
        <v/>
      </c>
      <c r="B56">
        <f>IF('NPV Comparison'!E69="","",'NPV Comparison'!E69)</f>
        <v/>
      </c>
      <c r="C56">
        <f>IF('NPV Comparison'!F69="","",'NPV Comparison'!F69)</f>
        <v/>
      </c>
      <c r="D56">
        <f>IF($A56="","",IFERROR(INDEX(Structure!$E$13:$E$312,MATCH($A56,Structure!$P$13:$P$312,0)),""))</f>
        <v/>
      </c>
      <c r="E56">
        <f>IF($A56="",0,IF(COUNTIF(Structure!$P$13:$P$312,$A56)=0,0,IF(COUNTIFS(Structure!$P$13:$P$312,$A56,Structure!$N$13:$N$312,"&lt;&gt;Zero Hours")=0,1,0)))</f>
        <v/>
      </c>
      <c r="F56">
        <f>IF($A56="",0,1-E56)</f>
        <v/>
      </c>
      <c r="G56">
        <f>IF($A56="",0,IF(COUNTIF('New Starters'!$D$14:$D$73,$A56)&gt;0,1,0))</f>
        <v/>
      </c>
      <c r="H56">
        <f>IF($A56="",0,IF(COUNTIF('Leavers'!$D$12:$D$71,$A56)&gt;0,1,0))</f>
        <v/>
      </c>
      <c r="I56">
        <f>IF($A56="","",IFERROR(INDEX('New Starters'!$K$14:$K$73,MATCH($A56,'New Starters'!$D$14:$D$73,0)),IFERROR(INDEX('Leavers'!$K$12:$K$71,MATCH($A56,'Leavers'!$D$12:$D$71,0)),"")))</f>
        <v/>
      </c>
      <c r="J56">
        <f>IF(AND(G56=1,I56&lt;&gt;"",COUNTIF('Leavers'!$K$12:$K$71,I56)&gt;0),1,IF(AND(H56=1,I56&lt;&gt;"",COUNTIF('New Starters'!$K$14:$K$73,I56)&gt;0),1,0))</f>
        <v/>
      </c>
      <c r="K56">
        <f>IF(ISNUMBER(SEARCH("Head Office",D56)),'Control Sheet'!$C$6,'Control Sheet'!$C$5)</f>
        <v/>
      </c>
      <c r="L56">
        <f>IF(OR($A56="",AND(B56="",C56="")),"",IF(B56="",C56,IF(C56="",-B56,C56-B56)))</f>
        <v/>
      </c>
      <c r="M56">
        <f>IFERROR(L56/B56,"")</f>
        <v/>
      </c>
      <c r="N56">
        <f>IF($A56="",0,IF(OR(B56="",C56="",C56=0,AND(ISNUMBER(M56),ABS(M56)&gt;K56)),1,0))</f>
        <v/>
      </c>
      <c r="O56">
        <f>IF(AND(N56=1,ABS(L56)&gt;='Control Sheet'!$C$7,F56=1),1,0)</f>
        <v/>
      </c>
      <c r="P56">
        <f>IF($A56="","",IF(F56=0,"Zero Hours",IF(J56=1,"Explained: Paired transfer",IF(AND(G56=1,H56=0,J56=0),"Explained: Starter",IF(AND(H56=1,G56=0,J56=0),"Explained: Leaver",IF(O56=1,"Review required","OK"))))))</f>
        <v/>
      </c>
      <c r="Q56">
        <f>IF(AND(F56=1,OR(C56="",C56=0),H56=0,J56=0),1,0)</f>
        <v/>
      </c>
      <c r="R56">
        <f>IF(F56=0,0,IF(P56="Review required",1,IF(AND(P56="Explained: Starter",ISNUMBER(C56),C56&gt;=1500),1,0)))</f>
        <v/>
      </c>
      <c r="S56">
        <f>IF(R56=0,"",IF(Q56=1,"High",IF(AND(P56="Explained: Starter",C56&gt;=1500),"High",IF(ABS(L56)&gt;=2000,"High",IF(ABS(L56)&gt;=500,"Medium","Low")))))</f>
        <v/>
      </c>
      <c r="T56">
        <f>SUMIFS('Payment Breakdown Prior'!$S$15:$S$164,'Payment Breakdown Prior'!$AE$15:$AE$164,$A56)</f>
        <v/>
      </c>
      <c r="U56">
        <f>SUMIFS('Payment Breakdown Current'!$S$15:$S$164,'Payment Breakdown Current'!$AE$15:$AE$164,$A56)</f>
        <v/>
      </c>
      <c r="V56">
        <f>IFERROR((U56-T56)/T56,"")</f>
        <v/>
      </c>
      <c r="W56">
        <f>(SUMIFS('Payment Breakdown Current'!$S$15:$S$164,'Payment Breakdown Current'!$AE$15:$AE$164,$A56))-(SUMIFS('Payment Breakdown Prior'!$S$15:$S$164,'Payment Breakdown Prior'!$AE$15:$AE$164,$A56))</f>
        <v/>
      </c>
      <c r="X56">
        <f>(SUMIFS('Payment Breakdown Current'!$T$15:$T$164,'Payment Breakdown Current'!$AE$15:$AE$164,$A56))-(SUMIFS('Payment Breakdown Prior'!$T$15:$T$164,'Payment Breakdown Prior'!$AE$15:$AE$164,$A56))</f>
        <v/>
      </c>
      <c r="Y56">
        <f>(SUMIFS('Payment Breakdown Current'!$U$15:$U$164,'Payment Breakdown Current'!$AE$15:$AE$164,$A56))-(SUMIFS('Payment Breakdown Prior'!$U$15:$U$164,'Payment Breakdown Prior'!$AE$15:$AE$164,$A56))</f>
        <v/>
      </c>
      <c r="Z56">
        <f>(SUMIFS('Payment Breakdown Current'!$V$15:$V$164,'Payment Breakdown Current'!$AE$15:$AE$164,$A56))-(SUMIFS('Payment Breakdown Prior'!$V$15:$V$164,'Payment Breakdown Prior'!$AE$15:$AE$164,$A56))</f>
        <v/>
      </c>
      <c r="AA56">
        <f>(SUMIFS('Payment Breakdown Current'!$W$15:$W$164,'Payment Breakdown Current'!$AE$15:$AE$164,$A56))-(SUMIFS('Payment Breakdown Prior'!$W$15:$W$164,'Payment Breakdown Prior'!$AE$15:$AE$164,$A56))</f>
        <v/>
      </c>
      <c r="AB56">
        <f>(SUMIFS('Payment Breakdown Current'!$X$15:$X$164,'Payment Breakdown Current'!$AE$15:$AE$164,$A56))-(SUMIFS('Payment Breakdown Prior'!$X$15:$X$164,'Payment Breakdown Prior'!$AE$15:$AE$164,$A56))</f>
        <v/>
      </c>
      <c r="AC56">
        <f>(SUMIFS('Payment Breakdown Current'!$Y$15:$Y$164,'Payment Breakdown Current'!$AE$15:$AE$164,$A56))-(SUMIFS('Payment Breakdown Prior'!$Y$15:$Y$164,'Payment Breakdown Prior'!$AE$15:$AE$164,$A56))</f>
        <v/>
      </c>
      <c r="AD56">
        <f>(SUMIFS('Payment Breakdown Current'!$Z$15:$Z$164,'Payment Breakdown Current'!$AE$15:$AE$164,$A56))-(SUMIFS('Payment Breakdown Prior'!$Z$15:$Z$164,'Payment Breakdown Prior'!$AE$15:$AE$164,$A56))</f>
        <v/>
      </c>
      <c r="AE56">
        <f>(SUMIFS('Payment Breakdown Current'!$AA$15:$AA$164,'Payment Breakdown Current'!$AE$15:$AE$164,$A56))-(SUMIFS('Payment Breakdown Prior'!$AA$15:$AA$164,'Payment Breakdown Prior'!$AE$15:$AE$164,$A56))</f>
        <v/>
      </c>
      <c r="AF56">
        <f>(SUMIFS('Payment Breakdown Current'!$AB$15:$AB$164,'Payment Breakdown Current'!$AE$15:$AE$164,$A56))-(SUMIFS('Payment Breakdown Prior'!$AB$15:$AB$164,'Payment Breakdown Prior'!$AE$15:$AE$164,$A56))</f>
        <v/>
      </c>
      <c r="AG56">
        <f>(SUMIFS('Payment Breakdown Current'!$AC$15:$AC$164,'Payment Breakdown Current'!$AE$15:$AE$164,$A56))-(SUMIFS('Payment Breakdown Prior'!$AC$15:$AC$164,'Payment Breakdown Prior'!$AE$15:$AE$164,$A56))</f>
        <v/>
      </c>
      <c r="AH56">
        <f>(SUMIFS('Payment Breakdown Current'!$AD$15:$AD$164,'Payment Breakdown Current'!$AE$15:$AE$164,$A56))-(SUMIFS('Payment Breakdown Prior'!$AD$15:$AD$164,'Payment Breakdown Prior'!$AE$15:$AE$164,$A56))</f>
        <v/>
      </c>
      <c r="AI56">
        <f t="array" ref="AI56">MAX(ABS(W56:AH56))</f>
        <v/>
      </c>
      <c r="AJ56">
        <f t="array" ref="AJ56">IF(AI56&lt;0.005,"",IFERROR(INDEX($W$1:$AH$1,MATCH(AI56,ABS(W56:AH56),0)),""))</f>
        <v/>
      </c>
      <c r="AK56">
        <f t="array" ref="AK56">IF(AI56&lt;0.005,"",IFERROR(INDEX(W56:AH56,MATCH(AI56,ABS(W56:AH56),0)),""))</f>
        <v/>
      </c>
      <c r="AL56">
        <f>IF(R56=1,ABS(L56)-ROW()/100000000,"")</f>
        <v/>
      </c>
    </row>
    <row r="57">
      <c r="A57">
        <f>IF('NPV Comparison'!D70="","",'NPV Comparison'!D70)</f>
        <v/>
      </c>
      <c r="B57">
        <f>IF('NPV Comparison'!E70="","",'NPV Comparison'!E70)</f>
        <v/>
      </c>
      <c r="C57">
        <f>IF('NPV Comparison'!F70="","",'NPV Comparison'!F70)</f>
        <v/>
      </c>
      <c r="D57">
        <f>IF($A57="","",IFERROR(INDEX(Structure!$E$13:$E$312,MATCH($A57,Structure!$P$13:$P$312,0)),""))</f>
        <v/>
      </c>
      <c r="E57">
        <f>IF($A57="",0,IF(COUNTIF(Structure!$P$13:$P$312,$A57)=0,0,IF(COUNTIFS(Structure!$P$13:$P$312,$A57,Structure!$N$13:$N$312,"&lt;&gt;Zero Hours")=0,1,0)))</f>
        <v/>
      </c>
      <c r="F57">
        <f>IF($A57="",0,1-E57)</f>
        <v/>
      </c>
      <c r="G57">
        <f>IF($A57="",0,IF(COUNTIF('New Starters'!$D$14:$D$73,$A57)&gt;0,1,0))</f>
        <v/>
      </c>
      <c r="H57">
        <f>IF($A57="",0,IF(COUNTIF('Leavers'!$D$12:$D$71,$A57)&gt;0,1,0))</f>
        <v/>
      </c>
      <c r="I57">
        <f>IF($A57="","",IFERROR(INDEX('New Starters'!$K$14:$K$73,MATCH($A57,'New Starters'!$D$14:$D$73,0)),IFERROR(INDEX('Leavers'!$K$12:$K$71,MATCH($A57,'Leavers'!$D$12:$D$71,0)),"")))</f>
        <v/>
      </c>
      <c r="J57">
        <f>IF(AND(G57=1,I57&lt;&gt;"",COUNTIF('Leavers'!$K$12:$K$71,I57)&gt;0),1,IF(AND(H57=1,I57&lt;&gt;"",COUNTIF('New Starters'!$K$14:$K$73,I57)&gt;0),1,0))</f>
        <v/>
      </c>
      <c r="K57">
        <f>IF(ISNUMBER(SEARCH("Head Office",D57)),'Control Sheet'!$C$6,'Control Sheet'!$C$5)</f>
        <v/>
      </c>
      <c r="L57">
        <f>IF(OR($A57="",AND(B57="",C57="")),"",IF(B57="",C57,IF(C57="",-B57,C57-B57)))</f>
        <v/>
      </c>
      <c r="M57">
        <f>IFERROR(L57/B57,"")</f>
        <v/>
      </c>
      <c r="N57">
        <f>IF($A57="",0,IF(OR(B57="",C57="",C57=0,AND(ISNUMBER(M57),ABS(M57)&gt;K57)),1,0))</f>
        <v/>
      </c>
      <c r="O57">
        <f>IF(AND(N57=1,ABS(L57)&gt;='Control Sheet'!$C$7,F57=1),1,0)</f>
        <v/>
      </c>
      <c r="P57">
        <f>IF($A57="","",IF(F57=0,"Zero Hours",IF(J57=1,"Explained: Paired transfer",IF(AND(G57=1,H57=0,J57=0),"Explained: Starter",IF(AND(H57=1,G57=0,J57=0),"Explained: Leaver",IF(O57=1,"Review required","OK"))))))</f>
        <v/>
      </c>
      <c r="Q57">
        <f>IF(AND(F57=1,OR(C57="",C57=0),H57=0,J57=0),1,0)</f>
        <v/>
      </c>
      <c r="R57">
        <f>IF(F57=0,0,IF(P57="Review required",1,IF(AND(P57="Explained: Starter",ISNUMBER(C57),C57&gt;=1500),1,0)))</f>
        <v/>
      </c>
      <c r="S57">
        <f>IF(R57=0,"",IF(Q57=1,"High",IF(AND(P57="Explained: Starter",C57&gt;=1500),"High",IF(ABS(L57)&gt;=2000,"High",IF(ABS(L57)&gt;=500,"Medium","Low")))))</f>
        <v/>
      </c>
      <c r="T57">
        <f>SUMIFS('Payment Breakdown Prior'!$S$15:$S$164,'Payment Breakdown Prior'!$AE$15:$AE$164,$A57)</f>
        <v/>
      </c>
      <c r="U57">
        <f>SUMIFS('Payment Breakdown Current'!$S$15:$S$164,'Payment Breakdown Current'!$AE$15:$AE$164,$A57)</f>
        <v/>
      </c>
      <c r="V57">
        <f>IFERROR((U57-T57)/T57,"")</f>
        <v/>
      </c>
      <c r="W57">
        <f>(SUMIFS('Payment Breakdown Current'!$S$15:$S$164,'Payment Breakdown Current'!$AE$15:$AE$164,$A57))-(SUMIFS('Payment Breakdown Prior'!$S$15:$S$164,'Payment Breakdown Prior'!$AE$15:$AE$164,$A57))</f>
        <v/>
      </c>
      <c r="X57">
        <f>(SUMIFS('Payment Breakdown Current'!$T$15:$T$164,'Payment Breakdown Current'!$AE$15:$AE$164,$A57))-(SUMIFS('Payment Breakdown Prior'!$T$15:$T$164,'Payment Breakdown Prior'!$AE$15:$AE$164,$A57))</f>
        <v/>
      </c>
      <c r="Y57">
        <f>(SUMIFS('Payment Breakdown Current'!$U$15:$U$164,'Payment Breakdown Current'!$AE$15:$AE$164,$A57))-(SUMIFS('Payment Breakdown Prior'!$U$15:$U$164,'Payment Breakdown Prior'!$AE$15:$AE$164,$A57))</f>
        <v/>
      </c>
      <c r="Z57">
        <f>(SUMIFS('Payment Breakdown Current'!$V$15:$V$164,'Payment Breakdown Current'!$AE$15:$AE$164,$A57))-(SUMIFS('Payment Breakdown Prior'!$V$15:$V$164,'Payment Breakdown Prior'!$AE$15:$AE$164,$A57))</f>
        <v/>
      </c>
      <c r="AA57">
        <f>(SUMIFS('Payment Breakdown Current'!$W$15:$W$164,'Payment Breakdown Current'!$AE$15:$AE$164,$A57))-(SUMIFS('Payment Breakdown Prior'!$W$15:$W$164,'Payment Breakdown Prior'!$AE$15:$AE$164,$A57))</f>
        <v/>
      </c>
      <c r="AB57">
        <f>(SUMIFS('Payment Breakdown Current'!$X$15:$X$164,'Payment Breakdown Current'!$AE$15:$AE$164,$A57))-(SUMIFS('Payment Breakdown Prior'!$X$15:$X$164,'Payment Breakdown Prior'!$AE$15:$AE$164,$A57))</f>
        <v/>
      </c>
      <c r="AC57">
        <f>(SUMIFS('Payment Breakdown Current'!$Y$15:$Y$164,'Payment Breakdown Current'!$AE$15:$AE$164,$A57))-(SUMIFS('Payment Breakdown Prior'!$Y$15:$Y$164,'Payment Breakdown Prior'!$AE$15:$AE$164,$A57))</f>
        <v/>
      </c>
      <c r="AD57">
        <f>(SUMIFS('Payment Breakdown Current'!$Z$15:$Z$164,'Payment Breakdown Current'!$AE$15:$AE$164,$A57))-(SUMIFS('Payment Breakdown Prior'!$Z$15:$Z$164,'Payment Breakdown Prior'!$AE$15:$AE$164,$A57))</f>
        <v/>
      </c>
      <c r="AE57">
        <f>(SUMIFS('Payment Breakdown Current'!$AA$15:$AA$164,'Payment Breakdown Current'!$AE$15:$AE$164,$A57))-(SUMIFS('Payment Breakdown Prior'!$AA$15:$AA$164,'Payment Breakdown Prior'!$AE$15:$AE$164,$A57))</f>
        <v/>
      </c>
      <c r="AF57">
        <f>(SUMIFS('Payment Breakdown Current'!$AB$15:$AB$164,'Payment Breakdown Current'!$AE$15:$AE$164,$A57))-(SUMIFS('Payment Breakdown Prior'!$AB$15:$AB$164,'Payment Breakdown Prior'!$AE$15:$AE$164,$A57))</f>
        <v/>
      </c>
      <c r="AG57">
        <f>(SUMIFS('Payment Breakdown Current'!$AC$15:$AC$164,'Payment Breakdown Current'!$AE$15:$AE$164,$A57))-(SUMIFS('Payment Breakdown Prior'!$AC$15:$AC$164,'Payment Breakdown Prior'!$AE$15:$AE$164,$A57))</f>
        <v/>
      </c>
      <c r="AH57">
        <f>(SUMIFS('Payment Breakdown Current'!$AD$15:$AD$164,'Payment Breakdown Current'!$AE$15:$AE$164,$A57))-(SUMIFS('Payment Breakdown Prior'!$AD$15:$AD$164,'Payment Breakdown Prior'!$AE$15:$AE$164,$A57))</f>
        <v/>
      </c>
      <c r="AI57">
        <f t="array" ref="AI57">MAX(ABS(W57:AH57))</f>
        <v/>
      </c>
      <c r="AJ57">
        <f t="array" ref="AJ57">IF(AI57&lt;0.005,"",IFERROR(INDEX($W$1:$AH$1,MATCH(AI57,ABS(W57:AH57),0)),""))</f>
        <v/>
      </c>
      <c r="AK57">
        <f t="array" ref="AK57">IF(AI57&lt;0.005,"",IFERROR(INDEX(W57:AH57,MATCH(AI57,ABS(W57:AH57),0)),""))</f>
        <v/>
      </c>
      <c r="AL57">
        <f>IF(R57=1,ABS(L57)-ROW()/100000000,"")</f>
        <v/>
      </c>
    </row>
    <row r="58">
      <c r="A58">
        <f>IF('NPV Comparison'!D71="","",'NPV Comparison'!D71)</f>
        <v/>
      </c>
      <c r="B58">
        <f>IF('NPV Comparison'!E71="","",'NPV Comparison'!E71)</f>
        <v/>
      </c>
      <c r="C58">
        <f>IF('NPV Comparison'!F71="","",'NPV Comparison'!F71)</f>
        <v/>
      </c>
      <c r="D58">
        <f>IF($A58="","",IFERROR(INDEX(Structure!$E$13:$E$312,MATCH($A58,Structure!$P$13:$P$312,0)),""))</f>
        <v/>
      </c>
      <c r="E58">
        <f>IF($A58="",0,IF(COUNTIF(Structure!$P$13:$P$312,$A58)=0,0,IF(COUNTIFS(Structure!$P$13:$P$312,$A58,Structure!$N$13:$N$312,"&lt;&gt;Zero Hours")=0,1,0)))</f>
        <v/>
      </c>
      <c r="F58">
        <f>IF($A58="",0,1-E58)</f>
        <v/>
      </c>
      <c r="G58">
        <f>IF($A58="",0,IF(COUNTIF('New Starters'!$D$14:$D$73,$A58)&gt;0,1,0))</f>
        <v/>
      </c>
      <c r="H58">
        <f>IF($A58="",0,IF(COUNTIF('Leavers'!$D$12:$D$71,$A58)&gt;0,1,0))</f>
        <v/>
      </c>
      <c r="I58">
        <f>IF($A58="","",IFERROR(INDEX('New Starters'!$K$14:$K$73,MATCH($A58,'New Starters'!$D$14:$D$73,0)),IFERROR(INDEX('Leavers'!$K$12:$K$71,MATCH($A58,'Leavers'!$D$12:$D$71,0)),"")))</f>
        <v/>
      </c>
      <c r="J58">
        <f>IF(AND(G58=1,I58&lt;&gt;"",COUNTIF('Leavers'!$K$12:$K$71,I58)&gt;0),1,IF(AND(H58=1,I58&lt;&gt;"",COUNTIF('New Starters'!$K$14:$K$73,I58)&gt;0),1,0))</f>
        <v/>
      </c>
      <c r="K58">
        <f>IF(ISNUMBER(SEARCH("Head Office",D58)),'Control Sheet'!$C$6,'Control Sheet'!$C$5)</f>
        <v/>
      </c>
      <c r="L58">
        <f>IF(OR($A58="",AND(B58="",C58="")),"",IF(B58="",C58,IF(C58="",-B58,C58-B58)))</f>
        <v/>
      </c>
      <c r="M58">
        <f>IFERROR(L58/B58,"")</f>
        <v/>
      </c>
      <c r="N58">
        <f>IF($A58="",0,IF(OR(B58="",C58="",C58=0,AND(ISNUMBER(M58),ABS(M58)&gt;K58)),1,0))</f>
        <v/>
      </c>
      <c r="O58">
        <f>IF(AND(N58=1,ABS(L58)&gt;='Control Sheet'!$C$7,F58=1),1,0)</f>
        <v/>
      </c>
      <c r="P58">
        <f>IF($A58="","",IF(F58=0,"Zero Hours",IF(J58=1,"Explained: Paired transfer",IF(AND(G58=1,H58=0,J58=0),"Explained: Starter",IF(AND(H58=1,G58=0,J58=0),"Explained: Leaver",IF(O58=1,"Review required","OK"))))))</f>
        <v/>
      </c>
      <c r="Q58">
        <f>IF(AND(F58=1,OR(C58="",C58=0),H58=0,J58=0),1,0)</f>
        <v/>
      </c>
      <c r="R58">
        <f>IF(F58=0,0,IF(P58="Review required",1,IF(AND(P58="Explained: Starter",ISNUMBER(C58),C58&gt;=1500),1,0)))</f>
        <v/>
      </c>
      <c r="S58">
        <f>IF(R58=0,"",IF(Q58=1,"High",IF(AND(P58="Explained: Starter",C58&gt;=1500),"High",IF(ABS(L58)&gt;=2000,"High",IF(ABS(L58)&gt;=500,"Medium","Low")))))</f>
        <v/>
      </c>
      <c r="T58">
        <f>SUMIFS('Payment Breakdown Prior'!$S$15:$S$164,'Payment Breakdown Prior'!$AE$15:$AE$164,$A58)</f>
        <v/>
      </c>
      <c r="U58">
        <f>SUMIFS('Payment Breakdown Current'!$S$15:$S$164,'Payment Breakdown Current'!$AE$15:$AE$164,$A58)</f>
        <v/>
      </c>
      <c r="V58">
        <f>IFERROR((U58-T58)/T58,"")</f>
        <v/>
      </c>
      <c r="W58">
        <f>(SUMIFS('Payment Breakdown Current'!$S$15:$S$164,'Payment Breakdown Current'!$AE$15:$AE$164,$A58))-(SUMIFS('Payment Breakdown Prior'!$S$15:$S$164,'Payment Breakdown Prior'!$AE$15:$AE$164,$A58))</f>
        <v/>
      </c>
      <c r="X58">
        <f>(SUMIFS('Payment Breakdown Current'!$T$15:$T$164,'Payment Breakdown Current'!$AE$15:$AE$164,$A58))-(SUMIFS('Payment Breakdown Prior'!$T$15:$T$164,'Payment Breakdown Prior'!$AE$15:$AE$164,$A58))</f>
        <v/>
      </c>
      <c r="Y58">
        <f>(SUMIFS('Payment Breakdown Current'!$U$15:$U$164,'Payment Breakdown Current'!$AE$15:$AE$164,$A58))-(SUMIFS('Payment Breakdown Prior'!$U$15:$U$164,'Payment Breakdown Prior'!$AE$15:$AE$164,$A58))</f>
        <v/>
      </c>
      <c r="Z58">
        <f>(SUMIFS('Payment Breakdown Current'!$V$15:$V$164,'Payment Breakdown Current'!$AE$15:$AE$164,$A58))-(SUMIFS('Payment Breakdown Prior'!$V$15:$V$164,'Payment Breakdown Prior'!$AE$15:$AE$164,$A58))</f>
        <v/>
      </c>
      <c r="AA58">
        <f>(SUMIFS('Payment Breakdown Current'!$W$15:$W$164,'Payment Breakdown Current'!$AE$15:$AE$164,$A58))-(SUMIFS('Payment Breakdown Prior'!$W$15:$W$164,'Payment Breakdown Prior'!$AE$15:$AE$164,$A58))</f>
        <v/>
      </c>
      <c r="AB58">
        <f>(SUMIFS('Payment Breakdown Current'!$X$15:$X$164,'Payment Breakdown Current'!$AE$15:$AE$164,$A58))-(SUMIFS('Payment Breakdown Prior'!$X$15:$X$164,'Payment Breakdown Prior'!$AE$15:$AE$164,$A58))</f>
        <v/>
      </c>
      <c r="AC58">
        <f>(SUMIFS('Payment Breakdown Current'!$Y$15:$Y$164,'Payment Breakdown Current'!$AE$15:$AE$164,$A58))-(SUMIFS('Payment Breakdown Prior'!$Y$15:$Y$164,'Payment Breakdown Prior'!$AE$15:$AE$164,$A58))</f>
        <v/>
      </c>
      <c r="AD58">
        <f>(SUMIFS('Payment Breakdown Current'!$Z$15:$Z$164,'Payment Breakdown Current'!$AE$15:$AE$164,$A58))-(SUMIFS('Payment Breakdown Prior'!$Z$15:$Z$164,'Payment Breakdown Prior'!$AE$15:$AE$164,$A58))</f>
        <v/>
      </c>
      <c r="AE58">
        <f>(SUMIFS('Payment Breakdown Current'!$AA$15:$AA$164,'Payment Breakdown Current'!$AE$15:$AE$164,$A58))-(SUMIFS('Payment Breakdown Prior'!$AA$15:$AA$164,'Payment Breakdown Prior'!$AE$15:$AE$164,$A58))</f>
        <v/>
      </c>
      <c r="AF58">
        <f>(SUMIFS('Payment Breakdown Current'!$AB$15:$AB$164,'Payment Breakdown Current'!$AE$15:$AE$164,$A58))-(SUMIFS('Payment Breakdown Prior'!$AB$15:$AB$164,'Payment Breakdown Prior'!$AE$15:$AE$164,$A58))</f>
        <v/>
      </c>
      <c r="AG58">
        <f>(SUMIFS('Payment Breakdown Current'!$AC$15:$AC$164,'Payment Breakdown Current'!$AE$15:$AE$164,$A58))-(SUMIFS('Payment Breakdown Prior'!$AC$15:$AC$164,'Payment Breakdown Prior'!$AE$15:$AE$164,$A58))</f>
        <v/>
      </c>
      <c r="AH58">
        <f>(SUMIFS('Payment Breakdown Current'!$AD$15:$AD$164,'Payment Breakdown Current'!$AE$15:$AE$164,$A58))-(SUMIFS('Payment Breakdown Prior'!$AD$15:$AD$164,'Payment Breakdown Prior'!$AE$15:$AE$164,$A58))</f>
        <v/>
      </c>
      <c r="AI58">
        <f t="array" ref="AI58">MAX(ABS(W58:AH58))</f>
        <v/>
      </c>
      <c r="AJ58">
        <f t="array" ref="AJ58">IF(AI58&lt;0.005,"",IFERROR(INDEX($W$1:$AH$1,MATCH(AI58,ABS(W58:AH58),0)),""))</f>
        <v/>
      </c>
      <c r="AK58">
        <f t="array" ref="AK58">IF(AI58&lt;0.005,"",IFERROR(INDEX(W58:AH58,MATCH(AI58,ABS(W58:AH58),0)),""))</f>
        <v/>
      </c>
      <c r="AL58">
        <f>IF(R58=1,ABS(L58)-ROW()/100000000,"")</f>
        <v/>
      </c>
    </row>
    <row r="59">
      <c r="A59">
        <f>IF('NPV Comparison'!D72="","",'NPV Comparison'!D72)</f>
        <v/>
      </c>
      <c r="B59">
        <f>IF('NPV Comparison'!E72="","",'NPV Comparison'!E72)</f>
        <v/>
      </c>
      <c r="C59">
        <f>IF('NPV Comparison'!F72="","",'NPV Comparison'!F72)</f>
        <v/>
      </c>
      <c r="D59">
        <f>IF($A59="","",IFERROR(INDEX(Structure!$E$13:$E$312,MATCH($A59,Structure!$P$13:$P$312,0)),""))</f>
        <v/>
      </c>
      <c r="E59">
        <f>IF($A59="",0,IF(COUNTIF(Structure!$P$13:$P$312,$A59)=0,0,IF(COUNTIFS(Structure!$P$13:$P$312,$A59,Structure!$N$13:$N$312,"&lt;&gt;Zero Hours")=0,1,0)))</f>
        <v/>
      </c>
      <c r="F59">
        <f>IF($A59="",0,1-E59)</f>
        <v/>
      </c>
      <c r="G59">
        <f>IF($A59="",0,IF(COUNTIF('New Starters'!$D$14:$D$73,$A59)&gt;0,1,0))</f>
        <v/>
      </c>
      <c r="H59">
        <f>IF($A59="",0,IF(COUNTIF('Leavers'!$D$12:$D$71,$A59)&gt;0,1,0))</f>
        <v/>
      </c>
      <c r="I59">
        <f>IF($A59="","",IFERROR(INDEX('New Starters'!$K$14:$K$73,MATCH($A59,'New Starters'!$D$14:$D$73,0)),IFERROR(INDEX('Leavers'!$K$12:$K$71,MATCH($A59,'Leavers'!$D$12:$D$71,0)),"")))</f>
        <v/>
      </c>
      <c r="J59">
        <f>IF(AND(G59=1,I59&lt;&gt;"",COUNTIF('Leavers'!$K$12:$K$71,I59)&gt;0),1,IF(AND(H59=1,I59&lt;&gt;"",COUNTIF('New Starters'!$K$14:$K$73,I59)&gt;0),1,0))</f>
        <v/>
      </c>
      <c r="K59">
        <f>IF(ISNUMBER(SEARCH("Head Office",D59)),'Control Sheet'!$C$6,'Control Sheet'!$C$5)</f>
        <v/>
      </c>
      <c r="L59">
        <f>IF(OR($A59="",AND(B59="",C59="")),"",IF(B59="",C59,IF(C59="",-B59,C59-B59)))</f>
        <v/>
      </c>
      <c r="M59">
        <f>IFERROR(L59/B59,"")</f>
        <v/>
      </c>
      <c r="N59">
        <f>IF($A59="",0,IF(OR(B59="",C59="",C59=0,AND(ISNUMBER(M59),ABS(M59)&gt;K59)),1,0))</f>
        <v/>
      </c>
      <c r="O59">
        <f>IF(AND(N59=1,ABS(L59)&gt;='Control Sheet'!$C$7,F59=1),1,0)</f>
        <v/>
      </c>
      <c r="P59">
        <f>IF($A59="","",IF(F59=0,"Zero Hours",IF(J59=1,"Explained: Paired transfer",IF(AND(G59=1,H59=0,J59=0),"Explained: Starter",IF(AND(H59=1,G59=0,J59=0),"Explained: Leaver",IF(O59=1,"Review required","OK"))))))</f>
        <v/>
      </c>
      <c r="Q59">
        <f>IF(AND(F59=1,OR(C59="",C59=0),H59=0,J59=0),1,0)</f>
        <v/>
      </c>
      <c r="R59">
        <f>IF(F59=0,0,IF(P59="Review required",1,IF(AND(P59="Explained: Starter",ISNUMBER(C59),C59&gt;=1500),1,0)))</f>
        <v/>
      </c>
      <c r="S59">
        <f>IF(R59=0,"",IF(Q59=1,"High",IF(AND(P59="Explained: Starter",C59&gt;=1500),"High",IF(ABS(L59)&gt;=2000,"High",IF(ABS(L59)&gt;=500,"Medium","Low")))))</f>
        <v/>
      </c>
      <c r="T59">
        <f>SUMIFS('Payment Breakdown Prior'!$S$15:$S$164,'Payment Breakdown Prior'!$AE$15:$AE$164,$A59)</f>
        <v/>
      </c>
      <c r="U59">
        <f>SUMIFS('Payment Breakdown Current'!$S$15:$S$164,'Payment Breakdown Current'!$AE$15:$AE$164,$A59)</f>
        <v/>
      </c>
      <c r="V59">
        <f>IFERROR((U59-T59)/T59,"")</f>
        <v/>
      </c>
      <c r="W59">
        <f>(SUMIFS('Payment Breakdown Current'!$S$15:$S$164,'Payment Breakdown Current'!$AE$15:$AE$164,$A59))-(SUMIFS('Payment Breakdown Prior'!$S$15:$S$164,'Payment Breakdown Prior'!$AE$15:$AE$164,$A59))</f>
        <v/>
      </c>
      <c r="X59">
        <f>(SUMIFS('Payment Breakdown Current'!$T$15:$T$164,'Payment Breakdown Current'!$AE$15:$AE$164,$A59))-(SUMIFS('Payment Breakdown Prior'!$T$15:$T$164,'Payment Breakdown Prior'!$AE$15:$AE$164,$A59))</f>
        <v/>
      </c>
      <c r="Y59">
        <f>(SUMIFS('Payment Breakdown Current'!$U$15:$U$164,'Payment Breakdown Current'!$AE$15:$AE$164,$A59))-(SUMIFS('Payment Breakdown Prior'!$U$15:$U$164,'Payment Breakdown Prior'!$AE$15:$AE$164,$A59))</f>
        <v/>
      </c>
      <c r="Z59">
        <f>(SUMIFS('Payment Breakdown Current'!$V$15:$V$164,'Payment Breakdown Current'!$AE$15:$AE$164,$A59))-(SUMIFS('Payment Breakdown Prior'!$V$15:$V$164,'Payment Breakdown Prior'!$AE$15:$AE$164,$A59))</f>
        <v/>
      </c>
      <c r="AA59">
        <f>(SUMIFS('Payment Breakdown Current'!$W$15:$W$164,'Payment Breakdown Current'!$AE$15:$AE$164,$A59))-(SUMIFS('Payment Breakdown Prior'!$W$15:$W$164,'Payment Breakdown Prior'!$AE$15:$AE$164,$A59))</f>
        <v/>
      </c>
      <c r="AB59">
        <f>(SUMIFS('Payment Breakdown Current'!$X$15:$X$164,'Payment Breakdown Current'!$AE$15:$AE$164,$A59))-(SUMIFS('Payment Breakdown Prior'!$X$15:$X$164,'Payment Breakdown Prior'!$AE$15:$AE$164,$A59))</f>
        <v/>
      </c>
      <c r="AC59">
        <f>(SUMIFS('Payment Breakdown Current'!$Y$15:$Y$164,'Payment Breakdown Current'!$AE$15:$AE$164,$A59))-(SUMIFS('Payment Breakdown Prior'!$Y$15:$Y$164,'Payment Breakdown Prior'!$AE$15:$AE$164,$A59))</f>
        <v/>
      </c>
      <c r="AD59">
        <f>(SUMIFS('Payment Breakdown Current'!$Z$15:$Z$164,'Payment Breakdown Current'!$AE$15:$AE$164,$A59))-(SUMIFS('Payment Breakdown Prior'!$Z$15:$Z$164,'Payment Breakdown Prior'!$AE$15:$AE$164,$A59))</f>
        <v/>
      </c>
      <c r="AE59">
        <f>(SUMIFS('Payment Breakdown Current'!$AA$15:$AA$164,'Payment Breakdown Current'!$AE$15:$AE$164,$A59))-(SUMIFS('Payment Breakdown Prior'!$AA$15:$AA$164,'Payment Breakdown Prior'!$AE$15:$AE$164,$A59))</f>
        <v/>
      </c>
      <c r="AF59">
        <f>(SUMIFS('Payment Breakdown Current'!$AB$15:$AB$164,'Payment Breakdown Current'!$AE$15:$AE$164,$A59))-(SUMIFS('Payment Breakdown Prior'!$AB$15:$AB$164,'Payment Breakdown Prior'!$AE$15:$AE$164,$A59))</f>
        <v/>
      </c>
      <c r="AG59">
        <f>(SUMIFS('Payment Breakdown Current'!$AC$15:$AC$164,'Payment Breakdown Current'!$AE$15:$AE$164,$A59))-(SUMIFS('Payment Breakdown Prior'!$AC$15:$AC$164,'Payment Breakdown Prior'!$AE$15:$AE$164,$A59))</f>
        <v/>
      </c>
      <c r="AH59">
        <f>(SUMIFS('Payment Breakdown Current'!$AD$15:$AD$164,'Payment Breakdown Current'!$AE$15:$AE$164,$A59))-(SUMIFS('Payment Breakdown Prior'!$AD$15:$AD$164,'Payment Breakdown Prior'!$AE$15:$AE$164,$A59))</f>
        <v/>
      </c>
      <c r="AI59">
        <f t="array" ref="AI59">MAX(ABS(W59:AH59))</f>
        <v/>
      </c>
      <c r="AJ59">
        <f t="array" ref="AJ59">IF(AI59&lt;0.005,"",IFERROR(INDEX($W$1:$AH$1,MATCH(AI59,ABS(W59:AH59),0)),""))</f>
        <v/>
      </c>
      <c r="AK59">
        <f t="array" ref="AK59">IF(AI59&lt;0.005,"",IFERROR(INDEX(W59:AH59,MATCH(AI59,ABS(W59:AH59),0)),""))</f>
        <v/>
      </c>
      <c r="AL59">
        <f>IF(R59=1,ABS(L59)-ROW()/100000000,"")</f>
        <v/>
      </c>
    </row>
    <row r="60">
      <c r="A60">
        <f>IF('NPV Comparison'!D73="","",'NPV Comparison'!D73)</f>
        <v/>
      </c>
      <c r="B60">
        <f>IF('NPV Comparison'!E73="","",'NPV Comparison'!E73)</f>
        <v/>
      </c>
      <c r="C60">
        <f>IF('NPV Comparison'!F73="","",'NPV Comparison'!F73)</f>
        <v/>
      </c>
      <c r="D60">
        <f>IF($A60="","",IFERROR(INDEX(Structure!$E$13:$E$312,MATCH($A60,Structure!$P$13:$P$312,0)),""))</f>
        <v/>
      </c>
      <c r="E60">
        <f>IF($A60="",0,IF(COUNTIF(Structure!$P$13:$P$312,$A60)=0,0,IF(COUNTIFS(Structure!$P$13:$P$312,$A60,Structure!$N$13:$N$312,"&lt;&gt;Zero Hours")=0,1,0)))</f>
        <v/>
      </c>
      <c r="F60">
        <f>IF($A60="",0,1-E60)</f>
        <v/>
      </c>
      <c r="G60">
        <f>IF($A60="",0,IF(COUNTIF('New Starters'!$D$14:$D$73,$A60)&gt;0,1,0))</f>
        <v/>
      </c>
      <c r="H60">
        <f>IF($A60="",0,IF(COUNTIF('Leavers'!$D$12:$D$71,$A60)&gt;0,1,0))</f>
        <v/>
      </c>
      <c r="I60">
        <f>IF($A60="","",IFERROR(INDEX('New Starters'!$K$14:$K$73,MATCH($A60,'New Starters'!$D$14:$D$73,0)),IFERROR(INDEX('Leavers'!$K$12:$K$71,MATCH($A60,'Leavers'!$D$12:$D$71,0)),"")))</f>
        <v/>
      </c>
      <c r="J60">
        <f>IF(AND(G60=1,I60&lt;&gt;"",COUNTIF('Leavers'!$K$12:$K$71,I60)&gt;0),1,IF(AND(H60=1,I60&lt;&gt;"",COUNTIF('New Starters'!$K$14:$K$73,I60)&gt;0),1,0))</f>
        <v/>
      </c>
      <c r="K60">
        <f>IF(ISNUMBER(SEARCH("Head Office",D60)),'Control Sheet'!$C$6,'Control Sheet'!$C$5)</f>
        <v/>
      </c>
      <c r="L60">
        <f>IF(OR($A60="",AND(B60="",C60="")),"",IF(B60="",C60,IF(C60="",-B60,C60-B60)))</f>
        <v/>
      </c>
      <c r="M60">
        <f>IFERROR(L60/B60,"")</f>
        <v/>
      </c>
      <c r="N60">
        <f>IF($A60="",0,IF(OR(B60="",C60="",C60=0,AND(ISNUMBER(M60),ABS(M60)&gt;K60)),1,0))</f>
        <v/>
      </c>
      <c r="O60">
        <f>IF(AND(N60=1,ABS(L60)&gt;='Control Sheet'!$C$7,F60=1),1,0)</f>
        <v/>
      </c>
      <c r="P60">
        <f>IF($A60="","",IF(F60=0,"Zero Hours",IF(J60=1,"Explained: Paired transfer",IF(AND(G60=1,H60=0,J60=0),"Explained: Starter",IF(AND(H60=1,G60=0,J60=0),"Explained: Leaver",IF(O60=1,"Review required","OK"))))))</f>
        <v/>
      </c>
      <c r="Q60">
        <f>IF(AND(F60=1,OR(C60="",C60=0),H60=0,J60=0),1,0)</f>
        <v/>
      </c>
      <c r="R60">
        <f>IF(F60=0,0,IF(P60="Review required",1,IF(AND(P60="Explained: Starter",ISNUMBER(C60),C60&gt;=1500),1,0)))</f>
        <v/>
      </c>
      <c r="S60">
        <f>IF(R60=0,"",IF(Q60=1,"High",IF(AND(P60="Explained: Starter",C60&gt;=1500),"High",IF(ABS(L60)&gt;=2000,"High",IF(ABS(L60)&gt;=500,"Medium","Low")))))</f>
        <v/>
      </c>
      <c r="T60">
        <f>SUMIFS('Payment Breakdown Prior'!$S$15:$S$164,'Payment Breakdown Prior'!$AE$15:$AE$164,$A60)</f>
        <v/>
      </c>
      <c r="U60">
        <f>SUMIFS('Payment Breakdown Current'!$S$15:$S$164,'Payment Breakdown Current'!$AE$15:$AE$164,$A60)</f>
        <v/>
      </c>
      <c r="V60">
        <f>IFERROR((U60-T60)/T60,"")</f>
        <v/>
      </c>
      <c r="W60">
        <f>(SUMIFS('Payment Breakdown Current'!$S$15:$S$164,'Payment Breakdown Current'!$AE$15:$AE$164,$A60))-(SUMIFS('Payment Breakdown Prior'!$S$15:$S$164,'Payment Breakdown Prior'!$AE$15:$AE$164,$A60))</f>
        <v/>
      </c>
      <c r="X60">
        <f>(SUMIFS('Payment Breakdown Current'!$T$15:$T$164,'Payment Breakdown Current'!$AE$15:$AE$164,$A60))-(SUMIFS('Payment Breakdown Prior'!$T$15:$T$164,'Payment Breakdown Prior'!$AE$15:$AE$164,$A60))</f>
        <v/>
      </c>
      <c r="Y60">
        <f>(SUMIFS('Payment Breakdown Current'!$U$15:$U$164,'Payment Breakdown Current'!$AE$15:$AE$164,$A60))-(SUMIFS('Payment Breakdown Prior'!$U$15:$U$164,'Payment Breakdown Prior'!$AE$15:$AE$164,$A60))</f>
        <v/>
      </c>
      <c r="Z60">
        <f>(SUMIFS('Payment Breakdown Current'!$V$15:$V$164,'Payment Breakdown Current'!$AE$15:$AE$164,$A60))-(SUMIFS('Payment Breakdown Prior'!$V$15:$V$164,'Payment Breakdown Prior'!$AE$15:$AE$164,$A60))</f>
        <v/>
      </c>
      <c r="AA60">
        <f>(SUMIFS('Payment Breakdown Current'!$W$15:$W$164,'Payment Breakdown Current'!$AE$15:$AE$164,$A60))-(SUMIFS('Payment Breakdown Prior'!$W$15:$W$164,'Payment Breakdown Prior'!$AE$15:$AE$164,$A60))</f>
        <v/>
      </c>
      <c r="AB60">
        <f>(SUMIFS('Payment Breakdown Current'!$X$15:$X$164,'Payment Breakdown Current'!$AE$15:$AE$164,$A60))-(SUMIFS('Payment Breakdown Prior'!$X$15:$X$164,'Payment Breakdown Prior'!$AE$15:$AE$164,$A60))</f>
        <v/>
      </c>
      <c r="AC60">
        <f>(SUMIFS('Payment Breakdown Current'!$Y$15:$Y$164,'Payment Breakdown Current'!$AE$15:$AE$164,$A60))-(SUMIFS('Payment Breakdown Prior'!$Y$15:$Y$164,'Payment Breakdown Prior'!$AE$15:$AE$164,$A60))</f>
        <v/>
      </c>
      <c r="AD60">
        <f>(SUMIFS('Payment Breakdown Current'!$Z$15:$Z$164,'Payment Breakdown Current'!$AE$15:$AE$164,$A60))-(SUMIFS('Payment Breakdown Prior'!$Z$15:$Z$164,'Payment Breakdown Prior'!$AE$15:$AE$164,$A60))</f>
        <v/>
      </c>
      <c r="AE60">
        <f>(SUMIFS('Payment Breakdown Current'!$AA$15:$AA$164,'Payment Breakdown Current'!$AE$15:$AE$164,$A60))-(SUMIFS('Payment Breakdown Prior'!$AA$15:$AA$164,'Payment Breakdown Prior'!$AE$15:$AE$164,$A60))</f>
        <v/>
      </c>
      <c r="AF60">
        <f>(SUMIFS('Payment Breakdown Current'!$AB$15:$AB$164,'Payment Breakdown Current'!$AE$15:$AE$164,$A60))-(SUMIFS('Payment Breakdown Prior'!$AB$15:$AB$164,'Payment Breakdown Prior'!$AE$15:$AE$164,$A60))</f>
        <v/>
      </c>
      <c r="AG60">
        <f>(SUMIFS('Payment Breakdown Current'!$AC$15:$AC$164,'Payment Breakdown Current'!$AE$15:$AE$164,$A60))-(SUMIFS('Payment Breakdown Prior'!$AC$15:$AC$164,'Payment Breakdown Prior'!$AE$15:$AE$164,$A60))</f>
        <v/>
      </c>
      <c r="AH60">
        <f>(SUMIFS('Payment Breakdown Current'!$AD$15:$AD$164,'Payment Breakdown Current'!$AE$15:$AE$164,$A60))-(SUMIFS('Payment Breakdown Prior'!$AD$15:$AD$164,'Payment Breakdown Prior'!$AE$15:$AE$164,$A60))</f>
        <v/>
      </c>
      <c r="AI60">
        <f t="array" ref="AI60">MAX(ABS(W60:AH60))</f>
        <v/>
      </c>
      <c r="AJ60">
        <f t="array" ref="AJ60">IF(AI60&lt;0.005,"",IFERROR(INDEX($W$1:$AH$1,MATCH(AI60,ABS(W60:AH60),0)),""))</f>
        <v/>
      </c>
      <c r="AK60">
        <f t="array" ref="AK60">IF(AI60&lt;0.005,"",IFERROR(INDEX(W60:AH60,MATCH(AI60,ABS(W60:AH60),0)),""))</f>
        <v/>
      </c>
      <c r="AL60">
        <f>IF(R60=1,ABS(L60)-ROW()/100000000,"")</f>
        <v/>
      </c>
    </row>
    <row r="61">
      <c r="A61">
        <f>IF('NPV Comparison'!D74="","",'NPV Comparison'!D74)</f>
        <v/>
      </c>
      <c r="B61">
        <f>IF('NPV Comparison'!E74="","",'NPV Comparison'!E74)</f>
        <v/>
      </c>
      <c r="C61">
        <f>IF('NPV Comparison'!F74="","",'NPV Comparison'!F74)</f>
        <v/>
      </c>
      <c r="D61">
        <f>IF($A61="","",IFERROR(INDEX(Structure!$E$13:$E$312,MATCH($A61,Structure!$P$13:$P$312,0)),""))</f>
        <v/>
      </c>
      <c r="E61">
        <f>IF($A61="",0,IF(COUNTIF(Structure!$P$13:$P$312,$A61)=0,0,IF(COUNTIFS(Structure!$P$13:$P$312,$A61,Structure!$N$13:$N$312,"&lt;&gt;Zero Hours")=0,1,0)))</f>
        <v/>
      </c>
      <c r="F61">
        <f>IF($A61="",0,1-E61)</f>
        <v/>
      </c>
      <c r="G61">
        <f>IF($A61="",0,IF(COUNTIF('New Starters'!$D$14:$D$73,$A61)&gt;0,1,0))</f>
        <v/>
      </c>
      <c r="H61">
        <f>IF($A61="",0,IF(COUNTIF('Leavers'!$D$12:$D$71,$A61)&gt;0,1,0))</f>
        <v/>
      </c>
      <c r="I61">
        <f>IF($A61="","",IFERROR(INDEX('New Starters'!$K$14:$K$73,MATCH($A61,'New Starters'!$D$14:$D$73,0)),IFERROR(INDEX('Leavers'!$K$12:$K$71,MATCH($A61,'Leavers'!$D$12:$D$71,0)),"")))</f>
        <v/>
      </c>
      <c r="J61">
        <f>IF(AND(G61=1,I61&lt;&gt;"",COUNTIF('Leavers'!$K$12:$K$71,I61)&gt;0),1,IF(AND(H61=1,I61&lt;&gt;"",COUNTIF('New Starters'!$K$14:$K$73,I61)&gt;0),1,0))</f>
        <v/>
      </c>
      <c r="K61">
        <f>IF(ISNUMBER(SEARCH("Head Office",D61)),'Control Sheet'!$C$6,'Control Sheet'!$C$5)</f>
        <v/>
      </c>
      <c r="L61">
        <f>IF(OR($A61="",AND(B61="",C61="")),"",IF(B61="",C61,IF(C61="",-B61,C61-B61)))</f>
        <v/>
      </c>
      <c r="M61">
        <f>IFERROR(L61/B61,"")</f>
        <v/>
      </c>
      <c r="N61">
        <f>IF($A61="",0,IF(OR(B61="",C61="",C61=0,AND(ISNUMBER(M61),ABS(M61)&gt;K61)),1,0))</f>
        <v/>
      </c>
      <c r="O61">
        <f>IF(AND(N61=1,ABS(L61)&gt;='Control Sheet'!$C$7,F61=1),1,0)</f>
        <v/>
      </c>
      <c r="P61">
        <f>IF($A61="","",IF(F61=0,"Zero Hours",IF(J61=1,"Explained: Paired transfer",IF(AND(G61=1,H61=0,J61=0),"Explained: Starter",IF(AND(H61=1,G61=0,J61=0),"Explained: Leaver",IF(O61=1,"Review required","OK"))))))</f>
        <v/>
      </c>
      <c r="Q61">
        <f>IF(AND(F61=1,OR(C61="",C61=0),H61=0,J61=0),1,0)</f>
        <v/>
      </c>
      <c r="R61">
        <f>IF(F61=0,0,IF(P61="Review required",1,IF(AND(P61="Explained: Starter",ISNUMBER(C61),C61&gt;=1500),1,0)))</f>
        <v/>
      </c>
      <c r="S61">
        <f>IF(R61=0,"",IF(Q61=1,"High",IF(AND(P61="Explained: Starter",C61&gt;=1500),"High",IF(ABS(L61)&gt;=2000,"High",IF(ABS(L61)&gt;=500,"Medium","Low")))))</f>
        <v/>
      </c>
      <c r="T61">
        <f>SUMIFS('Payment Breakdown Prior'!$S$15:$S$164,'Payment Breakdown Prior'!$AE$15:$AE$164,$A61)</f>
        <v/>
      </c>
      <c r="U61">
        <f>SUMIFS('Payment Breakdown Current'!$S$15:$S$164,'Payment Breakdown Current'!$AE$15:$AE$164,$A61)</f>
        <v/>
      </c>
      <c r="V61">
        <f>IFERROR((U61-T61)/T61,"")</f>
        <v/>
      </c>
      <c r="W61">
        <f>(SUMIFS('Payment Breakdown Current'!$S$15:$S$164,'Payment Breakdown Current'!$AE$15:$AE$164,$A61))-(SUMIFS('Payment Breakdown Prior'!$S$15:$S$164,'Payment Breakdown Prior'!$AE$15:$AE$164,$A61))</f>
        <v/>
      </c>
      <c r="X61">
        <f>(SUMIFS('Payment Breakdown Current'!$T$15:$T$164,'Payment Breakdown Current'!$AE$15:$AE$164,$A61))-(SUMIFS('Payment Breakdown Prior'!$T$15:$T$164,'Payment Breakdown Prior'!$AE$15:$AE$164,$A61))</f>
        <v/>
      </c>
      <c r="Y61">
        <f>(SUMIFS('Payment Breakdown Current'!$U$15:$U$164,'Payment Breakdown Current'!$AE$15:$AE$164,$A61))-(SUMIFS('Payment Breakdown Prior'!$U$15:$U$164,'Payment Breakdown Prior'!$AE$15:$AE$164,$A61))</f>
        <v/>
      </c>
      <c r="Z61">
        <f>(SUMIFS('Payment Breakdown Current'!$V$15:$V$164,'Payment Breakdown Current'!$AE$15:$AE$164,$A61))-(SUMIFS('Payment Breakdown Prior'!$V$15:$V$164,'Payment Breakdown Prior'!$AE$15:$AE$164,$A61))</f>
        <v/>
      </c>
      <c r="AA61">
        <f>(SUMIFS('Payment Breakdown Current'!$W$15:$W$164,'Payment Breakdown Current'!$AE$15:$AE$164,$A61))-(SUMIFS('Payment Breakdown Prior'!$W$15:$W$164,'Payment Breakdown Prior'!$AE$15:$AE$164,$A61))</f>
        <v/>
      </c>
      <c r="AB61">
        <f>(SUMIFS('Payment Breakdown Current'!$X$15:$X$164,'Payment Breakdown Current'!$AE$15:$AE$164,$A61))-(SUMIFS('Payment Breakdown Prior'!$X$15:$X$164,'Payment Breakdown Prior'!$AE$15:$AE$164,$A61))</f>
        <v/>
      </c>
      <c r="AC61">
        <f>(SUMIFS('Payment Breakdown Current'!$Y$15:$Y$164,'Payment Breakdown Current'!$AE$15:$AE$164,$A61))-(SUMIFS('Payment Breakdown Prior'!$Y$15:$Y$164,'Payment Breakdown Prior'!$AE$15:$AE$164,$A61))</f>
        <v/>
      </c>
      <c r="AD61">
        <f>(SUMIFS('Payment Breakdown Current'!$Z$15:$Z$164,'Payment Breakdown Current'!$AE$15:$AE$164,$A61))-(SUMIFS('Payment Breakdown Prior'!$Z$15:$Z$164,'Payment Breakdown Prior'!$AE$15:$AE$164,$A61))</f>
        <v/>
      </c>
      <c r="AE61">
        <f>(SUMIFS('Payment Breakdown Current'!$AA$15:$AA$164,'Payment Breakdown Current'!$AE$15:$AE$164,$A61))-(SUMIFS('Payment Breakdown Prior'!$AA$15:$AA$164,'Payment Breakdown Prior'!$AE$15:$AE$164,$A61))</f>
        <v/>
      </c>
      <c r="AF61">
        <f>(SUMIFS('Payment Breakdown Current'!$AB$15:$AB$164,'Payment Breakdown Current'!$AE$15:$AE$164,$A61))-(SUMIFS('Payment Breakdown Prior'!$AB$15:$AB$164,'Payment Breakdown Prior'!$AE$15:$AE$164,$A61))</f>
        <v/>
      </c>
      <c r="AG61">
        <f>(SUMIFS('Payment Breakdown Current'!$AC$15:$AC$164,'Payment Breakdown Current'!$AE$15:$AE$164,$A61))-(SUMIFS('Payment Breakdown Prior'!$AC$15:$AC$164,'Payment Breakdown Prior'!$AE$15:$AE$164,$A61))</f>
        <v/>
      </c>
      <c r="AH61">
        <f>(SUMIFS('Payment Breakdown Current'!$AD$15:$AD$164,'Payment Breakdown Current'!$AE$15:$AE$164,$A61))-(SUMIFS('Payment Breakdown Prior'!$AD$15:$AD$164,'Payment Breakdown Prior'!$AE$15:$AE$164,$A61))</f>
        <v/>
      </c>
      <c r="AI61">
        <f t="array" ref="AI61">MAX(ABS(W61:AH61))</f>
        <v/>
      </c>
      <c r="AJ61">
        <f t="array" ref="AJ61">IF(AI61&lt;0.005,"",IFERROR(INDEX($W$1:$AH$1,MATCH(AI61,ABS(W61:AH61),0)),""))</f>
        <v/>
      </c>
      <c r="AK61">
        <f t="array" ref="AK61">IF(AI61&lt;0.005,"",IFERROR(INDEX(W61:AH61,MATCH(AI61,ABS(W61:AH61),0)),""))</f>
        <v/>
      </c>
      <c r="AL61">
        <f>IF(R61=1,ABS(L61)-ROW()/100000000,"")</f>
        <v/>
      </c>
    </row>
    <row r="62">
      <c r="A62">
        <f>IF('NPV Comparison'!D75="","",'NPV Comparison'!D75)</f>
        <v/>
      </c>
      <c r="B62">
        <f>IF('NPV Comparison'!E75="","",'NPV Comparison'!E75)</f>
        <v/>
      </c>
      <c r="C62">
        <f>IF('NPV Comparison'!F75="","",'NPV Comparison'!F75)</f>
        <v/>
      </c>
      <c r="D62">
        <f>IF($A62="","",IFERROR(INDEX(Structure!$E$13:$E$312,MATCH($A62,Structure!$P$13:$P$312,0)),""))</f>
        <v/>
      </c>
      <c r="E62">
        <f>IF($A62="",0,IF(COUNTIF(Structure!$P$13:$P$312,$A62)=0,0,IF(COUNTIFS(Structure!$P$13:$P$312,$A62,Structure!$N$13:$N$312,"&lt;&gt;Zero Hours")=0,1,0)))</f>
        <v/>
      </c>
      <c r="F62">
        <f>IF($A62="",0,1-E62)</f>
        <v/>
      </c>
      <c r="G62">
        <f>IF($A62="",0,IF(COUNTIF('New Starters'!$D$14:$D$73,$A62)&gt;0,1,0))</f>
        <v/>
      </c>
      <c r="H62">
        <f>IF($A62="",0,IF(COUNTIF('Leavers'!$D$12:$D$71,$A62)&gt;0,1,0))</f>
        <v/>
      </c>
      <c r="I62">
        <f>IF($A62="","",IFERROR(INDEX('New Starters'!$K$14:$K$73,MATCH($A62,'New Starters'!$D$14:$D$73,0)),IFERROR(INDEX('Leavers'!$K$12:$K$71,MATCH($A62,'Leavers'!$D$12:$D$71,0)),"")))</f>
        <v/>
      </c>
      <c r="J62">
        <f>IF(AND(G62=1,I62&lt;&gt;"",COUNTIF('Leavers'!$K$12:$K$71,I62)&gt;0),1,IF(AND(H62=1,I62&lt;&gt;"",COUNTIF('New Starters'!$K$14:$K$73,I62)&gt;0),1,0))</f>
        <v/>
      </c>
      <c r="K62">
        <f>IF(ISNUMBER(SEARCH("Head Office",D62)),'Control Sheet'!$C$6,'Control Sheet'!$C$5)</f>
        <v/>
      </c>
      <c r="L62">
        <f>IF(OR($A62="",AND(B62="",C62="")),"",IF(B62="",C62,IF(C62="",-B62,C62-B62)))</f>
        <v/>
      </c>
      <c r="M62">
        <f>IFERROR(L62/B62,"")</f>
        <v/>
      </c>
      <c r="N62">
        <f>IF($A62="",0,IF(OR(B62="",C62="",C62=0,AND(ISNUMBER(M62),ABS(M62)&gt;K62)),1,0))</f>
        <v/>
      </c>
      <c r="O62">
        <f>IF(AND(N62=1,ABS(L62)&gt;='Control Sheet'!$C$7,F62=1),1,0)</f>
        <v/>
      </c>
      <c r="P62">
        <f>IF($A62="","",IF(F62=0,"Zero Hours",IF(J62=1,"Explained: Paired transfer",IF(AND(G62=1,H62=0,J62=0),"Explained: Starter",IF(AND(H62=1,G62=0,J62=0),"Explained: Leaver",IF(O62=1,"Review required","OK"))))))</f>
        <v/>
      </c>
      <c r="Q62">
        <f>IF(AND(F62=1,OR(C62="",C62=0),H62=0,J62=0),1,0)</f>
        <v/>
      </c>
      <c r="R62">
        <f>IF(F62=0,0,IF(P62="Review required",1,IF(AND(P62="Explained: Starter",ISNUMBER(C62),C62&gt;=1500),1,0)))</f>
        <v/>
      </c>
      <c r="S62">
        <f>IF(R62=0,"",IF(Q62=1,"High",IF(AND(P62="Explained: Starter",C62&gt;=1500),"High",IF(ABS(L62)&gt;=2000,"High",IF(ABS(L62)&gt;=500,"Medium","Low")))))</f>
        <v/>
      </c>
      <c r="T62">
        <f>SUMIFS('Payment Breakdown Prior'!$S$15:$S$164,'Payment Breakdown Prior'!$AE$15:$AE$164,$A62)</f>
        <v/>
      </c>
      <c r="U62">
        <f>SUMIFS('Payment Breakdown Current'!$S$15:$S$164,'Payment Breakdown Current'!$AE$15:$AE$164,$A62)</f>
        <v/>
      </c>
      <c r="V62">
        <f>IFERROR((U62-T62)/T62,"")</f>
        <v/>
      </c>
      <c r="W62">
        <f>(SUMIFS('Payment Breakdown Current'!$S$15:$S$164,'Payment Breakdown Current'!$AE$15:$AE$164,$A62))-(SUMIFS('Payment Breakdown Prior'!$S$15:$S$164,'Payment Breakdown Prior'!$AE$15:$AE$164,$A62))</f>
        <v/>
      </c>
      <c r="X62">
        <f>(SUMIFS('Payment Breakdown Current'!$T$15:$T$164,'Payment Breakdown Current'!$AE$15:$AE$164,$A62))-(SUMIFS('Payment Breakdown Prior'!$T$15:$T$164,'Payment Breakdown Prior'!$AE$15:$AE$164,$A62))</f>
        <v/>
      </c>
      <c r="Y62">
        <f>(SUMIFS('Payment Breakdown Current'!$U$15:$U$164,'Payment Breakdown Current'!$AE$15:$AE$164,$A62))-(SUMIFS('Payment Breakdown Prior'!$U$15:$U$164,'Payment Breakdown Prior'!$AE$15:$AE$164,$A62))</f>
        <v/>
      </c>
      <c r="Z62">
        <f>(SUMIFS('Payment Breakdown Current'!$V$15:$V$164,'Payment Breakdown Current'!$AE$15:$AE$164,$A62))-(SUMIFS('Payment Breakdown Prior'!$V$15:$V$164,'Payment Breakdown Prior'!$AE$15:$AE$164,$A62))</f>
        <v/>
      </c>
      <c r="AA62">
        <f>(SUMIFS('Payment Breakdown Current'!$W$15:$W$164,'Payment Breakdown Current'!$AE$15:$AE$164,$A62))-(SUMIFS('Payment Breakdown Prior'!$W$15:$W$164,'Payment Breakdown Prior'!$AE$15:$AE$164,$A62))</f>
        <v/>
      </c>
      <c r="AB62">
        <f>(SUMIFS('Payment Breakdown Current'!$X$15:$X$164,'Payment Breakdown Current'!$AE$15:$AE$164,$A62))-(SUMIFS('Payment Breakdown Prior'!$X$15:$X$164,'Payment Breakdown Prior'!$AE$15:$AE$164,$A62))</f>
        <v/>
      </c>
      <c r="AC62">
        <f>(SUMIFS('Payment Breakdown Current'!$Y$15:$Y$164,'Payment Breakdown Current'!$AE$15:$AE$164,$A62))-(SUMIFS('Payment Breakdown Prior'!$Y$15:$Y$164,'Payment Breakdown Prior'!$AE$15:$AE$164,$A62))</f>
        <v/>
      </c>
      <c r="AD62">
        <f>(SUMIFS('Payment Breakdown Current'!$Z$15:$Z$164,'Payment Breakdown Current'!$AE$15:$AE$164,$A62))-(SUMIFS('Payment Breakdown Prior'!$Z$15:$Z$164,'Payment Breakdown Prior'!$AE$15:$AE$164,$A62))</f>
        <v/>
      </c>
      <c r="AE62">
        <f>(SUMIFS('Payment Breakdown Current'!$AA$15:$AA$164,'Payment Breakdown Current'!$AE$15:$AE$164,$A62))-(SUMIFS('Payment Breakdown Prior'!$AA$15:$AA$164,'Payment Breakdown Prior'!$AE$15:$AE$164,$A62))</f>
        <v/>
      </c>
      <c r="AF62">
        <f>(SUMIFS('Payment Breakdown Current'!$AB$15:$AB$164,'Payment Breakdown Current'!$AE$15:$AE$164,$A62))-(SUMIFS('Payment Breakdown Prior'!$AB$15:$AB$164,'Payment Breakdown Prior'!$AE$15:$AE$164,$A62))</f>
        <v/>
      </c>
      <c r="AG62">
        <f>(SUMIFS('Payment Breakdown Current'!$AC$15:$AC$164,'Payment Breakdown Current'!$AE$15:$AE$164,$A62))-(SUMIFS('Payment Breakdown Prior'!$AC$15:$AC$164,'Payment Breakdown Prior'!$AE$15:$AE$164,$A62))</f>
        <v/>
      </c>
      <c r="AH62">
        <f>(SUMIFS('Payment Breakdown Current'!$AD$15:$AD$164,'Payment Breakdown Current'!$AE$15:$AE$164,$A62))-(SUMIFS('Payment Breakdown Prior'!$AD$15:$AD$164,'Payment Breakdown Prior'!$AE$15:$AE$164,$A62))</f>
        <v/>
      </c>
      <c r="AI62">
        <f t="array" ref="AI62">MAX(ABS(W62:AH62))</f>
        <v/>
      </c>
      <c r="AJ62">
        <f t="array" ref="AJ62">IF(AI62&lt;0.005,"",IFERROR(INDEX($W$1:$AH$1,MATCH(AI62,ABS(W62:AH62),0)),""))</f>
        <v/>
      </c>
      <c r="AK62">
        <f t="array" ref="AK62">IF(AI62&lt;0.005,"",IFERROR(INDEX(W62:AH62,MATCH(AI62,ABS(W62:AH62),0)),""))</f>
        <v/>
      </c>
      <c r="AL62">
        <f>IF(R62=1,ABS(L62)-ROW()/100000000,"")</f>
        <v/>
      </c>
    </row>
    <row r="63">
      <c r="A63">
        <f>IF('NPV Comparison'!D76="","",'NPV Comparison'!D76)</f>
        <v/>
      </c>
      <c r="B63">
        <f>IF('NPV Comparison'!E76="","",'NPV Comparison'!E76)</f>
        <v/>
      </c>
      <c r="C63">
        <f>IF('NPV Comparison'!F76="","",'NPV Comparison'!F76)</f>
        <v/>
      </c>
      <c r="D63">
        <f>IF($A63="","",IFERROR(INDEX(Structure!$E$13:$E$312,MATCH($A63,Structure!$P$13:$P$312,0)),""))</f>
        <v/>
      </c>
      <c r="E63">
        <f>IF($A63="",0,IF(COUNTIF(Structure!$P$13:$P$312,$A63)=0,0,IF(COUNTIFS(Structure!$P$13:$P$312,$A63,Structure!$N$13:$N$312,"&lt;&gt;Zero Hours")=0,1,0)))</f>
        <v/>
      </c>
      <c r="F63">
        <f>IF($A63="",0,1-E63)</f>
        <v/>
      </c>
      <c r="G63">
        <f>IF($A63="",0,IF(COUNTIF('New Starters'!$D$14:$D$73,$A63)&gt;0,1,0))</f>
        <v/>
      </c>
      <c r="H63">
        <f>IF($A63="",0,IF(COUNTIF('Leavers'!$D$12:$D$71,$A63)&gt;0,1,0))</f>
        <v/>
      </c>
      <c r="I63">
        <f>IF($A63="","",IFERROR(INDEX('New Starters'!$K$14:$K$73,MATCH($A63,'New Starters'!$D$14:$D$73,0)),IFERROR(INDEX('Leavers'!$K$12:$K$71,MATCH($A63,'Leavers'!$D$12:$D$71,0)),"")))</f>
        <v/>
      </c>
      <c r="J63">
        <f>IF(AND(G63=1,I63&lt;&gt;"",COUNTIF('Leavers'!$K$12:$K$71,I63)&gt;0),1,IF(AND(H63=1,I63&lt;&gt;"",COUNTIF('New Starters'!$K$14:$K$73,I63)&gt;0),1,0))</f>
        <v/>
      </c>
      <c r="K63">
        <f>IF(ISNUMBER(SEARCH("Head Office",D63)),'Control Sheet'!$C$6,'Control Sheet'!$C$5)</f>
        <v/>
      </c>
      <c r="L63">
        <f>IF(OR($A63="",AND(B63="",C63="")),"",IF(B63="",C63,IF(C63="",-B63,C63-B63)))</f>
        <v/>
      </c>
      <c r="M63">
        <f>IFERROR(L63/B63,"")</f>
        <v/>
      </c>
      <c r="N63">
        <f>IF($A63="",0,IF(OR(B63="",C63="",C63=0,AND(ISNUMBER(M63),ABS(M63)&gt;K63)),1,0))</f>
        <v/>
      </c>
      <c r="O63">
        <f>IF(AND(N63=1,ABS(L63)&gt;='Control Sheet'!$C$7,F63=1),1,0)</f>
        <v/>
      </c>
      <c r="P63">
        <f>IF($A63="","",IF(F63=0,"Zero Hours",IF(J63=1,"Explained: Paired transfer",IF(AND(G63=1,H63=0,J63=0),"Explained: Starter",IF(AND(H63=1,G63=0,J63=0),"Explained: Leaver",IF(O63=1,"Review required","OK"))))))</f>
        <v/>
      </c>
      <c r="Q63">
        <f>IF(AND(F63=1,OR(C63="",C63=0),H63=0,J63=0),1,0)</f>
        <v/>
      </c>
      <c r="R63">
        <f>IF(F63=0,0,IF(P63="Review required",1,IF(AND(P63="Explained: Starter",ISNUMBER(C63),C63&gt;=1500),1,0)))</f>
        <v/>
      </c>
      <c r="S63">
        <f>IF(R63=0,"",IF(Q63=1,"High",IF(AND(P63="Explained: Starter",C63&gt;=1500),"High",IF(ABS(L63)&gt;=2000,"High",IF(ABS(L63)&gt;=500,"Medium","Low")))))</f>
        <v/>
      </c>
      <c r="T63">
        <f>SUMIFS('Payment Breakdown Prior'!$S$15:$S$164,'Payment Breakdown Prior'!$AE$15:$AE$164,$A63)</f>
        <v/>
      </c>
      <c r="U63">
        <f>SUMIFS('Payment Breakdown Current'!$S$15:$S$164,'Payment Breakdown Current'!$AE$15:$AE$164,$A63)</f>
        <v/>
      </c>
      <c r="V63">
        <f>IFERROR((U63-T63)/T63,"")</f>
        <v/>
      </c>
      <c r="W63">
        <f>(SUMIFS('Payment Breakdown Current'!$S$15:$S$164,'Payment Breakdown Current'!$AE$15:$AE$164,$A63))-(SUMIFS('Payment Breakdown Prior'!$S$15:$S$164,'Payment Breakdown Prior'!$AE$15:$AE$164,$A63))</f>
        <v/>
      </c>
      <c r="X63">
        <f>(SUMIFS('Payment Breakdown Current'!$T$15:$T$164,'Payment Breakdown Current'!$AE$15:$AE$164,$A63))-(SUMIFS('Payment Breakdown Prior'!$T$15:$T$164,'Payment Breakdown Prior'!$AE$15:$AE$164,$A63))</f>
        <v/>
      </c>
      <c r="Y63">
        <f>(SUMIFS('Payment Breakdown Current'!$U$15:$U$164,'Payment Breakdown Current'!$AE$15:$AE$164,$A63))-(SUMIFS('Payment Breakdown Prior'!$U$15:$U$164,'Payment Breakdown Prior'!$AE$15:$AE$164,$A63))</f>
        <v/>
      </c>
      <c r="Z63">
        <f>(SUMIFS('Payment Breakdown Current'!$V$15:$V$164,'Payment Breakdown Current'!$AE$15:$AE$164,$A63))-(SUMIFS('Payment Breakdown Prior'!$V$15:$V$164,'Payment Breakdown Prior'!$AE$15:$AE$164,$A63))</f>
        <v/>
      </c>
      <c r="AA63">
        <f>(SUMIFS('Payment Breakdown Current'!$W$15:$W$164,'Payment Breakdown Current'!$AE$15:$AE$164,$A63))-(SUMIFS('Payment Breakdown Prior'!$W$15:$W$164,'Payment Breakdown Prior'!$AE$15:$AE$164,$A63))</f>
        <v/>
      </c>
      <c r="AB63">
        <f>(SUMIFS('Payment Breakdown Current'!$X$15:$X$164,'Payment Breakdown Current'!$AE$15:$AE$164,$A63))-(SUMIFS('Payment Breakdown Prior'!$X$15:$X$164,'Payment Breakdown Prior'!$AE$15:$AE$164,$A63))</f>
        <v/>
      </c>
      <c r="AC63">
        <f>(SUMIFS('Payment Breakdown Current'!$Y$15:$Y$164,'Payment Breakdown Current'!$AE$15:$AE$164,$A63))-(SUMIFS('Payment Breakdown Prior'!$Y$15:$Y$164,'Payment Breakdown Prior'!$AE$15:$AE$164,$A63))</f>
        <v/>
      </c>
      <c r="AD63">
        <f>(SUMIFS('Payment Breakdown Current'!$Z$15:$Z$164,'Payment Breakdown Current'!$AE$15:$AE$164,$A63))-(SUMIFS('Payment Breakdown Prior'!$Z$15:$Z$164,'Payment Breakdown Prior'!$AE$15:$AE$164,$A63))</f>
        <v/>
      </c>
      <c r="AE63">
        <f>(SUMIFS('Payment Breakdown Current'!$AA$15:$AA$164,'Payment Breakdown Current'!$AE$15:$AE$164,$A63))-(SUMIFS('Payment Breakdown Prior'!$AA$15:$AA$164,'Payment Breakdown Prior'!$AE$15:$AE$164,$A63))</f>
        <v/>
      </c>
      <c r="AF63">
        <f>(SUMIFS('Payment Breakdown Current'!$AB$15:$AB$164,'Payment Breakdown Current'!$AE$15:$AE$164,$A63))-(SUMIFS('Payment Breakdown Prior'!$AB$15:$AB$164,'Payment Breakdown Prior'!$AE$15:$AE$164,$A63))</f>
        <v/>
      </c>
      <c r="AG63">
        <f>(SUMIFS('Payment Breakdown Current'!$AC$15:$AC$164,'Payment Breakdown Current'!$AE$15:$AE$164,$A63))-(SUMIFS('Payment Breakdown Prior'!$AC$15:$AC$164,'Payment Breakdown Prior'!$AE$15:$AE$164,$A63))</f>
        <v/>
      </c>
      <c r="AH63">
        <f>(SUMIFS('Payment Breakdown Current'!$AD$15:$AD$164,'Payment Breakdown Current'!$AE$15:$AE$164,$A63))-(SUMIFS('Payment Breakdown Prior'!$AD$15:$AD$164,'Payment Breakdown Prior'!$AE$15:$AE$164,$A63))</f>
        <v/>
      </c>
      <c r="AI63">
        <f t="array" ref="AI63">MAX(ABS(W63:AH63))</f>
        <v/>
      </c>
      <c r="AJ63">
        <f t="array" ref="AJ63">IF(AI63&lt;0.005,"",IFERROR(INDEX($W$1:$AH$1,MATCH(AI63,ABS(W63:AH63),0)),""))</f>
        <v/>
      </c>
      <c r="AK63">
        <f t="array" ref="AK63">IF(AI63&lt;0.005,"",IFERROR(INDEX(W63:AH63,MATCH(AI63,ABS(W63:AH63),0)),""))</f>
        <v/>
      </c>
      <c r="AL63">
        <f>IF(R63=1,ABS(L63)-ROW()/100000000,"")</f>
        <v/>
      </c>
    </row>
    <row r="64">
      <c r="A64">
        <f>IF('NPV Comparison'!D77="","",'NPV Comparison'!D77)</f>
        <v/>
      </c>
      <c r="B64">
        <f>IF('NPV Comparison'!E77="","",'NPV Comparison'!E77)</f>
        <v/>
      </c>
      <c r="C64">
        <f>IF('NPV Comparison'!F77="","",'NPV Comparison'!F77)</f>
        <v/>
      </c>
      <c r="D64">
        <f>IF($A64="","",IFERROR(INDEX(Structure!$E$13:$E$312,MATCH($A64,Structure!$P$13:$P$312,0)),""))</f>
        <v/>
      </c>
      <c r="E64">
        <f>IF($A64="",0,IF(COUNTIF(Structure!$P$13:$P$312,$A64)=0,0,IF(COUNTIFS(Structure!$P$13:$P$312,$A64,Structure!$N$13:$N$312,"&lt;&gt;Zero Hours")=0,1,0)))</f>
        <v/>
      </c>
      <c r="F64">
        <f>IF($A64="",0,1-E64)</f>
        <v/>
      </c>
      <c r="G64">
        <f>IF($A64="",0,IF(COUNTIF('New Starters'!$D$14:$D$73,$A64)&gt;0,1,0))</f>
        <v/>
      </c>
      <c r="H64">
        <f>IF($A64="",0,IF(COUNTIF('Leavers'!$D$12:$D$71,$A64)&gt;0,1,0))</f>
        <v/>
      </c>
      <c r="I64">
        <f>IF($A64="","",IFERROR(INDEX('New Starters'!$K$14:$K$73,MATCH($A64,'New Starters'!$D$14:$D$73,0)),IFERROR(INDEX('Leavers'!$K$12:$K$71,MATCH($A64,'Leavers'!$D$12:$D$71,0)),"")))</f>
        <v/>
      </c>
      <c r="J64">
        <f>IF(AND(G64=1,I64&lt;&gt;"",COUNTIF('Leavers'!$K$12:$K$71,I64)&gt;0),1,IF(AND(H64=1,I64&lt;&gt;"",COUNTIF('New Starters'!$K$14:$K$73,I64)&gt;0),1,0))</f>
        <v/>
      </c>
      <c r="K64">
        <f>IF(ISNUMBER(SEARCH("Head Office",D64)),'Control Sheet'!$C$6,'Control Sheet'!$C$5)</f>
        <v/>
      </c>
      <c r="L64">
        <f>IF(OR($A64="",AND(B64="",C64="")),"",IF(B64="",C64,IF(C64="",-B64,C64-B64)))</f>
        <v/>
      </c>
      <c r="M64">
        <f>IFERROR(L64/B64,"")</f>
        <v/>
      </c>
      <c r="N64">
        <f>IF($A64="",0,IF(OR(B64="",C64="",C64=0,AND(ISNUMBER(M64),ABS(M64)&gt;K64)),1,0))</f>
        <v/>
      </c>
      <c r="O64">
        <f>IF(AND(N64=1,ABS(L64)&gt;='Control Sheet'!$C$7,F64=1),1,0)</f>
        <v/>
      </c>
      <c r="P64">
        <f>IF($A64="","",IF(F64=0,"Zero Hours",IF(J64=1,"Explained: Paired transfer",IF(AND(G64=1,H64=0,J64=0),"Explained: Starter",IF(AND(H64=1,G64=0,J64=0),"Explained: Leaver",IF(O64=1,"Review required","OK"))))))</f>
        <v/>
      </c>
      <c r="Q64">
        <f>IF(AND(F64=1,OR(C64="",C64=0),H64=0,J64=0),1,0)</f>
        <v/>
      </c>
      <c r="R64">
        <f>IF(F64=0,0,IF(P64="Review required",1,IF(AND(P64="Explained: Starter",ISNUMBER(C64),C64&gt;=1500),1,0)))</f>
        <v/>
      </c>
      <c r="S64">
        <f>IF(R64=0,"",IF(Q64=1,"High",IF(AND(P64="Explained: Starter",C64&gt;=1500),"High",IF(ABS(L64)&gt;=2000,"High",IF(ABS(L64)&gt;=500,"Medium","Low")))))</f>
        <v/>
      </c>
      <c r="T64">
        <f>SUMIFS('Payment Breakdown Prior'!$S$15:$S$164,'Payment Breakdown Prior'!$AE$15:$AE$164,$A64)</f>
        <v/>
      </c>
      <c r="U64">
        <f>SUMIFS('Payment Breakdown Current'!$S$15:$S$164,'Payment Breakdown Current'!$AE$15:$AE$164,$A64)</f>
        <v/>
      </c>
      <c r="V64">
        <f>IFERROR((U64-T64)/T64,"")</f>
        <v/>
      </c>
      <c r="W64">
        <f>(SUMIFS('Payment Breakdown Current'!$S$15:$S$164,'Payment Breakdown Current'!$AE$15:$AE$164,$A64))-(SUMIFS('Payment Breakdown Prior'!$S$15:$S$164,'Payment Breakdown Prior'!$AE$15:$AE$164,$A64))</f>
        <v/>
      </c>
      <c r="X64">
        <f>(SUMIFS('Payment Breakdown Current'!$T$15:$T$164,'Payment Breakdown Current'!$AE$15:$AE$164,$A64))-(SUMIFS('Payment Breakdown Prior'!$T$15:$T$164,'Payment Breakdown Prior'!$AE$15:$AE$164,$A64))</f>
        <v/>
      </c>
      <c r="Y64">
        <f>(SUMIFS('Payment Breakdown Current'!$U$15:$U$164,'Payment Breakdown Current'!$AE$15:$AE$164,$A64))-(SUMIFS('Payment Breakdown Prior'!$U$15:$U$164,'Payment Breakdown Prior'!$AE$15:$AE$164,$A64))</f>
        <v/>
      </c>
      <c r="Z64">
        <f>(SUMIFS('Payment Breakdown Current'!$V$15:$V$164,'Payment Breakdown Current'!$AE$15:$AE$164,$A64))-(SUMIFS('Payment Breakdown Prior'!$V$15:$V$164,'Payment Breakdown Prior'!$AE$15:$AE$164,$A64))</f>
        <v/>
      </c>
      <c r="AA64">
        <f>(SUMIFS('Payment Breakdown Current'!$W$15:$W$164,'Payment Breakdown Current'!$AE$15:$AE$164,$A64))-(SUMIFS('Payment Breakdown Prior'!$W$15:$W$164,'Payment Breakdown Prior'!$AE$15:$AE$164,$A64))</f>
        <v/>
      </c>
      <c r="AB64">
        <f>(SUMIFS('Payment Breakdown Current'!$X$15:$X$164,'Payment Breakdown Current'!$AE$15:$AE$164,$A64))-(SUMIFS('Payment Breakdown Prior'!$X$15:$X$164,'Payment Breakdown Prior'!$AE$15:$AE$164,$A64))</f>
        <v/>
      </c>
      <c r="AC64">
        <f>(SUMIFS('Payment Breakdown Current'!$Y$15:$Y$164,'Payment Breakdown Current'!$AE$15:$AE$164,$A64))-(SUMIFS('Payment Breakdown Prior'!$Y$15:$Y$164,'Payment Breakdown Prior'!$AE$15:$AE$164,$A64))</f>
        <v/>
      </c>
      <c r="AD64">
        <f>(SUMIFS('Payment Breakdown Current'!$Z$15:$Z$164,'Payment Breakdown Current'!$AE$15:$AE$164,$A64))-(SUMIFS('Payment Breakdown Prior'!$Z$15:$Z$164,'Payment Breakdown Prior'!$AE$15:$AE$164,$A64))</f>
        <v/>
      </c>
      <c r="AE64">
        <f>(SUMIFS('Payment Breakdown Current'!$AA$15:$AA$164,'Payment Breakdown Current'!$AE$15:$AE$164,$A64))-(SUMIFS('Payment Breakdown Prior'!$AA$15:$AA$164,'Payment Breakdown Prior'!$AE$15:$AE$164,$A64))</f>
        <v/>
      </c>
      <c r="AF64">
        <f>(SUMIFS('Payment Breakdown Current'!$AB$15:$AB$164,'Payment Breakdown Current'!$AE$15:$AE$164,$A64))-(SUMIFS('Payment Breakdown Prior'!$AB$15:$AB$164,'Payment Breakdown Prior'!$AE$15:$AE$164,$A64))</f>
        <v/>
      </c>
      <c r="AG64">
        <f>(SUMIFS('Payment Breakdown Current'!$AC$15:$AC$164,'Payment Breakdown Current'!$AE$15:$AE$164,$A64))-(SUMIFS('Payment Breakdown Prior'!$AC$15:$AC$164,'Payment Breakdown Prior'!$AE$15:$AE$164,$A64))</f>
        <v/>
      </c>
      <c r="AH64">
        <f>(SUMIFS('Payment Breakdown Current'!$AD$15:$AD$164,'Payment Breakdown Current'!$AE$15:$AE$164,$A64))-(SUMIFS('Payment Breakdown Prior'!$AD$15:$AD$164,'Payment Breakdown Prior'!$AE$15:$AE$164,$A64))</f>
        <v/>
      </c>
      <c r="AI64">
        <f t="array" ref="AI64">MAX(ABS(W64:AH64))</f>
        <v/>
      </c>
      <c r="AJ64">
        <f t="array" ref="AJ64">IF(AI64&lt;0.005,"",IFERROR(INDEX($W$1:$AH$1,MATCH(AI64,ABS(W64:AH64),0)),""))</f>
        <v/>
      </c>
      <c r="AK64">
        <f t="array" ref="AK64">IF(AI64&lt;0.005,"",IFERROR(INDEX(W64:AH64,MATCH(AI64,ABS(W64:AH64),0)),""))</f>
        <v/>
      </c>
      <c r="AL64">
        <f>IF(R64=1,ABS(L64)-ROW()/100000000,"")</f>
        <v/>
      </c>
    </row>
    <row r="65">
      <c r="A65">
        <f>IF('NPV Comparison'!D78="","",'NPV Comparison'!D78)</f>
        <v/>
      </c>
      <c r="B65">
        <f>IF('NPV Comparison'!E78="","",'NPV Comparison'!E78)</f>
        <v/>
      </c>
      <c r="C65">
        <f>IF('NPV Comparison'!F78="","",'NPV Comparison'!F78)</f>
        <v/>
      </c>
      <c r="D65">
        <f>IF($A65="","",IFERROR(INDEX(Structure!$E$13:$E$312,MATCH($A65,Structure!$P$13:$P$312,0)),""))</f>
        <v/>
      </c>
      <c r="E65">
        <f>IF($A65="",0,IF(COUNTIF(Structure!$P$13:$P$312,$A65)=0,0,IF(COUNTIFS(Structure!$P$13:$P$312,$A65,Structure!$N$13:$N$312,"&lt;&gt;Zero Hours")=0,1,0)))</f>
        <v/>
      </c>
      <c r="F65">
        <f>IF($A65="",0,1-E65)</f>
        <v/>
      </c>
      <c r="G65">
        <f>IF($A65="",0,IF(COUNTIF('New Starters'!$D$14:$D$73,$A65)&gt;0,1,0))</f>
        <v/>
      </c>
      <c r="H65">
        <f>IF($A65="",0,IF(COUNTIF('Leavers'!$D$12:$D$71,$A65)&gt;0,1,0))</f>
        <v/>
      </c>
      <c r="I65">
        <f>IF($A65="","",IFERROR(INDEX('New Starters'!$K$14:$K$73,MATCH($A65,'New Starters'!$D$14:$D$73,0)),IFERROR(INDEX('Leavers'!$K$12:$K$71,MATCH($A65,'Leavers'!$D$12:$D$71,0)),"")))</f>
        <v/>
      </c>
      <c r="J65">
        <f>IF(AND(G65=1,I65&lt;&gt;"",COUNTIF('Leavers'!$K$12:$K$71,I65)&gt;0),1,IF(AND(H65=1,I65&lt;&gt;"",COUNTIF('New Starters'!$K$14:$K$73,I65)&gt;0),1,0))</f>
        <v/>
      </c>
      <c r="K65">
        <f>IF(ISNUMBER(SEARCH("Head Office",D65)),'Control Sheet'!$C$6,'Control Sheet'!$C$5)</f>
        <v/>
      </c>
      <c r="L65">
        <f>IF(OR($A65="",AND(B65="",C65="")),"",IF(B65="",C65,IF(C65="",-B65,C65-B65)))</f>
        <v/>
      </c>
      <c r="M65">
        <f>IFERROR(L65/B65,"")</f>
        <v/>
      </c>
      <c r="N65">
        <f>IF($A65="",0,IF(OR(B65="",C65="",C65=0,AND(ISNUMBER(M65),ABS(M65)&gt;K65)),1,0))</f>
        <v/>
      </c>
      <c r="O65">
        <f>IF(AND(N65=1,ABS(L65)&gt;='Control Sheet'!$C$7,F65=1),1,0)</f>
        <v/>
      </c>
      <c r="P65">
        <f>IF($A65="","",IF(F65=0,"Zero Hours",IF(J65=1,"Explained: Paired transfer",IF(AND(G65=1,H65=0,J65=0),"Explained: Starter",IF(AND(H65=1,G65=0,J65=0),"Explained: Leaver",IF(O65=1,"Review required","OK"))))))</f>
        <v/>
      </c>
      <c r="Q65">
        <f>IF(AND(F65=1,OR(C65="",C65=0),H65=0,J65=0),1,0)</f>
        <v/>
      </c>
      <c r="R65">
        <f>IF(F65=0,0,IF(P65="Review required",1,IF(AND(P65="Explained: Starter",ISNUMBER(C65),C65&gt;=1500),1,0)))</f>
        <v/>
      </c>
      <c r="S65">
        <f>IF(R65=0,"",IF(Q65=1,"High",IF(AND(P65="Explained: Starter",C65&gt;=1500),"High",IF(ABS(L65)&gt;=2000,"High",IF(ABS(L65)&gt;=500,"Medium","Low")))))</f>
        <v/>
      </c>
      <c r="T65">
        <f>SUMIFS('Payment Breakdown Prior'!$S$15:$S$164,'Payment Breakdown Prior'!$AE$15:$AE$164,$A65)</f>
        <v/>
      </c>
      <c r="U65">
        <f>SUMIFS('Payment Breakdown Current'!$S$15:$S$164,'Payment Breakdown Current'!$AE$15:$AE$164,$A65)</f>
        <v/>
      </c>
      <c r="V65">
        <f>IFERROR((U65-T65)/T65,"")</f>
        <v/>
      </c>
      <c r="W65">
        <f>(SUMIFS('Payment Breakdown Current'!$S$15:$S$164,'Payment Breakdown Current'!$AE$15:$AE$164,$A65))-(SUMIFS('Payment Breakdown Prior'!$S$15:$S$164,'Payment Breakdown Prior'!$AE$15:$AE$164,$A65))</f>
        <v/>
      </c>
      <c r="X65">
        <f>(SUMIFS('Payment Breakdown Current'!$T$15:$T$164,'Payment Breakdown Current'!$AE$15:$AE$164,$A65))-(SUMIFS('Payment Breakdown Prior'!$T$15:$T$164,'Payment Breakdown Prior'!$AE$15:$AE$164,$A65))</f>
        <v/>
      </c>
      <c r="Y65">
        <f>(SUMIFS('Payment Breakdown Current'!$U$15:$U$164,'Payment Breakdown Current'!$AE$15:$AE$164,$A65))-(SUMIFS('Payment Breakdown Prior'!$U$15:$U$164,'Payment Breakdown Prior'!$AE$15:$AE$164,$A65))</f>
        <v/>
      </c>
      <c r="Z65">
        <f>(SUMIFS('Payment Breakdown Current'!$V$15:$V$164,'Payment Breakdown Current'!$AE$15:$AE$164,$A65))-(SUMIFS('Payment Breakdown Prior'!$V$15:$V$164,'Payment Breakdown Prior'!$AE$15:$AE$164,$A65))</f>
        <v/>
      </c>
      <c r="AA65">
        <f>(SUMIFS('Payment Breakdown Current'!$W$15:$W$164,'Payment Breakdown Current'!$AE$15:$AE$164,$A65))-(SUMIFS('Payment Breakdown Prior'!$W$15:$W$164,'Payment Breakdown Prior'!$AE$15:$AE$164,$A65))</f>
        <v/>
      </c>
      <c r="AB65">
        <f>(SUMIFS('Payment Breakdown Current'!$X$15:$X$164,'Payment Breakdown Current'!$AE$15:$AE$164,$A65))-(SUMIFS('Payment Breakdown Prior'!$X$15:$X$164,'Payment Breakdown Prior'!$AE$15:$AE$164,$A65))</f>
        <v/>
      </c>
      <c r="AC65">
        <f>(SUMIFS('Payment Breakdown Current'!$Y$15:$Y$164,'Payment Breakdown Current'!$AE$15:$AE$164,$A65))-(SUMIFS('Payment Breakdown Prior'!$Y$15:$Y$164,'Payment Breakdown Prior'!$AE$15:$AE$164,$A65))</f>
        <v/>
      </c>
      <c r="AD65">
        <f>(SUMIFS('Payment Breakdown Current'!$Z$15:$Z$164,'Payment Breakdown Current'!$AE$15:$AE$164,$A65))-(SUMIFS('Payment Breakdown Prior'!$Z$15:$Z$164,'Payment Breakdown Prior'!$AE$15:$AE$164,$A65))</f>
        <v/>
      </c>
      <c r="AE65">
        <f>(SUMIFS('Payment Breakdown Current'!$AA$15:$AA$164,'Payment Breakdown Current'!$AE$15:$AE$164,$A65))-(SUMIFS('Payment Breakdown Prior'!$AA$15:$AA$164,'Payment Breakdown Prior'!$AE$15:$AE$164,$A65))</f>
        <v/>
      </c>
      <c r="AF65">
        <f>(SUMIFS('Payment Breakdown Current'!$AB$15:$AB$164,'Payment Breakdown Current'!$AE$15:$AE$164,$A65))-(SUMIFS('Payment Breakdown Prior'!$AB$15:$AB$164,'Payment Breakdown Prior'!$AE$15:$AE$164,$A65))</f>
        <v/>
      </c>
      <c r="AG65">
        <f>(SUMIFS('Payment Breakdown Current'!$AC$15:$AC$164,'Payment Breakdown Current'!$AE$15:$AE$164,$A65))-(SUMIFS('Payment Breakdown Prior'!$AC$15:$AC$164,'Payment Breakdown Prior'!$AE$15:$AE$164,$A65))</f>
        <v/>
      </c>
      <c r="AH65">
        <f>(SUMIFS('Payment Breakdown Current'!$AD$15:$AD$164,'Payment Breakdown Current'!$AE$15:$AE$164,$A65))-(SUMIFS('Payment Breakdown Prior'!$AD$15:$AD$164,'Payment Breakdown Prior'!$AE$15:$AE$164,$A65))</f>
        <v/>
      </c>
      <c r="AI65">
        <f t="array" ref="AI65">MAX(ABS(W65:AH65))</f>
        <v/>
      </c>
      <c r="AJ65">
        <f t="array" ref="AJ65">IF(AI65&lt;0.005,"",IFERROR(INDEX($W$1:$AH$1,MATCH(AI65,ABS(W65:AH65),0)),""))</f>
        <v/>
      </c>
      <c r="AK65">
        <f t="array" ref="AK65">IF(AI65&lt;0.005,"",IFERROR(INDEX(W65:AH65,MATCH(AI65,ABS(W65:AH65),0)),""))</f>
        <v/>
      </c>
      <c r="AL65">
        <f>IF(R65=1,ABS(L65)-ROW()/100000000,"")</f>
        <v/>
      </c>
    </row>
    <row r="66">
      <c r="A66">
        <f>IF('NPV Comparison'!D79="","",'NPV Comparison'!D79)</f>
        <v/>
      </c>
      <c r="B66">
        <f>IF('NPV Comparison'!E79="","",'NPV Comparison'!E79)</f>
        <v/>
      </c>
      <c r="C66">
        <f>IF('NPV Comparison'!F79="","",'NPV Comparison'!F79)</f>
        <v/>
      </c>
      <c r="D66">
        <f>IF($A66="","",IFERROR(INDEX(Structure!$E$13:$E$312,MATCH($A66,Structure!$P$13:$P$312,0)),""))</f>
        <v/>
      </c>
      <c r="E66">
        <f>IF($A66="",0,IF(COUNTIF(Structure!$P$13:$P$312,$A66)=0,0,IF(COUNTIFS(Structure!$P$13:$P$312,$A66,Structure!$N$13:$N$312,"&lt;&gt;Zero Hours")=0,1,0)))</f>
        <v/>
      </c>
      <c r="F66">
        <f>IF($A66="",0,1-E66)</f>
        <v/>
      </c>
      <c r="G66">
        <f>IF($A66="",0,IF(COUNTIF('New Starters'!$D$14:$D$73,$A66)&gt;0,1,0))</f>
        <v/>
      </c>
      <c r="H66">
        <f>IF($A66="",0,IF(COUNTIF('Leavers'!$D$12:$D$71,$A66)&gt;0,1,0))</f>
        <v/>
      </c>
      <c r="I66">
        <f>IF($A66="","",IFERROR(INDEX('New Starters'!$K$14:$K$73,MATCH($A66,'New Starters'!$D$14:$D$73,0)),IFERROR(INDEX('Leavers'!$K$12:$K$71,MATCH($A66,'Leavers'!$D$12:$D$71,0)),"")))</f>
        <v/>
      </c>
      <c r="J66">
        <f>IF(AND(G66=1,I66&lt;&gt;"",COUNTIF('Leavers'!$K$12:$K$71,I66)&gt;0),1,IF(AND(H66=1,I66&lt;&gt;"",COUNTIF('New Starters'!$K$14:$K$73,I66)&gt;0),1,0))</f>
        <v/>
      </c>
      <c r="K66">
        <f>IF(ISNUMBER(SEARCH("Head Office",D66)),'Control Sheet'!$C$6,'Control Sheet'!$C$5)</f>
        <v/>
      </c>
      <c r="L66">
        <f>IF(OR($A66="",AND(B66="",C66="")),"",IF(B66="",C66,IF(C66="",-B66,C66-B66)))</f>
        <v/>
      </c>
      <c r="M66">
        <f>IFERROR(L66/B66,"")</f>
        <v/>
      </c>
      <c r="N66">
        <f>IF($A66="",0,IF(OR(B66="",C66="",C66=0,AND(ISNUMBER(M66),ABS(M66)&gt;K66)),1,0))</f>
        <v/>
      </c>
      <c r="O66">
        <f>IF(AND(N66=1,ABS(L66)&gt;='Control Sheet'!$C$7,F66=1),1,0)</f>
        <v/>
      </c>
      <c r="P66">
        <f>IF($A66="","",IF(F66=0,"Zero Hours",IF(J66=1,"Explained: Paired transfer",IF(AND(G66=1,H66=0,J66=0),"Explained: Starter",IF(AND(H66=1,G66=0,J66=0),"Explained: Leaver",IF(O66=1,"Review required","OK"))))))</f>
        <v/>
      </c>
      <c r="Q66">
        <f>IF(AND(F66=1,OR(C66="",C66=0),H66=0,J66=0),1,0)</f>
        <v/>
      </c>
      <c r="R66">
        <f>IF(F66=0,0,IF(P66="Review required",1,IF(AND(P66="Explained: Starter",ISNUMBER(C66),C66&gt;=1500),1,0)))</f>
        <v/>
      </c>
      <c r="S66">
        <f>IF(R66=0,"",IF(Q66=1,"High",IF(AND(P66="Explained: Starter",C66&gt;=1500),"High",IF(ABS(L66)&gt;=2000,"High",IF(ABS(L66)&gt;=500,"Medium","Low")))))</f>
        <v/>
      </c>
      <c r="T66">
        <f>SUMIFS('Payment Breakdown Prior'!$S$15:$S$164,'Payment Breakdown Prior'!$AE$15:$AE$164,$A66)</f>
        <v/>
      </c>
      <c r="U66">
        <f>SUMIFS('Payment Breakdown Current'!$S$15:$S$164,'Payment Breakdown Current'!$AE$15:$AE$164,$A66)</f>
        <v/>
      </c>
      <c r="V66">
        <f>IFERROR((U66-T66)/T66,"")</f>
        <v/>
      </c>
      <c r="W66">
        <f>(SUMIFS('Payment Breakdown Current'!$S$15:$S$164,'Payment Breakdown Current'!$AE$15:$AE$164,$A66))-(SUMIFS('Payment Breakdown Prior'!$S$15:$S$164,'Payment Breakdown Prior'!$AE$15:$AE$164,$A66))</f>
        <v/>
      </c>
      <c r="X66">
        <f>(SUMIFS('Payment Breakdown Current'!$T$15:$T$164,'Payment Breakdown Current'!$AE$15:$AE$164,$A66))-(SUMIFS('Payment Breakdown Prior'!$T$15:$T$164,'Payment Breakdown Prior'!$AE$15:$AE$164,$A66))</f>
        <v/>
      </c>
      <c r="Y66">
        <f>(SUMIFS('Payment Breakdown Current'!$U$15:$U$164,'Payment Breakdown Current'!$AE$15:$AE$164,$A66))-(SUMIFS('Payment Breakdown Prior'!$U$15:$U$164,'Payment Breakdown Prior'!$AE$15:$AE$164,$A66))</f>
        <v/>
      </c>
      <c r="Z66">
        <f>(SUMIFS('Payment Breakdown Current'!$V$15:$V$164,'Payment Breakdown Current'!$AE$15:$AE$164,$A66))-(SUMIFS('Payment Breakdown Prior'!$V$15:$V$164,'Payment Breakdown Prior'!$AE$15:$AE$164,$A66))</f>
        <v/>
      </c>
      <c r="AA66">
        <f>(SUMIFS('Payment Breakdown Current'!$W$15:$W$164,'Payment Breakdown Current'!$AE$15:$AE$164,$A66))-(SUMIFS('Payment Breakdown Prior'!$W$15:$W$164,'Payment Breakdown Prior'!$AE$15:$AE$164,$A66))</f>
        <v/>
      </c>
      <c r="AB66">
        <f>(SUMIFS('Payment Breakdown Current'!$X$15:$X$164,'Payment Breakdown Current'!$AE$15:$AE$164,$A66))-(SUMIFS('Payment Breakdown Prior'!$X$15:$X$164,'Payment Breakdown Prior'!$AE$15:$AE$164,$A66))</f>
        <v/>
      </c>
      <c r="AC66">
        <f>(SUMIFS('Payment Breakdown Current'!$Y$15:$Y$164,'Payment Breakdown Current'!$AE$15:$AE$164,$A66))-(SUMIFS('Payment Breakdown Prior'!$Y$15:$Y$164,'Payment Breakdown Prior'!$AE$15:$AE$164,$A66))</f>
        <v/>
      </c>
      <c r="AD66">
        <f>(SUMIFS('Payment Breakdown Current'!$Z$15:$Z$164,'Payment Breakdown Current'!$AE$15:$AE$164,$A66))-(SUMIFS('Payment Breakdown Prior'!$Z$15:$Z$164,'Payment Breakdown Prior'!$AE$15:$AE$164,$A66))</f>
        <v/>
      </c>
      <c r="AE66">
        <f>(SUMIFS('Payment Breakdown Current'!$AA$15:$AA$164,'Payment Breakdown Current'!$AE$15:$AE$164,$A66))-(SUMIFS('Payment Breakdown Prior'!$AA$15:$AA$164,'Payment Breakdown Prior'!$AE$15:$AE$164,$A66))</f>
        <v/>
      </c>
      <c r="AF66">
        <f>(SUMIFS('Payment Breakdown Current'!$AB$15:$AB$164,'Payment Breakdown Current'!$AE$15:$AE$164,$A66))-(SUMIFS('Payment Breakdown Prior'!$AB$15:$AB$164,'Payment Breakdown Prior'!$AE$15:$AE$164,$A66))</f>
        <v/>
      </c>
      <c r="AG66">
        <f>(SUMIFS('Payment Breakdown Current'!$AC$15:$AC$164,'Payment Breakdown Current'!$AE$15:$AE$164,$A66))-(SUMIFS('Payment Breakdown Prior'!$AC$15:$AC$164,'Payment Breakdown Prior'!$AE$15:$AE$164,$A66))</f>
        <v/>
      </c>
      <c r="AH66">
        <f>(SUMIFS('Payment Breakdown Current'!$AD$15:$AD$164,'Payment Breakdown Current'!$AE$15:$AE$164,$A66))-(SUMIFS('Payment Breakdown Prior'!$AD$15:$AD$164,'Payment Breakdown Prior'!$AE$15:$AE$164,$A66))</f>
        <v/>
      </c>
      <c r="AI66">
        <f t="array" ref="AI66">MAX(ABS(W66:AH66))</f>
        <v/>
      </c>
      <c r="AJ66">
        <f t="array" ref="AJ66">IF(AI66&lt;0.005,"",IFERROR(INDEX($W$1:$AH$1,MATCH(AI66,ABS(W66:AH66),0)),""))</f>
        <v/>
      </c>
      <c r="AK66">
        <f t="array" ref="AK66">IF(AI66&lt;0.005,"",IFERROR(INDEX(W66:AH66,MATCH(AI66,ABS(W66:AH66),0)),""))</f>
        <v/>
      </c>
      <c r="AL66">
        <f>IF(R66=1,ABS(L66)-ROW()/100000000,"")</f>
        <v/>
      </c>
    </row>
    <row r="67">
      <c r="A67">
        <f>IF('NPV Comparison'!D80="","",'NPV Comparison'!D80)</f>
        <v/>
      </c>
      <c r="B67">
        <f>IF('NPV Comparison'!E80="","",'NPV Comparison'!E80)</f>
        <v/>
      </c>
      <c r="C67">
        <f>IF('NPV Comparison'!F80="","",'NPV Comparison'!F80)</f>
        <v/>
      </c>
      <c r="D67">
        <f>IF($A67="","",IFERROR(INDEX(Structure!$E$13:$E$312,MATCH($A67,Structure!$P$13:$P$312,0)),""))</f>
        <v/>
      </c>
      <c r="E67">
        <f>IF($A67="",0,IF(COUNTIF(Structure!$P$13:$P$312,$A67)=0,0,IF(COUNTIFS(Structure!$P$13:$P$312,$A67,Structure!$N$13:$N$312,"&lt;&gt;Zero Hours")=0,1,0)))</f>
        <v/>
      </c>
      <c r="F67">
        <f>IF($A67="",0,1-E67)</f>
        <v/>
      </c>
      <c r="G67">
        <f>IF($A67="",0,IF(COUNTIF('New Starters'!$D$14:$D$73,$A67)&gt;0,1,0))</f>
        <v/>
      </c>
      <c r="H67">
        <f>IF($A67="",0,IF(COUNTIF('Leavers'!$D$12:$D$71,$A67)&gt;0,1,0))</f>
        <v/>
      </c>
      <c r="I67">
        <f>IF($A67="","",IFERROR(INDEX('New Starters'!$K$14:$K$73,MATCH($A67,'New Starters'!$D$14:$D$73,0)),IFERROR(INDEX('Leavers'!$K$12:$K$71,MATCH($A67,'Leavers'!$D$12:$D$71,0)),"")))</f>
        <v/>
      </c>
      <c r="J67">
        <f>IF(AND(G67=1,I67&lt;&gt;"",COUNTIF('Leavers'!$K$12:$K$71,I67)&gt;0),1,IF(AND(H67=1,I67&lt;&gt;"",COUNTIF('New Starters'!$K$14:$K$73,I67)&gt;0),1,0))</f>
        <v/>
      </c>
      <c r="K67">
        <f>IF(ISNUMBER(SEARCH("Head Office",D67)),'Control Sheet'!$C$6,'Control Sheet'!$C$5)</f>
        <v/>
      </c>
      <c r="L67">
        <f>IF(OR($A67="",AND(B67="",C67="")),"",IF(B67="",C67,IF(C67="",-B67,C67-B67)))</f>
        <v/>
      </c>
      <c r="M67">
        <f>IFERROR(L67/B67,"")</f>
        <v/>
      </c>
      <c r="N67">
        <f>IF($A67="",0,IF(OR(B67="",C67="",C67=0,AND(ISNUMBER(M67),ABS(M67)&gt;K67)),1,0))</f>
        <v/>
      </c>
      <c r="O67">
        <f>IF(AND(N67=1,ABS(L67)&gt;='Control Sheet'!$C$7,F67=1),1,0)</f>
        <v/>
      </c>
      <c r="P67">
        <f>IF($A67="","",IF(F67=0,"Zero Hours",IF(J67=1,"Explained: Paired transfer",IF(AND(G67=1,H67=0,J67=0),"Explained: Starter",IF(AND(H67=1,G67=0,J67=0),"Explained: Leaver",IF(O67=1,"Review required","OK"))))))</f>
        <v/>
      </c>
      <c r="Q67">
        <f>IF(AND(F67=1,OR(C67="",C67=0),H67=0,J67=0),1,0)</f>
        <v/>
      </c>
      <c r="R67">
        <f>IF(F67=0,0,IF(P67="Review required",1,IF(AND(P67="Explained: Starter",ISNUMBER(C67),C67&gt;=1500),1,0)))</f>
        <v/>
      </c>
      <c r="S67">
        <f>IF(R67=0,"",IF(Q67=1,"High",IF(AND(P67="Explained: Starter",C67&gt;=1500),"High",IF(ABS(L67)&gt;=2000,"High",IF(ABS(L67)&gt;=500,"Medium","Low")))))</f>
        <v/>
      </c>
      <c r="T67">
        <f>SUMIFS('Payment Breakdown Prior'!$S$15:$S$164,'Payment Breakdown Prior'!$AE$15:$AE$164,$A67)</f>
        <v/>
      </c>
      <c r="U67">
        <f>SUMIFS('Payment Breakdown Current'!$S$15:$S$164,'Payment Breakdown Current'!$AE$15:$AE$164,$A67)</f>
        <v/>
      </c>
      <c r="V67">
        <f>IFERROR((U67-T67)/T67,"")</f>
        <v/>
      </c>
      <c r="W67">
        <f>(SUMIFS('Payment Breakdown Current'!$S$15:$S$164,'Payment Breakdown Current'!$AE$15:$AE$164,$A67))-(SUMIFS('Payment Breakdown Prior'!$S$15:$S$164,'Payment Breakdown Prior'!$AE$15:$AE$164,$A67))</f>
        <v/>
      </c>
      <c r="X67">
        <f>(SUMIFS('Payment Breakdown Current'!$T$15:$T$164,'Payment Breakdown Current'!$AE$15:$AE$164,$A67))-(SUMIFS('Payment Breakdown Prior'!$T$15:$T$164,'Payment Breakdown Prior'!$AE$15:$AE$164,$A67))</f>
        <v/>
      </c>
      <c r="Y67">
        <f>(SUMIFS('Payment Breakdown Current'!$U$15:$U$164,'Payment Breakdown Current'!$AE$15:$AE$164,$A67))-(SUMIFS('Payment Breakdown Prior'!$U$15:$U$164,'Payment Breakdown Prior'!$AE$15:$AE$164,$A67))</f>
        <v/>
      </c>
      <c r="Z67">
        <f>(SUMIFS('Payment Breakdown Current'!$V$15:$V$164,'Payment Breakdown Current'!$AE$15:$AE$164,$A67))-(SUMIFS('Payment Breakdown Prior'!$V$15:$V$164,'Payment Breakdown Prior'!$AE$15:$AE$164,$A67))</f>
        <v/>
      </c>
      <c r="AA67">
        <f>(SUMIFS('Payment Breakdown Current'!$W$15:$W$164,'Payment Breakdown Current'!$AE$15:$AE$164,$A67))-(SUMIFS('Payment Breakdown Prior'!$W$15:$W$164,'Payment Breakdown Prior'!$AE$15:$AE$164,$A67))</f>
        <v/>
      </c>
      <c r="AB67">
        <f>(SUMIFS('Payment Breakdown Current'!$X$15:$X$164,'Payment Breakdown Current'!$AE$15:$AE$164,$A67))-(SUMIFS('Payment Breakdown Prior'!$X$15:$X$164,'Payment Breakdown Prior'!$AE$15:$AE$164,$A67))</f>
        <v/>
      </c>
      <c r="AC67">
        <f>(SUMIFS('Payment Breakdown Current'!$Y$15:$Y$164,'Payment Breakdown Current'!$AE$15:$AE$164,$A67))-(SUMIFS('Payment Breakdown Prior'!$Y$15:$Y$164,'Payment Breakdown Prior'!$AE$15:$AE$164,$A67))</f>
        <v/>
      </c>
      <c r="AD67">
        <f>(SUMIFS('Payment Breakdown Current'!$Z$15:$Z$164,'Payment Breakdown Current'!$AE$15:$AE$164,$A67))-(SUMIFS('Payment Breakdown Prior'!$Z$15:$Z$164,'Payment Breakdown Prior'!$AE$15:$AE$164,$A67))</f>
        <v/>
      </c>
      <c r="AE67">
        <f>(SUMIFS('Payment Breakdown Current'!$AA$15:$AA$164,'Payment Breakdown Current'!$AE$15:$AE$164,$A67))-(SUMIFS('Payment Breakdown Prior'!$AA$15:$AA$164,'Payment Breakdown Prior'!$AE$15:$AE$164,$A67))</f>
        <v/>
      </c>
      <c r="AF67">
        <f>(SUMIFS('Payment Breakdown Current'!$AB$15:$AB$164,'Payment Breakdown Current'!$AE$15:$AE$164,$A67))-(SUMIFS('Payment Breakdown Prior'!$AB$15:$AB$164,'Payment Breakdown Prior'!$AE$15:$AE$164,$A67))</f>
        <v/>
      </c>
      <c r="AG67">
        <f>(SUMIFS('Payment Breakdown Current'!$AC$15:$AC$164,'Payment Breakdown Current'!$AE$15:$AE$164,$A67))-(SUMIFS('Payment Breakdown Prior'!$AC$15:$AC$164,'Payment Breakdown Prior'!$AE$15:$AE$164,$A67))</f>
        <v/>
      </c>
      <c r="AH67">
        <f>(SUMIFS('Payment Breakdown Current'!$AD$15:$AD$164,'Payment Breakdown Current'!$AE$15:$AE$164,$A67))-(SUMIFS('Payment Breakdown Prior'!$AD$15:$AD$164,'Payment Breakdown Prior'!$AE$15:$AE$164,$A67))</f>
        <v/>
      </c>
      <c r="AI67">
        <f t="array" ref="AI67">MAX(ABS(W67:AH67))</f>
        <v/>
      </c>
      <c r="AJ67">
        <f t="array" ref="AJ67">IF(AI67&lt;0.005,"",IFERROR(INDEX($W$1:$AH$1,MATCH(AI67,ABS(W67:AH67),0)),""))</f>
        <v/>
      </c>
      <c r="AK67">
        <f t="array" ref="AK67">IF(AI67&lt;0.005,"",IFERROR(INDEX(W67:AH67,MATCH(AI67,ABS(W67:AH67),0)),""))</f>
        <v/>
      </c>
      <c r="AL67">
        <f>IF(R67=1,ABS(L67)-ROW()/100000000,"")</f>
        <v/>
      </c>
    </row>
    <row r="68">
      <c r="A68">
        <f>IF('NPV Comparison'!D81="","",'NPV Comparison'!D81)</f>
        <v/>
      </c>
      <c r="B68">
        <f>IF('NPV Comparison'!E81="","",'NPV Comparison'!E81)</f>
        <v/>
      </c>
      <c r="C68">
        <f>IF('NPV Comparison'!F81="","",'NPV Comparison'!F81)</f>
        <v/>
      </c>
      <c r="D68">
        <f>IF($A68="","",IFERROR(INDEX(Structure!$E$13:$E$312,MATCH($A68,Structure!$P$13:$P$312,0)),""))</f>
        <v/>
      </c>
      <c r="E68">
        <f>IF($A68="",0,IF(COUNTIF(Structure!$P$13:$P$312,$A68)=0,0,IF(COUNTIFS(Structure!$P$13:$P$312,$A68,Structure!$N$13:$N$312,"&lt;&gt;Zero Hours")=0,1,0)))</f>
        <v/>
      </c>
      <c r="F68">
        <f>IF($A68="",0,1-E68)</f>
        <v/>
      </c>
      <c r="G68">
        <f>IF($A68="",0,IF(COUNTIF('New Starters'!$D$14:$D$73,$A68)&gt;0,1,0))</f>
        <v/>
      </c>
      <c r="H68">
        <f>IF($A68="",0,IF(COUNTIF('Leavers'!$D$12:$D$71,$A68)&gt;0,1,0))</f>
        <v/>
      </c>
      <c r="I68">
        <f>IF($A68="","",IFERROR(INDEX('New Starters'!$K$14:$K$73,MATCH($A68,'New Starters'!$D$14:$D$73,0)),IFERROR(INDEX('Leavers'!$K$12:$K$71,MATCH($A68,'Leavers'!$D$12:$D$71,0)),"")))</f>
        <v/>
      </c>
      <c r="J68">
        <f>IF(AND(G68=1,I68&lt;&gt;"",COUNTIF('Leavers'!$K$12:$K$71,I68)&gt;0),1,IF(AND(H68=1,I68&lt;&gt;"",COUNTIF('New Starters'!$K$14:$K$73,I68)&gt;0),1,0))</f>
        <v/>
      </c>
      <c r="K68">
        <f>IF(ISNUMBER(SEARCH("Head Office",D68)),'Control Sheet'!$C$6,'Control Sheet'!$C$5)</f>
        <v/>
      </c>
      <c r="L68">
        <f>IF(OR($A68="",AND(B68="",C68="")),"",IF(B68="",C68,IF(C68="",-B68,C68-B68)))</f>
        <v/>
      </c>
      <c r="M68">
        <f>IFERROR(L68/B68,"")</f>
        <v/>
      </c>
      <c r="N68">
        <f>IF($A68="",0,IF(OR(B68="",C68="",C68=0,AND(ISNUMBER(M68),ABS(M68)&gt;K68)),1,0))</f>
        <v/>
      </c>
      <c r="O68">
        <f>IF(AND(N68=1,ABS(L68)&gt;='Control Sheet'!$C$7,F68=1),1,0)</f>
        <v/>
      </c>
      <c r="P68">
        <f>IF($A68="","",IF(F68=0,"Zero Hours",IF(J68=1,"Explained: Paired transfer",IF(AND(G68=1,H68=0,J68=0),"Explained: Starter",IF(AND(H68=1,G68=0,J68=0),"Explained: Leaver",IF(O68=1,"Review required","OK"))))))</f>
        <v/>
      </c>
      <c r="Q68">
        <f>IF(AND(F68=1,OR(C68="",C68=0),H68=0,J68=0),1,0)</f>
        <v/>
      </c>
      <c r="R68">
        <f>IF(F68=0,0,IF(P68="Review required",1,IF(AND(P68="Explained: Starter",ISNUMBER(C68),C68&gt;=1500),1,0)))</f>
        <v/>
      </c>
      <c r="S68">
        <f>IF(R68=0,"",IF(Q68=1,"High",IF(AND(P68="Explained: Starter",C68&gt;=1500),"High",IF(ABS(L68)&gt;=2000,"High",IF(ABS(L68)&gt;=500,"Medium","Low")))))</f>
        <v/>
      </c>
      <c r="T68">
        <f>SUMIFS('Payment Breakdown Prior'!$S$15:$S$164,'Payment Breakdown Prior'!$AE$15:$AE$164,$A68)</f>
        <v/>
      </c>
      <c r="U68">
        <f>SUMIFS('Payment Breakdown Current'!$S$15:$S$164,'Payment Breakdown Current'!$AE$15:$AE$164,$A68)</f>
        <v/>
      </c>
      <c r="V68">
        <f>IFERROR((U68-T68)/T68,"")</f>
        <v/>
      </c>
      <c r="W68">
        <f>(SUMIFS('Payment Breakdown Current'!$S$15:$S$164,'Payment Breakdown Current'!$AE$15:$AE$164,$A68))-(SUMIFS('Payment Breakdown Prior'!$S$15:$S$164,'Payment Breakdown Prior'!$AE$15:$AE$164,$A68))</f>
        <v/>
      </c>
      <c r="X68">
        <f>(SUMIFS('Payment Breakdown Current'!$T$15:$T$164,'Payment Breakdown Current'!$AE$15:$AE$164,$A68))-(SUMIFS('Payment Breakdown Prior'!$T$15:$T$164,'Payment Breakdown Prior'!$AE$15:$AE$164,$A68))</f>
        <v/>
      </c>
      <c r="Y68">
        <f>(SUMIFS('Payment Breakdown Current'!$U$15:$U$164,'Payment Breakdown Current'!$AE$15:$AE$164,$A68))-(SUMIFS('Payment Breakdown Prior'!$U$15:$U$164,'Payment Breakdown Prior'!$AE$15:$AE$164,$A68))</f>
        <v/>
      </c>
      <c r="Z68">
        <f>(SUMIFS('Payment Breakdown Current'!$V$15:$V$164,'Payment Breakdown Current'!$AE$15:$AE$164,$A68))-(SUMIFS('Payment Breakdown Prior'!$V$15:$V$164,'Payment Breakdown Prior'!$AE$15:$AE$164,$A68))</f>
        <v/>
      </c>
      <c r="AA68">
        <f>(SUMIFS('Payment Breakdown Current'!$W$15:$W$164,'Payment Breakdown Current'!$AE$15:$AE$164,$A68))-(SUMIFS('Payment Breakdown Prior'!$W$15:$W$164,'Payment Breakdown Prior'!$AE$15:$AE$164,$A68))</f>
        <v/>
      </c>
      <c r="AB68">
        <f>(SUMIFS('Payment Breakdown Current'!$X$15:$X$164,'Payment Breakdown Current'!$AE$15:$AE$164,$A68))-(SUMIFS('Payment Breakdown Prior'!$X$15:$X$164,'Payment Breakdown Prior'!$AE$15:$AE$164,$A68))</f>
        <v/>
      </c>
      <c r="AC68">
        <f>(SUMIFS('Payment Breakdown Current'!$Y$15:$Y$164,'Payment Breakdown Current'!$AE$15:$AE$164,$A68))-(SUMIFS('Payment Breakdown Prior'!$Y$15:$Y$164,'Payment Breakdown Prior'!$AE$15:$AE$164,$A68))</f>
        <v/>
      </c>
      <c r="AD68">
        <f>(SUMIFS('Payment Breakdown Current'!$Z$15:$Z$164,'Payment Breakdown Current'!$AE$15:$AE$164,$A68))-(SUMIFS('Payment Breakdown Prior'!$Z$15:$Z$164,'Payment Breakdown Prior'!$AE$15:$AE$164,$A68))</f>
        <v/>
      </c>
      <c r="AE68">
        <f>(SUMIFS('Payment Breakdown Current'!$AA$15:$AA$164,'Payment Breakdown Current'!$AE$15:$AE$164,$A68))-(SUMIFS('Payment Breakdown Prior'!$AA$15:$AA$164,'Payment Breakdown Prior'!$AE$15:$AE$164,$A68))</f>
        <v/>
      </c>
      <c r="AF68">
        <f>(SUMIFS('Payment Breakdown Current'!$AB$15:$AB$164,'Payment Breakdown Current'!$AE$15:$AE$164,$A68))-(SUMIFS('Payment Breakdown Prior'!$AB$15:$AB$164,'Payment Breakdown Prior'!$AE$15:$AE$164,$A68))</f>
        <v/>
      </c>
      <c r="AG68">
        <f>(SUMIFS('Payment Breakdown Current'!$AC$15:$AC$164,'Payment Breakdown Current'!$AE$15:$AE$164,$A68))-(SUMIFS('Payment Breakdown Prior'!$AC$15:$AC$164,'Payment Breakdown Prior'!$AE$15:$AE$164,$A68))</f>
        <v/>
      </c>
      <c r="AH68">
        <f>(SUMIFS('Payment Breakdown Current'!$AD$15:$AD$164,'Payment Breakdown Current'!$AE$15:$AE$164,$A68))-(SUMIFS('Payment Breakdown Prior'!$AD$15:$AD$164,'Payment Breakdown Prior'!$AE$15:$AE$164,$A68))</f>
        <v/>
      </c>
      <c r="AI68">
        <f t="array" ref="AI68">MAX(ABS(W68:AH68))</f>
        <v/>
      </c>
      <c r="AJ68">
        <f t="array" ref="AJ68">IF(AI68&lt;0.005,"",IFERROR(INDEX($W$1:$AH$1,MATCH(AI68,ABS(W68:AH68),0)),""))</f>
        <v/>
      </c>
      <c r="AK68">
        <f t="array" ref="AK68">IF(AI68&lt;0.005,"",IFERROR(INDEX(W68:AH68,MATCH(AI68,ABS(W68:AH68),0)),""))</f>
        <v/>
      </c>
      <c r="AL68">
        <f>IF(R68=1,ABS(L68)-ROW()/100000000,"")</f>
        <v/>
      </c>
    </row>
    <row r="69">
      <c r="A69">
        <f>IF('NPV Comparison'!D82="","",'NPV Comparison'!D82)</f>
        <v/>
      </c>
      <c r="B69">
        <f>IF('NPV Comparison'!E82="","",'NPV Comparison'!E82)</f>
        <v/>
      </c>
      <c r="C69">
        <f>IF('NPV Comparison'!F82="","",'NPV Comparison'!F82)</f>
        <v/>
      </c>
      <c r="D69">
        <f>IF($A69="","",IFERROR(INDEX(Structure!$E$13:$E$312,MATCH($A69,Structure!$P$13:$P$312,0)),""))</f>
        <v/>
      </c>
      <c r="E69">
        <f>IF($A69="",0,IF(COUNTIF(Structure!$P$13:$P$312,$A69)=0,0,IF(COUNTIFS(Structure!$P$13:$P$312,$A69,Structure!$N$13:$N$312,"&lt;&gt;Zero Hours")=0,1,0)))</f>
        <v/>
      </c>
      <c r="F69">
        <f>IF($A69="",0,1-E69)</f>
        <v/>
      </c>
      <c r="G69">
        <f>IF($A69="",0,IF(COUNTIF('New Starters'!$D$14:$D$73,$A69)&gt;0,1,0))</f>
        <v/>
      </c>
      <c r="H69">
        <f>IF($A69="",0,IF(COUNTIF('Leavers'!$D$12:$D$71,$A69)&gt;0,1,0))</f>
        <v/>
      </c>
      <c r="I69">
        <f>IF($A69="","",IFERROR(INDEX('New Starters'!$K$14:$K$73,MATCH($A69,'New Starters'!$D$14:$D$73,0)),IFERROR(INDEX('Leavers'!$K$12:$K$71,MATCH($A69,'Leavers'!$D$12:$D$71,0)),"")))</f>
        <v/>
      </c>
      <c r="J69">
        <f>IF(AND(G69=1,I69&lt;&gt;"",COUNTIF('Leavers'!$K$12:$K$71,I69)&gt;0),1,IF(AND(H69=1,I69&lt;&gt;"",COUNTIF('New Starters'!$K$14:$K$73,I69)&gt;0),1,0))</f>
        <v/>
      </c>
      <c r="K69">
        <f>IF(ISNUMBER(SEARCH("Head Office",D69)),'Control Sheet'!$C$6,'Control Sheet'!$C$5)</f>
        <v/>
      </c>
      <c r="L69">
        <f>IF(OR($A69="",AND(B69="",C69="")),"",IF(B69="",C69,IF(C69="",-B69,C69-B69)))</f>
        <v/>
      </c>
      <c r="M69">
        <f>IFERROR(L69/B69,"")</f>
        <v/>
      </c>
      <c r="N69">
        <f>IF($A69="",0,IF(OR(B69="",C69="",C69=0,AND(ISNUMBER(M69),ABS(M69)&gt;K69)),1,0))</f>
        <v/>
      </c>
      <c r="O69">
        <f>IF(AND(N69=1,ABS(L69)&gt;='Control Sheet'!$C$7,F69=1),1,0)</f>
        <v/>
      </c>
      <c r="P69">
        <f>IF($A69="","",IF(F69=0,"Zero Hours",IF(J69=1,"Explained: Paired transfer",IF(AND(G69=1,H69=0,J69=0),"Explained: Starter",IF(AND(H69=1,G69=0,J69=0),"Explained: Leaver",IF(O69=1,"Review required","OK"))))))</f>
        <v/>
      </c>
      <c r="Q69">
        <f>IF(AND(F69=1,OR(C69="",C69=0),H69=0,J69=0),1,0)</f>
        <v/>
      </c>
      <c r="R69">
        <f>IF(F69=0,0,IF(P69="Review required",1,IF(AND(P69="Explained: Starter",ISNUMBER(C69),C69&gt;=1500),1,0)))</f>
        <v/>
      </c>
      <c r="S69">
        <f>IF(R69=0,"",IF(Q69=1,"High",IF(AND(P69="Explained: Starter",C69&gt;=1500),"High",IF(ABS(L69)&gt;=2000,"High",IF(ABS(L69)&gt;=500,"Medium","Low")))))</f>
        <v/>
      </c>
      <c r="T69">
        <f>SUMIFS('Payment Breakdown Prior'!$S$15:$S$164,'Payment Breakdown Prior'!$AE$15:$AE$164,$A69)</f>
        <v/>
      </c>
      <c r="U69">
        <f>SUMIFS('Payment Breakdown Current'!$S$15:$S$164,'Payment Breakdown Current'!$AE$15:$AE$164,$A69)</f>
        <v/>
      </c>
      <c r="V69">
        <f>IFERROR((U69-T69)/T69,"")</f>
        <v/>
      </c>
      <c r="W69">
        <f>(SUMIFS('Payment Breakdown Current'!$S$15:$S$164,'Payment Breakdown Current'!$AE$15:$AE$164,$A69))-(SUMIFS('Payment Breakdown Prior'!$S$15:$S$164,'Payment Breakdown Prior'!$AE$15:$AE$164,$A69))</f>
        <v/>
      </c>
      <c r="X69">
        <f>(SUMIFS('Payment Breakdown Current'!$T$15:$T$164,'Payment Breakdown Current'!$AE$15:$AE$164,$A69))-(SUMIFS('Payment Breakdown Prior'!$T$15:$T$164,'Payment Breakdown Prior'!$AE$15:$AE$164,$A69))</f>
        <v/>
      </c>
      <c r="Y69">
        <f>(SUMIFS('Payment Breakdown Current'!$U$15:$U$164,'Payment Breakdown Current'!$AE$15:$AE$164,$A69))-(SUMIFS('Payment Breakdown Prior'!$U$15:$U$164,'Payment Breakdown Prior'!$AE$15:$AE$164,$A69))</f>
        <v/>
      </c>
      <c r="Z69">
        <f>(SUMIFS('Payment Breakdown Current'!$V$15:$V$164,'Payment Breakdown Current'!$AE$15:$AE$164,$A69))-(SUMIFS('Payment Breakdown Prior'!$V$15:$V$164,'Payment Breakdown Prior'!$AE$15:$AE$164,$A69))</f>
        <v/>
      </c>
      <c r="AA69">
        <f>(SUMIFS('Payment Breakdown Current'!$W$15:$W$164,'Payment Breakdown Current'!$AE$15:$AE$164,$A69))-(SUMIFS('Payment Breakdown Prior'!$W$15:$W$164,'Payment Breakdown Prior'!$AE$15:$AE$164,$A69))</f>
        <v/>
      </c>
      <c r="AB69">
        <f>(SUMIFS('Payment Breakdown Current'!$X$15:$X$164,'Payment Breakdown Current'!$AE$15:$AE$164,$A69))-(SUMIFS('Payment Breakdown Prior'!$X$15:$X$164,'Payment Breakdown Prior'!$AE$15:$AE$164,$A69))</f>
        <v/>
      </c>
      <c r="AC69">
        <f>(SUMIFS('Payment Breakdown Current'!$Y$15:$Y$164,'Payment Breakdown Current'!$AE$15:$AE$164,$A69))-(SUMIFS('Payment Breakdown Prior'!$Y$15:$Y$164,'Payment Breakdown Prior'!$AE$15:$AE$164,$A69))</f>
        <v/>
      </c>
      <c r="AD69">
        <f>(SUMIFS('Payment Breakdown Current'!$Z$15:$Z$164,'Payment Breakdown Current'!$AE$15:$AE$164,$A69))-(SUMIFS('Payment Breakdown Prior'!$Z$15:$Z$164,'Payment Breakdown Prior'!$AE$15:$AE$164,$A69))</f>
        <v/>
      </c>
      <c r="AE69">
        <f>(SUMIFS('Payment Breakdown Current'!$AA$15:$AA$164,'Payment Breakdown Current'!$AE$15:$AE$164,$A69))-(SUMIFS('Payment Breakdown Prior'!$AA$15:$AA$164,'Payment Breakdown Prior'!$AE$15:$AE$164,$A69))</f>
        <v/>
      </c>
      <c r="AF69">
        <f>(SUMIFS('Payment Breakdown Current'!$AB$15:$AB$164,'Payment Breakdown Current'!$AE$15:$AE$164,$A69))-(SUMIFS('Payment Breakdown Prior'!$AB$15:$AB$164,'Payment Breakdown Prior'!$AE$15:$AE$164,$A69))</f>
        <v/>
      </c>
      <c r="AG69">
        <f>(SUMIFS('Payment Breakdown Current'!$AC$15:$AC$164,'Payment Breakdown Current'!$AE$15:$AE$164,$A69))-(SUMIFS('Payment Breakdown Prior'!$AC$15:$AC$164,'Payment Breakdown Prior'!$AE$15:$AE$164,$A69))</f>
        <v/>
      </c>
      <c r="AH69">
        <f>(SUMIFS('Payment Breakdown Current'!$AD$15:$AD$164,'Payment Breakdown Current'!$AE$15:$AE$164,$A69))-(SUMIFS('Payment Breakdown Prior'!$AD$15:$AD$164,'Payment Breakdown Prior'!$AE$15:$AE$164,$A69))</f>
        <v/>
      </c>
      <c r="AI69">
        <f t="array" ref="AI69">MAX(ABS(W69:AH69))</f>
        <v/>
      </c>
      <c r="AJ69">
        <f t="array" ref="AJ69">IF(AI69&lt;0.005,"",IFERROR(INDEX($W$1:$AH$1,MATCH(AI69,ABS(W69:AH69),0)),""))</f>
        <v/>
      </c>
      <c r="AK69">
        <f t="array" ref="AK69">IF(AI69&lt;0.005,"",IFERROR(INDEX(W69:AH69,MATCH(AI69,ABS(W69:AH69),0)),""))</f>
        <v/>
      </c>
      <c r="AL69">
        <f>IF(R69=1,ABS(L69)-ROW()/100000000,"")</f>
        <v/>
      </c>
    </row>
    <row r="70">
      <c r="A70">
        <f>IF('NPV Comparison'!D83="","",'NPV Comparison'!D83)</f>
        <v/>
      </c>
      <c r="B70">
        <f>IF('NPV Comparison'!E83="","",'NPV Comparison'!E83)</f>
        <v/>
      </c>
      <c r="C70">
        <f>IF('NPV Comparison'!F83="","",'NPV Comparison'!F83)</f>
        <v/>
      </c>
      <c r="D70">
        <f>IF($A70="","",IFERROR(INDEX(Structure!$E$13:$E$312,MATCH($A70,Structure!$P$13:$P$312,0)),""))</f>
        <v/>
      </c>
      <c r="E70">
        <f>IF($A70="",0,IF(COUNTIF(Structure!$P$13:$P$312,$A70)=0,0,IF(COUNTIFS(Structure!$P$13:$P$312,$A70,Structure!$N$13:$N$312,"&lt;&gt;Zero Hours")=0,1,0)))</f>
        <v/>
      </c>
      <c r="F70">
        <f>IF($A70="",0,1-E70)</f>
        <v/>
      </c>
      <c r="G70">
        <f>IF($A70="",0,IF(COUNTIF('New Starters'!$D$14:$D$73,$A70)&gt;0,1,0))</f>
        <v/>
      </c>
      <c r="H70">
        <f>IF($A70="",0,IF(COUNTIF('Leavers'!$D$12:$D$71,$A70)&gt;0,1,0))</f>
        <v/>
      </c>
      <c r="I70">
        <f>IF($A70="","",IFERROR(INDEX('New Starters'!$K$14:$K$73,MATCH($A70,'New Starters'!$D$14:$D$73,0)),IFERROR(INDEX('Leavers'!$K$12:$K$71,MATCH($A70,'Leavers'!$D$12:$D$71,0)),"")))</f>
        <v/>
      </c>
      <c r="J70">
        <f>IF(AND(G70=1,I70&lt;&gt;"",COUNTIF('Leavers'!$K$12:$K$71,I70)&gt;0),1,IF(AND(H70=1,I70&lt;&gt;"",COUNTIF('New Starters'!$K$14:$K$73,I70)&gt;0),1,0))</f>
        <v/>
      </c>
      <c r="K70">
        <f>IF(ISNUMBER(SEARCH("Head Office",D70)),'Control Sheet'!$C$6,'Control Sheet'!$C$5)</f>
        <v/>
      </c>
      <c r="L70">
        <f>IF(OR($A70="",AND(B70="",C70="")),"",IF(B70="",C70,IF(C70="",-B70,C70-B70)))</f>
        <v/>
      </c>
      <c r="M70">
        <f>IFERROR(L70/B70,"")</f>
        <v/>
      </c>
      <c r="N70">
        <f>IF($A70="",0,IF(OR(B70="",C70="",C70=0,AND(ISNUMBER(M70),ABS(M70)&gt;K70)),1,0))</f>
        <v/>
      </c>
      <c r="O70">
        <f>IF(AND(N70=1,ABS(L70)&gt;='Control Sheet'!$C$7,F70=1),1,0)</f>
        <v/>
      </c>
      <c r="P70">
        <f>IF($A70="","",IF(F70=0,"Zero Hours",IF(J70=1,"Explained: Paired transfer",IF(AND(G70=1,H70=0,J70=0),"Explained: Starter",IF(AND(H70=1,G70=0,J70=0),"Explained: Leaver",IF(O70=1,"Review required","OK"))))))</f>
        <v/>
      </c>
      <c r="Q70">
        <f>IF(AND(F70=1,OR(C70="",C70=0),H70=0,J70=0),1,0)</f>
        <v/>
      </c>
      <c r="R70">
        <f>IF(F70=0,0,IF(P70="Review required",1,IF(AND(P70="Explained: Starter",ISNUMBER(C70),C70&gt;=1500),1,0)))</f>
        <v/>
      </c>
      <c r="S70">
        <f>IF(R70=0,"",IF(Q70=1,"High",IF(AND(P70="Explained: Starter",C70&gt;=1500),"High",IF(ABS(L70)&gt;=2000,"High",IF(ABS(L70)&gt;=500,"Medium","Low")))))</f>
        <v/>
      </c>
      <c r="T70">
        <f>SUMIFS('Payment Breakdown Prior'!$S$15:$S$164,'Payment Breakdown Prior'!$AE$15:$AE$164,$A70)</f>
        <v/>
      </c>
      <c r="U70">
        <f>SUMIFS('Payment Breakdown Current'!$S$15:$S$164,'Payment Breakdown Current'!$AE$15:$AE$164,$A70)</f>
        <v/>
      </c>
      <c r="V70">
        <f>IFERROR((U70-T70)/T70,"")</f>
        <v/>
      </c>
      <c r="W70">
        <f>(SUMIFS('Payment Breakdown Current'!$S$15:$S$164,'Payment Breakdown Current'!$AE$15:$AE$164,$A70))-(SUMIFS('Payment Breakdown Prior'!$S$15:$S$164,'Payment Breakdown Prior'!$AE$15:$AE$164,$A70))</f>
        <v/>
      </c>
      <c r="X70">
        <f>(SUMIFS('Payment Breakdown Current'!$T$15:$T$164,'Payment Breakdown Current'!$AE$15:$AE$164,$A70))-(SUMIFS('Payment Breakdown Prior'!$T$15:$T$164,'Payment Breakdown Prior'!$AE$15:$AE$164,$A70))</f>
        <v/>
      </c>
      <c r="Y70">
        <f>(SUMIFS('Payment Breakdown Current'!$U$15:$U$164,'Payment Breakdown Current'!$AE$15:$AE$164,$A70))-(SUMIFS('Payment Breakdown Prior'!$U$15:$U$164,'Payment Breakdown Prior'!$AE$15:$AE$164,$A70))</f>
        <v/>
      </c>
      <c r="Z70">
        <f>(SUMIFS('Payment Breakdown Current'!$V$15:$V$164,'Payment Breakdown Current'!$AE$15:$AE$164,$A70))-(SUMIFS('Payment Breakdown Prior'!$V$15:$V$164,'Payment Breakdown Prior'!$AE$15:$AE$164,$A70))</f>
        <v/>
      </c>
      <c r="AA70">
        <f>(SUMIFS('Payment Breakdown Current'!$W$15:$W$164,'Payment Breakdown Current'!$AE$15:$AE$164,$A70))-(SUMIFS('Payment Breakdown Prior'!$W$15:$W$164,'Payment Breakdown Prior'!$AE$15:$AE$164,$A70))</f>
        <v/>
      </c>
      <c r="AB70">
        <f>(SUMIFS('Payment Breakdown Current'!$X$15:$X$164,'Payment Breakdown Current'!$AE$15:$AE$164,$A70))-(SUMIFS('Payment Breakdown Prior'!$X$15:$X$164,'Payment Breakdown Prior'!$AE$15:$AE$164,$A70))</f>
        <v/>
      </c>
      <c r="AC70">
        <f>(SUMIFS('Payment Breakdown Current'!$Y$15:$Y$164,'Payment Breakdown Current'!$AE$15:$AE$164,$A70))-(SUMIFS('Payment Breakdown Prior'!$Y$15:$Y$164,'Payment Breakdown Prior'!$AE$15:$AE$164,$A70))</f>
        <v/>
      </c>
      <c r="AD70">
        <f>(SUMIFS('Payment Breakdown Current'!$Z$15:$Z$164,'Payment Breakdown Current'!$AE$15:$AE$164,$A70))-(SUMIFS('Payment Breakdown Prior'!$Z$15:$Z$164,'Payment Breakdown Prior'!$AE$15:$AE$164,$A70))</f>
        <v/>
      </c>
      <c r="AE70">
        <f>(SUMIFS('Payment Breakdown Current'!$AA$15:$AA$164,'Payment Breakdown Current'!$AE$15:$AE$164,$A70))-(SUMIFS('Payment Breakdown Prior'!$AA$15:$AA$164,'Payment Breakdown Prior'!$AE$15:$AE$164,$A70))</f>
        <v/>
      </c>
      <c r="AF70">
        <f>(SUMIFS('Payment Breakdown Current'!$AB$15:$AB$164,'Payment Breakdown Current'!$AE$15:$AE$164,$A70))-(SUMIFS('Payment Breakdown Prior'!$AB$15:$AB$164,'Payment Breakdown Prior'!$AE$15:$AE$164,$A70))</f>
        <v/>
      </c>
      <c r="AG70">
        <f>(SUMIFS('Payment Breakdown Current'!$AC$15:$AC$164,'Payment Breakdown Current'!$AE$15:$AE$164,$A70))-(SUMIFS('Payment Breakdown Prior'!$AC$15:$AC$164,'Payment Breakdown Prior'!$AE$15:$AE$164,$A70))</f>
        <v/>
      </c>
      <c r="AH70">
        <f>(SUMIFS('Payment Breakdown Current'!$AD$15:$AD$164,'Payment Breakdown Current'!$AE$15:$AE$164,$A70))-(SUMIFS('Payment Breakdown Prior'!$AD$15:$AD$164,'Payment Breakdown Prior'!$AE$15:$AE$164,$A70))</f>
        <v/>
      </c>
      <c r="AI70">
        <f t="array" ref="AI70">MAX(ABS(W70:AH70))</f>
        <v/>
      </c>
      <c r="AJ70">
        <f t="array" ref="AJ70">IF(AI70&lt;0.005,"",IFERROR(INDEX($W$1:$AH$1,MATCH(AI70,ABS(W70:AH70),0)),""))</f>
        <v/>
      </c>
      <c r="AK70">
        <f t="array" ref="AK70">IF(AI70&lt;0.005,"",IFERROR(INDEX(W70:AH70,MATCH(AI70,ABS(W70:AH70),0)),""))</f>
        <v/>
      </c>
      <c r="AL70">
        <f>IF(R70=1,ABS(L70)-ROW()/100000000,"")</f>
        <v/>
      </c>
    </row>
    <row r="71">
      <c r="A71">
        <f>IF('NPV Comparison'!D84="","",'NPV Comparison'!D84)</f>
        <v/>
      </c>
      <c r="B71">
        <f>IF('NPV Comparison'!E84="","",'NPV Comparison'!E84)</f>
        <v/>
      </c>
      <c r="C71">
        <f>IF('NPV Comparison'!F84="","",'NPV Comparison'!F84)</f>
        <v/>
      </c>
      <c r="D71">
        <f>IF($A71="","",IFERROR(INDEX(Structure!$E$13:$E$312,MATCH($A71,Structure!$P$13:$P$312,0)),""))</f>
        <v/>
      </c>
      <c r="E71">
        <f>IF($A71="",0,IF(COUNTIF(Structure!$P$13:$P$312,$A71)=0,0,IF(COUNTIFS(Structure!$P$13:$P$312,$A71,Structure!$N$13:$N$312,"&lt;&gt;Zero Hours")=0,1,0)))</f>
        <v/>
      </c>
      <c r="F71">
        <f>IF($A71="",0,1-E71)</f>
        <v/>
      </c>
      <c r="G71">
        <f>IF($A71="",0,IF(COUNTIF('New Starters'!$D$14:$D$73,$A71)&gt;0,1,0))</f>
        <v/>
      </c>
      <c r="H71">
        <f>IF($A71="",0,IF(COUNTIF('Leavers'!$D$12:$D$71,$A71)&gt;0,1,0))</f>
        <v/>
      </c>
      <c r="I71">
        <f>IF($A71="","",IFERROR(INDEX('New Starters'!$K$14:$K$73,MATCH($A71,'New Starters'!$D$14:$D$73,0)),IFERROR(INDEX('Leavers'!$K$12:$K$71,MATCH($A71,'Leavers'!$D$12:$D$71,0)),"")))</f>
        <v/>
      </c>
      <c r="J71">
        <f>IF(AND(G71=1,I71&lt;&gt;"",COUNTIF('Leavers'!$K$12:$K$71,I71)&gt;0),1,IF(AND(H71=1,I71&lt;&gt;"",COUNTIF('New Starters'!$K$14:$K$73,I71)&gt;0),1,0))</f>
        <v/>
      </c>
      <c r="K71">
        <f>IF(ISNUMBER(SEARCH("Head Office",D71)),'Control Sheet'!$C$6,'Control Sheet'!$C$5)</f>
        <v/>
      </c>
      <c r="L71">
        <f>IF(OR($A71="",AND(B71="",C71="")),"",IF(B71="",C71,IF(C71="",-B71,C71-B71)))</f>
        <v/>
      </c>
      <c r="M71">
        <f>IFERROR(L71/B71,"")</f>
        <v/>
      </c>
      <c r="N71">
        <f>IF($A71="",0,IF(OR(B71="",C71="",C71=0,AND(ISNUMBER(M71),ABS(M71)&gt;K71)),1,0))</f>
        <v/>
      </c>
      <c r="O71">
        <f>IF(AND(N71=1,ABS(L71)&gt;='Control Sheet'!$C$7,F71=1),1,0)</f>
        <v/>
      </c>
      <c r="P71">
        <f>IF($A71="","",IF(F71=0,"Zero Hours",IF(J71=1,"Explained: Paired transfer",IF(AND(G71=1,H71=0,J71=0),"Explained: Starter",IF(AND(H71=1,G71=0,J71=0),"Explained: Leaver",IF(O71=1,"Review required","OK"))))))</f>
        <v/>
      </c>
      <c r="Q71">
        <f>IF(AND(F71=1,OR(C71="",C71=0),H71=0,J71=0),1,0)</f>
        <v/>
      </c>
      <c r="R71">
        <f>IF(F71=0,0,IF(P71="Review required",1,IF(AND(P71="Explained: Starter",ISNUMBER(C71),C71&gt;=1500),1,0)))</f>
        <v/>
      </c>
      <c r="S71">
        <f>IF(R71=0,"",IF(Q71=1,"High",IF(AND(P71="Explained: Starter",C71&gt;=1500),"High",IF(ABS(L71)&gt;=2000,"High",IF(ABS(L71)&gt;=500,"Medium","Low")))))</f>
        <v/>
      </c>
      <c r="T71">
        <f>SUMIFS('Payment Breakdown Prior'!$S$15:$S$164,'Payment Breakdown Prior'!$AE$15:$AE$164,$A71)</f>
        <v/>
      </c>
      <c r="U71">
        <f>SUMIFS('Payment Breakdown Current'!$S$15:$S$164,'Payment Breakdown Current'!$AE$15:$AE$164,$A71)</f>
        <v/>
      </c>
      <c r="V71">
        <f>IFERROR((U71-T71)/T71,"")</f>
        <v/>
      </c>
      <c r="W71">
        <f>(SUMIFS('Payment Breakdown Current'!$S$15:$S$164,'Payment Breakdown Current'!$AE$15:$AE$164,$A71))-(SUMIFS('Payment Breakdown Prior'!$S$15:$S$164,'Payment Breakdown Prior'!$AE$15:$AE$164,$A71))</f>
        <v/>
      </c>
      <c r="X71">
        <f>(SUMIFS('Payment Breakdown Current'!$T$15:$T$164,'Payment Breakdown Current'!$AE$15:$AE$164,$A71))-(SUMIFS('Payment Breakdown Prior'!$T$15:$T$164,'Payment Breakdown Prior'!$AE$15:$AE$164,$A71))</f>
        <v/>
      </c>
      <c r="Y71">
        <f>(SUMIFS('Payment Breakdown Current'!$U$15:$U$164,'Payment Breakdown Current'!$AE$15:$AE$164,$A71))-(SUMIFS('Payment Breakdown Prior'!$U$15:$U$164,'Payment Breakdown Prior'!$AE$15:$AE$164,$A71))</f>
        <v/>
      </c>
      <c r="Z71">
        <f>(SUMIFS('Payment Breakdown Current'!$V$15:$V$164,'Payment Breakdown Current'!$AE$15:$AE$164,$A71))-(SUMIFS('Payment Breakdown Prior'!$V$15:$V$164,'Payment Breakdown Prior'!$AE$15:$AE$164,$A71))</f>
        <v/>
      </c>
      <c r="AA71">
        <f>(SUMIFS('Payment Breakdown Current'!$W$15:$W$164,'Payment Breakdown Current'!$AE$15:$AE$164,$A71))-(SUMIFS('Payment Breakdown Prior'!$W$15:$W$164,'Payment Breakdown Prior'!$AE$15:$AE$164,$A71))</f>
        <v/>
      </c>
      <c r="AB71">
        <f>(SUMIFS('Payment Breakdown Current'!$X$15:$X$164,'Payment Breakdown Current'!$AE$15:$AE$164,$A71))-(SUMIFS('Payment Breakdown Prior'!$X$15:$X$164,'Payment Breakdown Prior'!$AE$15:$AE$164,$A71))</f>
        <v/>
      </c>
      <c r="AC71">
        <f>(SUMIFS('Payment Breakdown Current'!$Y$15:$Y$164,'Payment Breakdown Current'!$AE$15:$AE$164,$A71))-(SUMIFS('Payment Breakdown Prior'!$Y$15:$Y$164,'Payment Breakdown Prior'!$AE$15:$AE$164,$A71))</f>
        <v/>
      </c>
      <c r="AD71">
        <f>(SUMIFS('Payment Breakdown Current'!$Z$15:$Z$164,'Payment Breakdown Current'!$AE$15:$AE$164,$A71))-(SUMIFS('Payment Breakdown Prior'!$Z$15:$Z$164,'Payment Breakdown Prior'!$AE$15:$AE$164,$A71))</f>
        <v/>
      </c>
      <c r="AE71">
        <f>(SUMIFS('Payment Breakdown Current'!$AA$15:$AA$164,'Payment Breakdown Current'!$AE$15:$AE$164,$A71))-(SUMIFS('Payment Breakdown Prior'!$AA$15:$AA$164,'Payment Breakdown Prior'!$AE$15:$AE$164,$A71))</f>
        <v/>
      </c>
      <c r="AF71">
        <f>(SUMIFS('Payment Breakdown Current'!$AB$15:$AB$164,'Payment Breakdown Current'!$AE$15:$AE$164,$A71))-(SUMIFS('Payment Breakdown Prior'!$AB$15:$AB$164,'Payment Breakdown Prior'!$AE$15:$AE$164,$A71))</f>
        <v/>
      </c>
      <c r="AG71">
        <f>(SUMIFS('Payment Breakdown Current'!$AC$15:$AC$164,'Payment Breakdown Current'!$AE$15:$AE$164,$A71))-(SUMIFS('Payment Breakdown Prior'!$AC$15:$AC$164,'Payment Breakdown Prior'!$AE$15:$AE$164,$A71))</f>
        <v/>
      </c>
      <c r="AH71">
        <f>(SUMIFS('Payment Breakdown Current'!$AD$15:$AD$164,'Payment Breakdown Current'!$AE$15:$AE$164,$A71))-(SUMIFS('Payment Breakdown Prior'!$AD$15:$AD$164,'Payment Breakdown Prior'!$AE$15:$AE$164,$A71))</f>
        <v/>
      </c>
      <c r="AI71">
        <f t="array" ref="AI71">MAX(ABS(W71:AH71))</f>
        <v/>
      </c>
      <c r="AJ71">
        <f t="array" ref="AJ71">IF(AI71&lt;0.005,"",IFERROR(INDEX($W$1:$AH$1,MATCH(AI71,ABS(W71:AH71),0)),""))</f>
        <v/>
      </c>
      <c r="AK71">
        <f t="array" ref="AK71">IF(AI71&lt;0.005,"",IFERROR(INDEX(W71:AH71,MATCH(AI71,ABS(W71:AH71),0)),""))</f>
        <v/>
      </c>
      <c r="AL71">
        <f>IF(R71=1,ABS(L71)-ROW()/100000000,"")</f>
        <v/>
      </c>
    </row>
    <row r="72">
      <c r="A72">
        <f>IF('NPV Comparison'!D85="","",'NPV Comparison'!D85)</f>
        <v/>
      </c>
      <c r="B72">
        <f>IF('NPV Comparison'!E85="","",'NPV Comparison'!E85)</f>
        <v/>
      </c>
      <c r="C72">
        <f>IF('NPV Comparison'!F85="","",'NPV Comparison'!F85)</f>
        <v/>
      </c>
      <c r="D72">
        <f>IF($A72="","",IFERROR(INDEX(Structure!$E$13:$E$312,MATCH($A72,Structure!$P$13:$P$312,0)),""))</f>
        <v/>
      </c>
      <c r="E72">
        <f>IF($A72="",0,IF(COUNTIF(Structure!$P$13:$P$312,$A72)=0,0,IF(COUNTIFS(Structure!$P$13:$P$312,$A72,Structure!$N$13:$N$312,"&lt;&gt;Zero Hours")=0,1,0)))</f>
        <v/>
      </c>
      <c r="F72">
        <f>IF($A72="",0,1-E72)</f>
        <v/>
      </c>
      <c r="G72">
        <f>IF($A72="",0,IF(COUNTIF('New Starters'!$D$14:$D$73,$A72)&gt;0,1,0))</f>
        <v/>
      </c>
      <c r="H72">
        <f>IF($A72="",0,IF(COUNTIF('Leavers'!$D$12:$D$71,$A72)&gt;0,1,0))</f>
        <v/>
      </c>
      <c r="I72">
        <f>IF($A72="","",IFERROR(INDEX('New Starters'!$K$14:$K$73,MATCH($A72,'New Starters'!$D$14:$D$73,0)),IFERROR(INDEX('Leavers'!$K$12:$K$71,MATCH($A72,'Leavers'!$D$12:$D$71,0)),"")))</f>
        <v/>
      </c>
      <c r="J72">
        <f>IF(AND(G72=1,I72&lt;&gt;"",COUNTIF('Leavers'!$K$12:$K$71,I72)&gt;0),1,IF(AND(H72=1,I72&lt;&gt;"",COUNTIF('New Starters'!$K$14:$K$73,I72)&gt;0),1,0))</f>
        <v/>
      </c>
      <c r="K72">
        <f>IF(ISNUMBER(SEARCH("Head Office",D72)),'Control Sheet'!$C$6,'Control Sheet'!$C$5)</f>
        <v/>
      </c>
      <c r="L72">
        <f>IF(OR($A72="",AND(B72="",C72="")),"",IF(B72="",C72,IF(C72="",-B72,C72-B72)))</f>
        <v/>
      </c>
      <c r="M72">
        <f>IFERROR(L72/B72,"")</f>
        <v/>
      </c>
      <c r="N72">
        <f>IF($A72="",0,IF(OR(B72="",C72="",C72=0,AND(ISNUMBER(M72),ABS(M72)&gt;K72)),1,0))</f>
        <v/>
      </c>
      <c r="O72">
        <f>IF(AND(N72=1,ABS(L72)&gt;='Control Sheet'!$C$7,F72=1),1,0)</f>
        <v/>
      </c>
      <c r="P72">
        <f>IF($A72="","",IF(F72=0,"Zero Hours",IF(J72=1,"Explained: Paired transfer",IF(AND(G72=1,H72=0,J72=0),"Explained: Starter",IF(AND(H72=1,G72=0,J72=0),"Explained: Leaver",IF(O72=1,"Review required","OK"))))))</f>
        <v/>
      </c>
      <c r="Q72">
        <f>IF(AND(F72=1,OR(C72="",C72=0),H72=0,J72=0),1,0)</f>
        <v/>
      </c>
      <c r="R72">
        <f>IF(F72=0,0,IF(P72="Review required",1,IF(AND(P72="Explained: Starter",ISNUMBER(C72),C72&gt;=1500),1,0)))</f>
        <v/>
      </c>
      <c r="S72">
        <f>IF(R72=0,"",IF(Q72=1,"High",IF(AND(P72="Explained: Starter",C72&gt;=1500),"High",IF(ABS(L72)&gt;=2000,"High",IF(ABS(L72)&gt;=500,"Medium","Low")))))</f>
        <v/>
      </c>
      <c r="T72">
        <f>SUMIFS('Payment Breakdown Prior'!$S$15:$S$164,'Payment Breakdown Prior'!$AE$15:$AE$164,$A72)</f>
        <v/>
      </c>
      <c r="U72">
        <f>SUMIFS('Payment Breakdown Current'!$S$15:$S$164,'Payment Breakdown Current'!$AE$15:$AE$164,$A72)</f>
        <v/>
      </c>
      <c r="V72">
        <f>IFERROR((U72-T72)/T72,"")</f>
        <v/>
      </c>
      <c r="W72">
        <f>(SUMIFS('Payment Breakdown Current'!$S$15:$S$164,'Payment Breakdown Current'!$AE$15:$AE$164,$A72))-(SUMIFS('Payment Breakdown Prior'!$S$15:$S$164,'Payment Breakdown Prior'!$AE$15:$AE$164,$A72))</f>
        <v/>
      </c>
      <c r="X72">
        <f>(SUMIFS('Payment Breakdown Current'!$T$15:$T$164,'Payment Breakdown Current'!$AE$15:$AE$164,$A72))-(SUMIFS('Payment Breakdown Prior'!$T$15:$T$164,'Payment Breakdown Prior'!$AE$15:$AE$164,$A72))</f>
        <v/>
      </c>
      <c r="Y72">
        <f>(SUMIFS('Payment Breakdown Current'!$U$15:$U$164,'Payment Breakdown Current'!$AE$15:$AE$164,$A72))-(SUMIFS('Payment Breakdown Prior'!$U$15:$U$164,'Payment Breakdown Prior'!$AE$15:$AE$164,$A72))</f>
        <v/>
      </c>
      <c r="Z72">
        <f>(SUMIFS('Payment Breakdown Current'!$V$15:$V$164,'Payment Breakdown Current'!$AE$15:$AE$164,$A72))-(SUMIFS('Payment Breakdown Prior'!$V$15:$V$164,'Payment Breakdown Prior'!$AE$15:$AE$164,$A72))</f>
        <v/>
      </c>
      <c r="AA72">
        <f>(SUMIFS('Payment Breakdown Current'!$W$15:$W$164,'Payment Breakdown Current'!$AE$15:$AE$164,$A72))-(SUMIFS('Payment Breakdown Prior'!$W$15:$W$164,'Payment Breakdown Prior'!$AE$15:$AE$164,$A72))</f>
        <v/>
      </c>
      <c r="AB72">
        <f>(SUMIFS('Payment Breakdown Current'!$X$15:$X$164,'Payment Breakdown Current'!$AE$15:$AE$164,$A72))-(SUMIFS('Payment Breakdown Prior'!$X$15:$X$164,'Payment Breakdown Prior'!$AE$15:$AE$164,$A72))</f>
        <v/>
      </c>
      <c r="AC72">
        <f>(SUMIFS('Payment Breakdown Current'!$Y$15:$Y$164,'Payment Breakdown Current'!$AE$15:$AE$164,$A72))-(SUMIFS('Payment Breakdown Prior'!$Y$15:$Y$164,'Payment Breakdown Prior'!$AE$15:$AE$164,$A72))</f>
        <v/>
      </c>
      <c r="AD72">
        <f>(SUMIFS('Payment Breakdown Current'!$Z$15:$Z$164,'Payment Breakdown Current'!$AE$15:$AE$164,$A72))-(SUMIFS('Payment Breakdown Prior'!$Z$15:$Z$164,'Payment Breakdown Prior'!$AE$15:$AE$164,$A72))</f>
        <v/>
      </c>
      <c r="AE72">
        <f>(SUMIFS('Payment Breakdown Current'!$AA$15:$AA$164,'Payment Breakdown Current'!$AE$15:$AE$164,$A72))-(SUMIFS('Payment Breakdown Prior'!$AA$15:$AA$164,'Payment Breakdown Prior'!$AE$15:$AE$164,$A72))</f>
        <v/>
      </c>
      <c r="AF72">
        <f>(SUMIFS('Payment Breakdown Current'!$AB$15:$AB$164,'Payment Breakdown Current'!$AE$15:$AE$164,$A72))-(SUMIFS('Payment Breakdown Prior'!$AB$15:$AB$164,'Payment Breakdown Prior'!$AE$15:$AE$164,$A72))</f>
        <v/>
      </c>
      <c r="AG72">
        <f>(SUMIFS('Payment Breakdown Current'!$AC$15:$AC$164,'Payment Breakdown Current'!$AE$15:$AE$164,$A72))-(SUMIFS('Payment Breakdown Prior'!$AC$15:$AC$164,'Payment Breakdown Prior'!$AE$15:$AE$164,$A72))</f>
        <v/>
      </c>
      <c r="AH72">
        <f>(SUMIFS('Payment Breakdown Current'!$AD$15:$AD$164,'Payment Breakdown Current'!$AE$15:$AE$164,$A72))-(SUMIFS('Payment Breakdown Prior'!$AD$15:$AD$164,'Payment Breakdown Prior'!$AE$15:$AE$164,$A72))</f>
        <v/>
      </c>
      <c r="AI72">
        <f t="array" ref="AI72">MAX(ABS(W72:AH72))</f>
        <v/>
      </c>
      <c r="AJ72">
        <f t="array" ref="AJ72">IF(AI72&lt;0.005,"",IFERROR(INDEX($W$1:$AH$1,MATCH(AI72,ABS(W72:AH72),0)),""))</f>
        <v/>
      </c>
      <c r="AK72">
        <f t="array" ref="AK72">IF(AI72&lt;0.005,"",IFERROR(INDEX(W72:AH72,MATCH(AI72,ABS(W72:AH72),0)),""))</f>
        <v/>
      </c>
      <c r="AL72">
        <f>IF(R72=1,ABS(L72)-ROW()/100000000,"")</f>
        <v/>
      </c>
    </row>
    <row r="73">
      <c r="A73">
        <f>IF('NPV Comparison'!D86="","",'NPV Comparison'!D86)</f>
        <v/>
      </c>
      <c r="B73">
        <f>IF('NPV Comparison'!E86="","",'NPV Comparison'!E86)</f>
        <v/>
      </c>
      <c r="C73">
        <f>IF('NPV Comparison'!F86="","",'NPV Comparison'!F86)</f>
        <v/>
      </c>
      <c r="D73">
        <f>IF($A73="","",IFERROR(INDEX(Structure!$E$13:$E$312,MATCH($A73,Structure!$P$13:$P$312,0)),""))</f>
        <v/>
      </c>
      <c r="E73">
        <f>IF($A73="",0,IF(COUNTIF(Structure!$P$13:$P$312,$A73)=0,0,IF(COUNTIFS(Structure!$P$13:$P$312,$A73,Structure!$N$13:$N$312,"&lt;&gt;Zero Hours")=0,1,0)))</f>
        <v/>
      </c>
      <c r="F73">
        <f>IF($A73="",0,1-E73)</f>
        <v/>
      </c>
      <c r="G73">
        <f>IF($A73="",0,IF(COUNTIF('New Starters'!$D$14:$D$73,$A73)&gt;0,1,0))</f>
        <v/>
      </c>
      <c r="H73">
        <f>IF($A73="",0,IF(COUNTIF('Leavers'!$D$12:$D$71,$A73)&gt;0,1,0))</f>
        <v/>
      </c>
      <c r="I73">
        <f>IF($A73="","",IFERROR(INDEX('New Starters'!$K$14:$K$73,MATCH($A73,'New Starters'!$D$14:$D$73,0)),IFERROR(INDEX('Leavers'!$K$12:$K$71,MATCH($A73,'Leavers'!$D$12:$D$71,0)),"")))</f>
        <v/>
      </c>
      <c r="J73">
        <f>IF(AND(G73=1,I73&lt;&gt;"",COUNTIF('Leavers'!$K$12:$K$71,I73)&gt;0),1,IF(AND(H73=1,I73&lt;&gt;"",COUNTIF('New Starters'!$K$14:$K$73,I73)&gt;0),1,0))</f>
        <v/>
      </c>
      <c r="K73">
        <f>IF(ISNUMBER(SEARCH("Head Office",D73)),'Control Sheet'!$C$6,'Control Sheet'!$C$5)</f>
        <v/>
      </c>
      <c r="L73">
        <f>IF(OR($A73="",AND(B73="",C73="")),"",IF(B73="",C73,IF(C73="",-B73,C73-B73)))</f>
        <v/>
      </c>
      <c r="M73">
        <f>IFERROR(L73/B73,"")</f>
        <v/>
      </c>
      <c r="N73">
        <f>IF($A73="",0,IF(OR(B73="",C73="",C73=0,AND(ISNUMBER(M73),ABS(M73)&gt;K73)),1,0))</f>
        <v/>
      </c>
      <c r="O73">
        <f>IF(AND(N73=1,ABS(L73)&gt;='Control Sheet'!$C$7,F73=1),1,0)</f>
        <v/>
      </c>
      <c r="P73">
        <f>IF($A73="","",IF(F73=0,"Zero Hours",IF(J73=1,"Explained: Paired transfer",IF(AND(G73=1,H73=0,J73=0),"Explained: Starter",IF(AND(H73=1,G73=0,J73=0),"Explained: Leaver",IF(O73=1,"Review required","OK"))))))</f>
        <v/>
      </c>
      <c r="Q73">
        <f>IF(AND(F73=1,OR(C73="",C73=0),H73=0,J73=0),1,0)</f>
        <v/>
      </c>
      <c r="R73">
        <f>IF(F73=0,0,IF(P73="Review required",1,IF(AND(P73="Explained: Starter",ISNUMBER(C73),C73&gt;=1500),1,0)))</f>
        <v/>
      </c>
      <c r="S73">
        <f>IF(R73=0,"",IF(Q73=1,"High",IF(AND(P73="Explained: Starter",C73&gt;=1500),"High",IF(ABS(L73)&gt;=2000,"High",IF(ABS(L73)&gt;=500,"Medium","Low")))))</f>
        <v/>
      </c>
      <c r="T73">
        <f>SUMIFS('Payment Breakdown Prior'!$S$15:$S$164,'Payment Breakdown Prior'!$AE$15:$AE$164,$A73)</f>
        <v/>
      </c>
      <c r="U73">
        <f>SUMIFS('Payment Breakdown Current'!$S$15:$S$164,'Payment Breakdown Current'!$AE$15:$AE$164,$A73)</f>
        <v/>
      </c>
      <c r="V73">
        <f>IFERROR((U73-T73)/T73,"")</f>
        <v/>
      </c>
      <c r="W73">
        <f>(SUMIFS('Payment Breakdown Current'!$S$15:$S$164,'Payment Breakdown Current'!$AE$15:$AE$164,$A73))-(SUMIFS('Payment Breakdown Prior'!$S$15:$S$164,'Payment Breakdown Prior'!$AE$15:$AE$164,$A73))</f>
        <v/>
      </c>
      <c r="X73">
        <f>(SUMIFS('Payment Breakdown Current'!$T$15:$T$164,'Payment Breakdown Current'!$AE$15:$AE$164,$A73))-(SUMIFS('Payment Breakdown Prior'!$T$15:$T$164,'Payment Breakdown Prior'!$AE$15:$AE$164,$A73))</f>
        <v/>
      </c>
      <c r="Y73">
        <f>(SUMIFS('Payment Breakdown Current'!$U$15:$U$164,'Payment Breakdown Current'!$AE$15:$AE$164,$A73))-(SUMIFS('Payment Breakdown Prior'!$U$15:$U$164,'Payment Breakdown Prior'!$AE$15:$AE$164,$A73))</f>
        <v/>
      </c>
      <c r="Z73">
        <f>(SUMIFS('Payment Breakdown Current'!$V$15:$V$164,'Payment Breakdown Current'!$AE$15:$AE$164,$A73))-(SUMIFS('Payment Breakdown Prior'!$V$15:$V$164,'Payment Breakdown Prior'!$AE$15:$AE$164,$A73))</f>
        <v/>
      </c>
      <c r="AA73">
        <f>(SUMIFS('Payment Breakdown Current'!$W$15:$W$164,'Payment Breakdown Current'!$AE$15:$AE$164,$A73))-(SUMIFS('Payment Breakdown Prior'!$W$15:$W$164,'Payment Breakdown Prior'!$AE$15:$AE$164,$A73))</f>
        <v/>
      </c>
      <c r="AB73">
        <f>(SUMIFS('Payment Breakdown Current'!$X$15:$X$164,'Payment Breakdown Current'!$AE$15:$AE$164,$A73))-(SUMIFS('Payment Breakdown Prior'!$X$15:$X$164,'Payment Breakdown Prior'!$AE$15:$AE$164,$A73))</f>
        <v/>
      </c>
      <c r="AC73">
        <f>(SUMIFS('Payment Breakdown Current'!$Y$15:$Y$164,'Payment Breakdown Current'!$AE$15:$AE$164,$A73))-(SUMIFS('Payment Breakdown Prior'!$Y$15:$Y$164,'Payment Breakdown Prior'!$AE$15:$AE$164,$A73))</f>
        <v/>
      </c>
      <c r="AD73">
        <f>(SUMIFS('Payment Breakdown Current'!$Z$15:$Z$164,'Payment Breakdown Current'!$AE$15:$AE$164,$A73))-(SUMIFS('Payment Breakdown Prior'!$Z$15:$Z$164,'Payment Breakdown Prior'!$AE$15:$AE$164,$A73))</f>
        <v/>
      </c>
      <c r="AE73">
        <f>(SUMIFS('Payment Breakdown Current'!$AA$15:$AA$164,'Payment Breakdown Current'!$AE$15:$AE$164,$A73))-(SUMIFS('Payment Breakdown Prior'!$AA$15:$AA$164,'Payment Breakdown Prior'!$AE$15:$AE$164,$A73))</f>
        <v/>
      </c>
      <c r="AF73">
        <f>(SUMIFS('Payment Breakdown Current'!$AB$15:$AB$164,'Payment Breakdown Current'!$AE$15:$AE$164,$A73))-(SUMIFS('Payment Breakdown Prior'!$AB$15:$AB$164,'Payment Breakdown Prior'!$AE$15:$AE$164,$A73))</f>
        <v/>
      </c>
      <c r="AG73">
        <f>(SUMIFS('Payment Breakdown Current'!$AC$15:$AC$164,'Payment Breakdown Current'!$AE$15:$AE$164,$A73))-(SUMIFS('Payment Breakdown Prior'!$AC$15:$AC$164,'Payment Breakdown Prior'!$AE$15:$AE$164,$A73))</f>
        <v/>
      </c>
      <c r="AH73">
        <f>(SUMIFS('Payment Breakdown Current'!$AD$15:$AD$164,'Payment Breakdown Current'!$AE$15:$AE$164,$A73))-(SUMIFS('Payment Breakdown Prior'!$AD$15:$AD$164,'Payment Breakdown Prior'!$AE$15:$AE$164,$A73))</f>
        <v/>
      </c>
      <c r="AI73">
        <f t="array" ref="AI73">MAX(ABS(W73:AH73))</f>
        <v/>
      </c>
      <c r="AJ73">
        <f t="array" ref="AJ73">IF(AI73&lt;0.005,"",IFERROR(INDEX($W$1:$AH$1,MATCH(AI73,ABS(W73:AH73),0)),""))</f>
        <v/>
      </c>
      <c r="AK73">
        <f t="array" ref="AK73">IF(AI73&lt;0.005,"",IFERROR(INDEX(W73:AH73,MATCH(AI73,ABS(W73:AH73),0)),""))</f>
        <v/>
      </c>
      <c r="AL73">
        <f>IF(R73=1,ABS(L73)-ROW()/100000000,"")</f>
        <v/>
      </c>
    </row>
    <row r="74">
      <c r="A74">
        <f>IF('NPV Comparison'!D87="","",'NPV Comparison'!D87)</f>
        <v/>
      </c>
      <c r="B74">
        <f>IF('NPV Comparison'!E87="","",'NPV Comparison'!E87)</f>
        <v/>
      </c>
      <c r="C74">
        <f>IF('NPV Comparison'!F87="","",'NPV Comparison'!F87)</f>
        <v/>
      </c>
      <c r="D74">
        <f>IF($A74="","",IFERROR(INDEX(Structure!$E$13:$E$312,MATCH($A74,Structure!$P$13:$P$312,0)),""))</f>
        <v/>
      </c>
      <c r="E74">
        <f>IF($A74="",0,IF(COUNTIF(Structure!$P$13:$P$312,$A74)=0,0,IF(COUNTIFS(Structure!$P$13:$P$312,$A74,Structure!$N$13:$N$312,"&lt;&gt;Zero Hours")=0,1,0)))</f>
        <v/>
      </c>
      <c r="F74">
        <f>IF($A74="",0,1-E74)</f>
        <v/>
      </c>
      <c r="G74">
        <f>IF($A74="",0,IF(COUNTIF('New Starters'!$D$14:$D$73,$A74)&gt;0,1,0))</f>
        <v/>
      </c>
      <c r="H74">
        <f>IF($A74="",0,IF(COUNTIF('Leavers'!$D$12:$D$71,$A74)&gt;0,1,0))</f>
        <v/>
      </c>
      <c r="I74">
        <f>IF($A74="","",IFERROR(INDEX('New Starters'!$K$14:$K$73,MATCH($A74,'New Starters'!$D$14:$D$73,0)),IFERROR(INDEX('Leavers'!$K$12:$K$71,MATCH($A74,'Leavers'!$D$12:$D$71,0)),"")))</f>
        <v/>
      </c>
      <c r="J74">
        <f>IF(AND(G74=1,I74&lt;&gt;"",COUNTIF('Leavers'!$K$12:$K$71,I74)&gt;0),1,IF(AND(H74=1,I74&lt;&gt;"",COUNTIF('New Starters'!$K$14:$K$73,I74)&gt;0),1,0))</f>
        <v/>
      </c>
      <c r="K74">
        <f>IF(ISNUMBER(SEARCH("Head Office",D74)),'Control Sheet'!$C$6,'Control Sheet'!$C$5)</f>
        <v/>
      </c>
      <c r="L74">
        <f>IF(OR($A74="",AND(B74="",C74="")),"",IF(B74="",C74,IF(C74="",-B74,C74-B74)))</f>
        <v/>
      </c>
      <c r="M74">
        <f>IFERROR(L74/B74,"")</f>
        <v/>
      </c>
      <c r="N74">
        <f>IF($A74="",0,IF(OR(B74="",C74="",C74=0,AND(ISNUMBER(M74),ABS(M74)&gt;K74)),1,0))</f>
        <v/>
      </c>
      <c r="O74">
        <f>IF(AND(N74=1,ABS(L74)&gt;='Control Sheet'!$C$7,F74=1),1,0)</f>
        <v/>
      </c>
      <c r="P74">
        <f>IF($A74="","",IF(F74=0,"Zero Hours",IF(J74=1,"Explained: Paired transfer",IF(AND(G74=1,H74=0,J74=0),"Explained: Starter",IF(AND(H74=1,G74=0,J74=0),"Explained: Leaver",IF(O74=1,"Review required","OK"))))))</f>
        <v/>
      </c>
      <c r="Q74">
        <f>IF(AND(F74=1,OR(C74="",C74=0),H74=0,J74=0),1,0)</f>
        <v/>
      </c>
      <c r="R74">
        <f>IF(F74=0,0,IF(P74="Review required",1,IF(AND(P74="Explained: Starter",ISNUMBER(C74),C74&gt;=1500),1,0)))</f>
        <v/>
      </c>
      <c r="S74">
        <f>IF(R74=0,"",IF(Q74=1,"High",IF(AND(P74="Explained: Starter",C74&gt;=1500),"High",IF(ABS(L74)&gt;=2000,"High",IF(ABS(L74)&gt;=500,"Medium","Low")))))</f>
        <v/>
      </c>
      <c r="T74">
        <f>SUMIFS('Payment Breakdown Prior'!$S$15:$S$164,'Payment Breakdown Prior'!$AE$15:$AE$164,$A74)</f>
        <v/>
      </c>
      <c r="U74">
        <f>SUMIFS('Payment Breakdown Current'!$S$15:$S$164,'Payment Breakdown Current'!$AE$15:$AE$164,$A74)</f>
        <v/>
      </c>
      <c r="V74">
        <f>IFERROR((U74-T74)/T74,"")</f>
        <v/>
      </c>
      <c r="W74">
        <f>(SUMIFS('Payment Breakdown Current'!$S$15:$S$164,'Payment Breakdown Current'!$AE$15:$AE$164,$A74))-(SUMIFS('Payment Breakdown Prior'!$S$15:$S$164,'Payment Breakdown Prior'!$AE$15:$AE$164,$A74))</f>
        <v/>
      </c>
      <c r="X74">
        <f>(SUMIFS('Payment Breakdown Current'!$T$15:$T$164,'Payment Breakdown Current'!$AE$15:$AE$164,$A74))-(SUMIFS('Payment Breakdown Prior'!$T$15:$T$164,'Payment Breakdown Prior'!$AE$15:$AE$164,$A74))</f>
        <v/>
      </c>
      <c r="Y74">
        <f>(SUMIFS('Payment Breakdown Current'!$U$15:$U$164,'Payment Breakdown Current'!$AE$15:$AE$164,$A74))-(SUMIFS('Payment Breakdown Prior'!$U$15:$U$164,'Payment Breakdown Prior'!$AE$15:$AE$164,$A74))</f>
        <v/>
      </c>
      <c r="Z74">
        <f>(SUMIFS('Payment Breakdown Current'!$V$15:$V$164,'Payment Breakdown Current'!$AE$15:$AE$164,$A74))-(SUMIFS('Payment Breakdown Prior'!$V$15:$V$164,'Payment Breakdown Prior'!$AE$15:$AE$164,$A74))</f>
        <v/>
      </c>
      <c r="AA74">
        <f>(SUMIFS('Payment Breakdown Current'!$W$15:$W$164,'Payment Breakdown Current'!$AE$15:$AE$164,$A74))-(SUMIFS('Payment Breakdown Prior'!$W$15:$W$164,'Payment Breakdown Prior'!$AE$15:$AE$164,$A74))</f>
        <v/>
      </c>
      <c r="AB74">
        <f>(SUMIFS('Payment Breakdown Current'!$X$15:$X$164,'Payment Breakdown Current'!$AE$15:$AE$164,$A74))-(SUMIFS('Payment Breakdown Prior'!$X$15:$X$164,'Payment Breakdown Prior'!$AE$15:$AE$164,$A74))</f>
        <v/>
      </c>
      <c r="AC74">
        <f>(SUMIFS('Payment Breakdown Current'!$Y$15:$Y$164,'Payment Breakdown Current'!$AE$15:$AE$164,$A74))-(SUMIFS('Payment Breakdown Prior'!$Y$15:$Y$164,'Payment Breakdown Prior'!$AE$15:$AE$164,$A74))</f>
        <v/>
      </c>
      <c r="AD74">
        <f>(SUMIFS('Payment Breakdown Current'!$Z$15:$Z$164,'Payment Breakdown Current'!$AE$15:$AE$164,$A74))-(SUMIFS('Payment Breakdown Prior'!$Z$15:$Z$164,'Payment Breakdown Prior'!$AE$15:$AE$164,$A74))</f>
        <v/>
      </c>
      <c r="AE74">
        <f>(SUMIFS('Payment Breakdown Current'!$AA$15:$AA$164,'Payment Breakdown Current'!$AE$15:$AE$164,$A74))-(SUMIFS('Payment Breakdown Prior'!$AA$15:$AA$164,'Payment Breakdown Prior'!$AE$15:$AE$164,$A74))</f>
        <v/>
      </c>
      <c r="AF74">
        <f>(SUMIFS('Payment Breakdown Current'!$AB$15:$AB$164,'Payment Breakdown Current'!$AE$15:$AE$164,$A74))-(SUMIFS('Payment Breakdown Prior'!$AB$15:$AB$164,'Payment Breakdown Prior'!$AE$15:$AE$164,$A74))</f>
        <v/>
      </c>
      <c r="AG74">
        <f>(SUMIFS('Payment Breakdown Current'!$AC$15:$AC$164,'Payment Breakdown Current'!$AE$15:$AE$164,$A74))-(SUMIFS('Payment Breakdown Prior'!$AC$15:$AC$164,'Payment Breakdown Prior'!$AE$15:$AE$164,$A74))</f>
        <v/>
      </c>
      <c r="AH74">
        <f>(SUMIFS('Payment Breakdown Current'!$AD$15:$AD$164,'Payment Breakdown Current'!$AE$15:$AE$164,$A74))-(SUMIFS('Payment Breakdown Prior'!$AD$15:$AD$164,'Payment Breakdown Prior'!$AE$15:$AE$164,$A74))</f>
        <v/>
      </c>
      <c r="AI74">
        <f t="array" ref="AI74">MAX(ABS(W74:AH74))</f>
        <v/>
      </c>
      <c r="AJ74">
        <f t="array" ref="AJ74">IF(AI74&lt;0.005,"",IFERROR(INDEX($W$1:$AH$1,MATCH(AI74,ABS(W74:AH74),0)),""))</f>
        <v/>
      </c>
      <c r="AK74">
        <f t="array" ref="AK74">IF(AI74&lt;0.005,"",IFERROR(INDEX(W74:AH74,MATCH(AI74,ABS(W74:AH74),0)),""))</f>
        <v/>
      </c>
      <c r="AL74">
        <f>IF(R74=1,ABS(L74)-ROW()/100000000,"")</f>
        <v/>
      </c>
    </row>
    <row r="75">
      <c r="A75">
        <f>IF('NPV Comparison'!D88="","",'NPV Comparison'!D88)</f>
        <v/>
      </c>
      <c r="B75">
        <f>IF('NPV Comparison'!E88="","",'NPV Comparison'!E88)</f>
        <v/>
      </c>
      <c r="C75">
        <f>IF('NPV Comparison'!F88="","",'NPV Comparison'!F88)</f>
        <v/>
      </c>
      <c r="D75">
        <f>IF($A75="","",IFERROR(INDEX(Structure!$E$13:$E$312,MATCH($A75,Structure!$P$13:$P$312,0)),""))</f>
        <v/>
      </c>
      <c r="E75">
        <f>IF($A75="",0,IF(COUNTIF(Structure!$P$13:$P$312,$A75)=0,0,IF(COUNTIFS(Structure!$P$13:$P$312,$A75,Structure!$N$13:$N$312,"&lt;&gt;Zero Hours")=0,1,0)))</f>
        <v/>
      </c>
      <c r="F75">
        <f>IF($A75="",0,1-E75)</f>
        <v/>
      </c>
      <c r="G75">
        <f>IF($A75="",0,IF(COUNTIF('New Starters'!$D$14:$D$73,$A75)&gt;0,1,0))</f>
        <v/>
      </c>
      <c r="H75">
        <f>IF($A75="",0,IF(COUNTIF('Leavers'!$D$12:$D$71,$A75)&gt;0,1,0))</f>
        <v/>
      </c>
      <c r="I75">
        <f>IF($A75="","",IFERROR(INDEX('New Starters'!$K$14:$K$73,MATCH($A75,'New Starters'!$D$14:$D$73,0)),IFERROR(INDEX('Leavers'!$K$12:$K$71,MATCH($A75,'Leavers'!$D$12:$D$71,0)),"")))</f>
        <v/>
      </c>
      <c r="J75">
        <f>IF(AND(G75=1,I75&lt;&gt;"",COUNTIF('Leavers'!$K$12:$K$71,I75)&gt;0),1,IF(AND(H75=1,I75&lt;&gt;"",COUNTIF('New Starters'!$K$14:$K$73,I75)&gt;0),1,0))</f>
        <v/>
      </c>
      <c r="K75">
        <f>IF(ISNUMBER(SEARCH("Head Office",D75)),'Control Sheet'!$C$6,'Control Sheet'!$C$5)</f>
        <v/>
      </c>
      <c r="L75">
        <f>IF(OR($A75="",AND(B75="",C75="")),"",IF(B75="",C75,IF(C75="",-B75,C75-B75)))</f>
        <v/>
      </c>
      <c r="M75">
        <f>IFERROR(L75/B75,"")</f>
        <v/>
      </c>
      <c r="N75">
        <f>IF($A75="",0,IF(OR(B75="",C75="",C75=0,AND(ISNUMBER(M75),ABS(M75)&gt;K75)),1,0))</f>
        <v/>
      </c>
      <c r="O75">
        <f>IF(AND(N75=1,ABS(L75)&gt;='Control Sheet'!$C$7,F75=1),1,0)</f>
        <v/>
      </c>
      <c r="P75">
        <f>IF($A75="","",IF(F75=0,"Zero Hours",IF(J75=1,"Explained: Paired transfer",IF(AND(G75=1,H75=0,J75=0),"Explained: Starter",IF(AND(H75=1,G75=0,J75=0),"Explained: Leaver",IF(O75=1,"Review required","OK"))))))</f>
        <v/>
      </c>
      <c r="Q75">
        <f>IF(AND(F75=1,OR(C75="",C75=0),H75=0,J75=0),1,0)</f>
        <v/>
      </c>
      <c r="R75">
        <f>IF(F75=0,0,IF(P75="Review required",1,IF(AND(P75="Explained: Starter",ISNUMBER(C75),C75&gt;=1500),1,0)))</f>
        <v/>
      </c>
      <c r="S75">
        <f>IF(R75=0,"",IF(Q75=1,"High",IF(AND(P75="Explained: Starter",C75&gt;=1500),"High",IF(ABS(L75)&gt;=2000,"High",IF(ABS(L75)&gt;=500,"Medium","Low")))))</f>
        <v/>
      </c>
      <c r="T75">
        <f>SUMIFS('Payment Breakdown Prior'!$S$15:$S$164,'Payment Breakdown Prior'!$AE$15:$AE$164,$A75)</f>
        <v/>
      </c>
      <c r="U75">
        <f>SUMIFS('Payment Breakdown Current'!$S$15:$S$164,'Payment Breakdown Current'!$AE$15:$AE$164,$A75)</f>
        <v/>
      </c>
      <c r="V75">
        <f>IFERROR((U75-T75)/T75,"")</f>
        <v/>
      </c>
      <c r="W75">
        <f>(SUMIFS('Payment Breakdown Current'!$S$15:$S$164,'Payment Breakdown Current'!$AE$15:$AE$164,$A75))-(SUMIFS('Payment Breakdown Prior'!$S$15:$S$164,'Payment Breakdown Prior'!$AE$15:$AE$164,$A75))</f>
        <v/>
      </c>
      <c r="X75">
        <f>(SUMIFS('Payment Breakdown Current'!$T$15:$T$164,'Payment Breakdown Current'!$AE$15:$AE$164,$A75))-(SUMIFS('Payment Breakdown Prior'!$T$15:$T$164,'Payment Breakdown Prior'!$AE$15:$AE$164,$A75))</f>
        <v/>
      </c>
      <c r="Y75">
        <f>(SUMIFS('Payment Breakdown Current'!$U$15:$U$164,'Payment Breakdown Current'!$AE$15:$AE$164,$A75))-(SUMIFS('Payment Breakdown Prior'!$U$15:$U$164,'Payment Breakdown Prior'!$AE$15:$AE$164,$A75))</f>
        <v/>
      </c>
      <c r="Z75">
        <f>(SUMIFS('Payment Breakdown Current'!$V$15:$V$164,'Payment Breakdown Current'!$AE$15:$AE$164,$A75))-(SUMIFS('Payment Breakdown Prior'!$V$15:$V$164,'Payment Breakdown Prior'!$AE$15:$AE$164,$A75))</f>
        <v/>
      </c>
      <c r="AA75">
        <f>(SUMIFS('Payment Breakdown Current'!$W$15:$W$164,'Payment Breakdown Current'!$AE$15:$AE$164,$A75))-(SUMIFS('Payment Breakdown Prior'!$W$15:$W$164,'Payment Breakdown Prior'!$AE$15:$AE$164,$A75))</f>
        <v/>
      </c>
      <c r="AB75">
        <f>(SUMIFS('Payment Breakdown Current'!$X$15:$X$164,'Payment Breakdown Current'!$AE$15:$AE$164,$A75))-(SUMIFS('Payment Breakdown Prior'!$X$15:$X$164,'Payment Breakdown Prior'!$AE$15:$AE$164,$A75))</f>
        <v/>
      </c>
      <c r="AC75">
        <f>(SUMIFS('Payment Breakdown Current'!$Y$15:$Y$164,'Payment Breakdown Current'!$AE$15:$AE$164,$A75))-(SUMIFS('Payment Breakdown Prior'!$Y$15:$Y$164,'Payment Breakdown Prior'!$AE$15:$AE$164,$A75))</f>
        <v/>
      </c>
      <c r="AD75">
        <f>(SUMIFS('Payment Breakdown Current'!$Z$15:$Z$164,'Payment Breakdown Current'!$AE$15:$AE$164,$A75))-(SUMIFS('Payment Breakdown Prior'!$Z$15:$Z$164,'Payment Breakdown Prior'!$AE$15:$AE$164,$A75))</f>
        <v/>
      </c>
      <c r="AE75">
        <f>(SUMIFS('Payment Breakdown Current'!$AA$15:$AA$164,'Payment Breakdown Current'!$AE$15:$AE$164,$A75))-(SUMIFS('Payment Breakdown Prior'!$AA$15:$AA$164,'Payment Breakdown Prior'!$AE$15:$AE$164,$A75))</f>
        <v/>
      </c>
      <c r="AF75">
        <f>(SUMIFS('Payment Breakdown Current'!$AB$15:$AB$164,'Payment Breakdown Current'!$AE$15:$AE$164,$A75))-(SUMIFS('Payment Breakdown Prior'!$AB$15:$AB$164,'Payment Breakdown Prior'!$AE$15:$AE$164,$A75))</f>
        <v/>
      </c>
      <c r="AG75">
        <f>(SUMIFS('Payment Breakdown Current'!$AC$15:$AC$164,'Payment Breakdown Current'!$AE$15:$AE$164,$A75))-(SUMIFS('Payment Breakdown Prior'!$AC$15:$AC$164,'Payment Breakdown Prior'!$AE$15:$AE$164,$A75))</f>
        <v/>
      </c>
      <c r="AH75">
        <f>(SUMIFS('Payment Breakdown Current'!$AD$15:$AD$164,'Payment Breakdown Current'!$AE$15:$AE$164,$A75))-(SUMIFS('Payment Breakdown Prior'!$AD$15:$AD$164,'Payment Breakdown Prior'!$AE$15:$AE$164,$A75))</f>
        <v/>
      </c>
      <c r="AI75">
        <f t="array" ref="AI75">MAX(ABS(W75:AH75))</f>
        <v/>
      </c>
      <c r="AJ75">
        <f t="array" ref="AJ75">IF(AI75&lt;0.005,"",IFERROR(INDEX($W$1:$AH$1,MATCH(AI75,ABS(W75:AH75),0)),""))</f>
        <v/>
      </c>
      <c r="AK75">
        <f t="array" ref="AK75">IF(AI75&lt;0.005,"",IFERROR(INDEX(W75:AH75,MATCH(AI75,ABS(W75:AH75),0)),""))</f>
        <v/>
      </c>
      <c r="AL75">
        <f>IF(R75=1,ABS(L75)-ROW()/100000000,"")</f>
        <v/>
      </c>
    </row>
    <row r="76">
      <c r="A76">
        <f>IF('NPV Comparison'!D89="","",'NPV Comparison'!D89)</f>
        <v/>
      </c>
      <c r="B76">
        <f>IF('NPV Comparison'!E89="","",'NPV Comparison'!E89)</f>
        <v/>
      </c>
      <c r="C76">
        <f>IF('NPV Comparison'!F89="","",'NPV Comparison'!F89)</f>
        <v/>
      </c>
      <c r="D76">
        <f>IF($A76="","",IFERROR(INDEX(Structure!$E$13:$E$312,MATCH($A76,Structure!$P$13:$P$312,0)),""))</f>
        <v/>
      </c>
      <c r="E76">
        <f>IF($A76="",0,IF(COUNTIF(Structure!$P$13:$P$312,$A76)=0,0,IF(COUNTIFS(Structure!$P$13:$P$312,$A76,Structure!$N$13:$N$312,"&lt;&gt;Zero Hours")=0,1,0)))</f>
        <v/>
      </c>
      <c r="F76">
        <f>IF($A76="",0,1-E76)</f>
        <v/>
      </c>
      <c r="G76">
        <f>IF($A76="",0,IF(COUNTIF('New Starters'!$D$14:$D$73,$A76)&gt;0,1,0))</f>
        <v/>
      </c>
      <c r="H76">
        <f>IF($A76="",0,IF(COUNTIF('Leavers'!$D$12:$D$71,$A76)&gt;0,1,0))</f>
        <v/>
      </c>
      <c r="I76">
        <f>IF($A76="","",IFERROR(INDEX('New Starters'!$K$14:$K$73,MATCH($A76,'New Starters'!$D$14:$D$73,0)),IFERROR(INDEX('Leavers'!$K$12:$K$71,MATCH($A76,'Leavers'!$D$12:$D$71,0)),"")))</f>
        <v/>
      </c>
      <c r="J76">
        <f>IF(AND(G76=1,I76&lt;&gt;"",COUNTIF('Leavers'!$K$12:$K$71,I76)&gt;0),1,IF(AND(H76=1,I76&lt;&gt;"",COUNTIF('New Starters'!$K$14:$K$73,I76)&gt;0),1,0))</f>
        <v/>
      </c>
      <c r="K76">
        <f>IF(ISNUMBER(SEARCH("Head Office",D76)),'Control Sheet'!$C$6,'Control Sheet'!$C$5)</f>
        <v/>
      </c>
      <c r="L76">
        <f>IF(OR($A76="",AND(B76="",C76="")),"",IF(B76="",C76,IF(C76="",-B76,C76-B76)))</f>
        <v/>
      </c>
      <c r="M76">
        <f>IFERROR(L76/B76,"")</f>
        <v/>
      </c>
      <c r="N76">
        <f>IF($A76="",0,IF(OR(B76="",C76="",C76=0,AND(ISNUMBER(M76),ABS(M76)&gt;K76)),1,0))</f>
        <v/>
      </c>
      <c r="O76">
        <f>IF(AND(N76=1,ABS(L76)&gt;='Control Sheet'!$C$7,F76=1),1,0)</f>
        <v/>
      </c>
      <c r="P76">
        <f>IF($A76="","",IF(F76=0,"Zero Hours",IF(J76=1,"Explained: Paired transfer",IF(AND(G76=1,H76=0,J76=0),"Explained: Starter",IF(AND(H76=1,G76=0,J76=0),"Explained: Leaver",IF(O76=1,"Review required","OK"))))))</f>
        <v/>
      </c>
      <c r="Q76">
        <f>IF(AND(F76=1,OR(C76="",C76=0),H76=0,J76=0),1,0)</f>
        <v/>
      </c>
      <c r="R76">
        <f>IF(F76=0,0,IF(P76="Review required",1,IF(AND(P76="Explained: Starter",ISNUMBER(C76),C76&gt;=1500),1,0)))</f>
        <v/>
      </c>
      <c r="S76">
        <f>IF(R76=0,"",IF(Q76=1,"High",IF(AND(P76="Explained: Starter",C76&gt;=1500),"High",IF(ABS(L76)&gt;=2000,"High",IF(ABS(L76)&gt;=500,"Medium","Low")))))</f>
        <v/>
      </c>
      <c r="T76">
        <f>SUMIFS('Payment Breakdown Prior'!$S$15:$S$164,'Payment Breakdown Prior'!$AE$15:$AE$164,$A76)</f>
        <v/>
      </c>
      <c r="U76">
        <f>SUMIFS('Payment Breakdown Current'!$S$15:$S$164,'Payment Breakdown Current'!$AE$15:$AE$164,$A76)</f>
        <v/>
      </c>
      <c r="V76">
        <f>IFERROR((U76-T76)/T76,"")</f>
        <v/>
      </c>
      <c r="W76">
        <f>(SUMIFS('Payment Breakdown Current'!$S$15:$S$164,'Payment Breakdown Current'!$AE$15:$AE$164,$A76))-(SUMIFS('Payment Breakdown Prior'!$S$15:$S$164,'Payment Breakdown Prior'!$AE$15:$AE$164,$A76))</f>
        <v/>
      </c>
      <c r="X76">
        <f>(SUMIFS('Payment Breakdown Current'!$T$15:$T$164,'Payment Breakdown Current'!$AE$15:$AE$164,$A76))-(SUMIFS('Payment Breakdown Prior'!$T$15:$T$164,'Payment Breakdown Prior'!$AE$15:$AE$164,$A76))</f>
        <v/>
      </c>
      <c r="Y76">
        <f>(SUMIFS('Payment Breakdown Current'!$U$15:$U$164,'Payment Breakdown Current'!$AE$15:$AE$164,$A76))-(SUMIFS('Payment Breakdown Prior'!$U$15:$U$164,'Payment Breakdown Prior'!$AE$15:$AE$164,$A76))</f>
        <v/>
      </c>
      <c r="Z76">
        <f>(SUMIFS('Payment Breakdown Current'!$V$15:$V$164,'Payment Breakdown Current'!$AE$15:$AE$164,$A76))-(SUMIFS('Payment Breakdown Prior'!$V$15:$V$164,'Payment Breakdown Prior'!$AE$15:$AE$164,$A76))</f>
        <v/>
      </c>
      <c r="AA76">
        <f>(SUMIFS('Payment Breakdown Current'!$W$15:$W$164,'Payment Breakdown Current'!$AE$15:$AE$164,$A76))-(SUMIFS('Payment Breakdown Prior'!$W$15:$W$164,'Payment Breakdown Prior'!$AE$15:$AE$164,$A76))</f>
        <v/>
      </c>
      <c r="AB76">
        <f>(SUMIFS('Payment Breakdown Current'!$X$15:$X$164,'Payment Breakdown Current'!$AE$15:$AE$164,$A76))-(SUMIFS('Payment Breakdown Prior'!$X$15:$X$164,'Payment Breakdown Prior'!$AE$15:$AE$164,$A76))</f>
        <v/>
      </c>
      <c r="AC76">
        <f>(SUMIFS('Payment Breakdown Current'!$Y$15:$Y$164,'Payment Breakdown Current'!$AE$15:$AE$164,$A76))-(SUMIFS('Payment Breakdown Prior'!$Y$15:$Y$164,'Payment Breakdown Prior'!$AE$15:$AE$164,$A76))</f>
        <v/>
      </c>
      <c r="AD76">
        <f>(SUMIFS('Payment Breakdown Current'!$Z$15:$Z$164,'Payment Breakdown Current'!$AE$15:$AE$164,$A76))-(SUMIFS('Payment Breakdown Prior'!$Z$15:$Z$164,'Payment Breakdown Prior'!$AE$15:$AE$164,$A76))</f>
        <v/>
      </c>
      <c r="AE76">
        <f>(SUMIFS('Payment Breakdown Current'!$AA$15:$AA$164,'Payment Breakdown Current'!$AE$15:$AE$164,$A76))-(SUMIFS('Payment Breakdown Prior'!$AA$15:$AA$164,'Payment Breakdown Prior'!$AE$15:$AE$164,$A76))</f>
        <v/>
      </c>
      <c r="AF76">
        <f>(SUMIFS('Payment Breakdown Current'!$AB$15:$AB$164,'Payment Breakdown Current'!$AE$15:$AE$164,$A76))-(SUMIFS('Payment Breakdown Prior'!$AB$15:$AB$164,'Payment Breakdown Prior'!$AE$15:$AE$164,$A76))</f>
        <v/>
      </c>
      <c r="AG76">
        <f>(SUMIFS('Payment Breakdown Current'!$AC$15:$AC$164,'Payment Breakdown Current'!$AE$15:$AE$164,$A76))-(SUMIFS('Payment Breakdown Prior'!$AC$15:$AC$164,'Payment Breakdown Prior'!$AE$15:$AE$164,$A76))</f>
        <v/>
      </c>
      <c r="AH76">
        <f>(SUMIFS('Payment Breakdown Current'!$AD$15:$AD$164,'Payment Breakdown Current'!$AE$15:$AE$164,$A76))-(SUMIFS('Payment Breakdown Prior'!$AD$15:$AD$164,'Payment Breakdown Prior'!$AE$15:$AE$164,$A76))</f>
        <v/>
      </c>
      <c r="AI76">
        <f t="array" ref="AI76">MAX(ABS(W76:AH76))</f>
        <v/>
      </c>
      <c r="AJ76">
        <f t="array" ref="AJ76">IF(AI76&lt;0.005,"",IFERROR(INDEX($W$1:$AH$1,MATCH(AI76,ABS(W76:AH76),0)),""))</f>
        <v/>
      </c>
      <c r="AK76">
        <f t="array" ref="AK76">IF(AI76&lt;0.005,"",IFERROR(INDEX(W76:AH76,MATCH(AI76,ABS(W76:AH76),0)),""))</f>
        <v/>
      </c>
      <c r="AL76">
        <f>IF(R76=1,ABS(L76)-ROW()/100000000,"")</f>
        <v/>
      </c>
    </row>
    <row r="77">
      <c r="A77">
        <f>IF('NPV Comparison'!D90="","",'NPV Comparison'!D90)</f>
        <v/>
      </c>
      <c r="B77">
        <f>IF('NPV Comparison'!E90="","",'NPV Comparison'!E90)</f>
        <v/>
      </c>
      <c r="C77">
        <f>IF('NPV Comparison'!F90="","",'NPV Comparison'!F90)</f>
        <v/>
      </c>
      <c r="D77">
        <f>IF($A77="","",IFERROR(INDEX(Structure!$E$13:$E$312,MATCH($A77,Structure!$P$13:$P$312,0)),""))</f>
        <v/>
      </c>
      <c r="E77">
        <f>IF($A77="",0,IF(COUNTIF(Structure!$P$13:$P$312,$A77)=0,0,IF(COUNTIFS(Structure!$P$13:$P$312,$A77,Structure!$N$13:$N$312,"&lt;&gt;Zero Hours")=0,1,0)))</f>
        <v/>
      </c>
      <c r="F77">
        <f>IF($A77="",0,1-E77)</f>
        <v/>
      </c>
      <c r="G77">
        <f>IF($A77="",0,IF(COUNTIF('New Starters'!$D$14:$D$73,$A77)&gt;0,1,0))</f>
        <v/>
      </c>
      <c r="H77">
        <f>IF($A77="",0,IF(COUNTIF('Leavers'!$D$12:$D$71,$A77)&gt;0,1,0))</f>
        <v/>
      </c>
      <c r="I77">
        <f>IF($A77="","",IFERROR(INDEX('New Starters'!$K$14:$K$73,MATCH($A77,'New Starters'!$D$14:$D$73,0)),IFERROR(INDEX('Leavers'!$K$12:$K$71,MATCH($A77,'Leavers'!$D$12:$D$71,0)),"")))</f>
        <v/>
      </c>
      <c r="J77">
        <f>IF(AND(G77=1,I77&lt;&gt;"",COUNTIF('Leavers'!$K$12:$K$71,I77)&gt;0),1,IF(AND(H77=1,I77&lt;&gt;"",COUNTIF('New Starters'!$K$14:$K$73,I77)&gt;0),1,0))</f>
        <v/>
      </c>
      <c r="K77">
        <f>IF(ISNUMBER(SEARCH("Head Office",D77)),'Control Sheet'!$C$6,'Control Sheet'!$C$5)</f>
        <v/>
      </c>
      <c r="L77">
        <f>IF(OR($A77="",AND(B77="",C77="")),"",IF(B77="",C77,IF(C77="",-B77,C77-B77)))</f>
        <v/>
      </c>
      <c r="M77">
        <f>IFERROR(L77/B77,"")</f>
        <v/>
      </c>
      <c r="N77">
        <f>IF($A77="",0,IF(OR(B77="",C77="",C77=0,AND(ISNUMBER(M77),ABS(M77)&gt;K77)),1,0))</f>
        <v/>
      </c>
      <c r="O77">
        <f>IF(AND(N77=1,ABS(L77)&gt;='Control Sheet'!$C$7,F77=1),1,0)</f>
        <v/>
      </c>
      <c r="P77">
        <f>IF($A77="","",IF(F77=0,"Zero Hours",IF(J77=1,"Explained: Paired transfer",IF(AND(G77=1,H77=0,J77=0),"Explained: Starter",IF(AND(H77=1,G77=0,J77=0),"Explained: Leaver",IF(O77=1,"Review required","OK"))))))</f>
        <v/>
      </c>
      <c r="Q77">
        <f>IF(AND(F77=1,OR(C77="",C77=0),H77=0,J77=0),1,0)</f>
        <v/>
      </c>
      <c r="R77">
        <f>IF(F77=0,0,IF(P77="Review required",1,IF(AND(P77="Explained: Starter",ISNUMBER(C77),C77&gt;=1500),1,0)))</f>
        <v/>
      </c>
      <c r="S77">
        <f>IF(R77=0,"",IF(Q77=1,"High",IF(AND(P77="Explained: Starter",C77&gt;=1500),"High",IF(ABS(L77)&gt;=2000,"High",IF(ABS(L77)&gt;=500,"Medium","Low")))))</f>
        <v/>
      </c>
      <c r="T77">
        <f>SUMIFS('Payment Breakdown Prior'!$S$15:$S$164,'Payment Breakdown Prior'!$AE$15:$AE$164,$A77)</f>
        <v/>
      </c>
      <c r="U77">
        <f>SUMIFS('Payment Breakdown Current'!$S$15:$S$164,'Payment Breakdown Current'!$AE$15:$AE$164,$A77)</f>
        <v/>
      </c>
      <c r="V77">
        <f>IFERROR((U77-T77)/T77,"")</f>
        <v/>
      </c>
      <c r="W77">
        <f>(SUMIFS('Payment Breakdown Current'!$S$15:$S$164,'Payment Breakdown Current'!$AE$15:$AE$164,$A77))-(SUMIFS('Payment Breakdown Prior'!$S$15:$S$164,'Payment Breakdown Prior'!$AE$15:$AE$164,$A77))</f>
        <v/>
      </c>
      <c r="X77">
        <f>(SUMIFS('Payment Breakdown Current'!$T$15:$T$164,'Payment Breakdown Current'!$AE$15:$AE$164,$A77))-(SUMIFS('Payment Breakdown Prior'!$T$15:$T$164,'Payment Breakdown Prior'!$AE$15:$AE$164,$A77))</f>
        <v/>
      </c>
      <c r="Y77">
        <f>(SUMIFS('Payment Breakdown Current'!$U$15:$U$164,'Payment Breakdown Current'!$AE$15:$AE$164,$A77))-(SUMIFS('Payment Breakdown Prior'!$U$15:$U$164,'Payment Breakdown Prior'!$AE$15:$AE$164,$A77))</f>
        <v/>
      </c>
      <c r="Z77">
        <f>(SUMIFS('Payment Breakdown Current'!$V$15:$V$164,'Payment Breakdown Current'!$AE$15:$AE$164,$A77))-(SUMIFS('Payment Breakdown Prior'!$V$15:$V$164,'Payment Breakdown Prior'!$AE$15:$AE$164,$A77))</f>
        <v/>
      </c>
      <c r="AA77">
        <f>(SUMIFS('Payment Breakdown Current'!$W$15:$W$164,'Payment Breakdown Current'!$AE$15:$AE$164,$A77))-(SUMIFS('Payment Breakdown Prior'!$W$15:$W$164,'Payment Breakdown Prior'!$AE$15:$AE$164,$A77))</f>
        <v/>
      </c>
      <c r="AB77">
        <f>(SUMIFS('Payment Breakdown Current'!$X$15:$X$164,'Payment Breakdown Current'!$AE$15:$AE$164,$A77))-(SUMIFS('Payment Breakdown Prior'!$X$15:$X$164,'Payment Breakdown Prior'!$AE$15:$AE$164,$A77))</f>
        <v/>
      </c>
      <c r="AC77">
        <f>(SUMIFS('Payment Breakdown Current'!$Y$15:$Y$164,'Payment Breakdown Current'!$AE$15:$AE$164,$A77))-(SUMIFS('Payment Breakdown Prior'!$Y$15:$Y$164,'Payment Breakdown Prior'!$AE$15:$AE$164,$A77))</f>
        <v/>
      </c>
      <c r="AD77">
        <f>(SUMIFS('Payment Breakdown Current'!$Z$15:$Z$164,'Payment Breakdown Current'!$AE$15:$AE$164,$A77))-(SUMIFS('Payment Breakdown Prior'!$Z$15:$Z$164,'Payment Breakdown Prior'!$AE$15:$AE$164,$A77))</f>
        <v/>
      </c>
      <c r="AE77">
        <f>(SUMIFS('Payment Breakdown Current'!$AA$15:$AA$164,'Payment Breakdown Current'!$AE$15:$AE$164,$A77))-(SUMIFS('Payment Breakdown Prior'!$AA$15:$AA$164,'Payment Breakdown Prior'!$AE$15:$AE$164,$A77))</f>
        <v/>
      </c>
      <c r="AF77">
        <f>(SUMIFS('Payment Breakdown Current'!$AB$15:$AB$164,'Payment Breakdown Current'!$AE$15:$AE$164,$A77))-(SUMIFS('Payment Breakdown Prior'!$AB$15:$AB$164,'Payment Breakdown Prior'!$AE$15:$AE$164,$A77))</f>
        <v/>
      </c>
      <c r="AG77">
        <f>(SUMIFS('Payment Breakdown Current'!$AC$15:$AC$164,'Payment Breakdown Current'!$AE$15:$AE$164,$A77))-(SUMIFS('Payment Breakdown Prior'!$AC$15:$AC$164,'Payment Breakdown Prior'!$AE$15:$AE$164,$A77))</f>
        <v/>
      </c>
      <c r="AH77">
        <f>(SUMIFS('Payment Breakdown Current'!$AD$15:$AD$164,'Payment Breakdown Current'!$AE$15:$AE$164,$A77))-(SUMIFS('Payment Breakdown Prior'!$AD$15:$AD$164,'Payment Breakdown Prior'!$AE$15:$AE$164,$A77))</f>
        <v/>
      </c>
      <c r="AI77">
        <f t="array" ref="AI77">MAX(ABS(W77:AH77))</f>
        <v/>
      </c>
      <c r="AJ77">
        <f t="array" ref="AJ77">IF(AI77&lt;0.005,"",IFERROR(INDEX($W$1:$AH$1,MATCH(AI77,ABS(W77:AH77),0)),""))</f>
        <v/>
      </c>
      <c r="AK77">
        <f t="array" ref="AK77">IF(AI77&lt;0.005,"",IFERROR(INDEX(W77:AH77,MATCH(AI77,ABS(W77:AH77),0)),""))</f>
        <v/>
      </c>
      <c r="AL77">
        <f>IF(R77=1,ABS(L77)-ROW()/100000000,"")</f>
        <v/>
      </c>
    </row>
    <row r="78">
      <c r="A78">
        <f>IF('NPV Comparison'!D91="","",'NPV Comparison'!D91)</f>
        <v/>
      </c>
      <c r="B78">
        <f>IF('NPV Comparison'!E91="","",'NPV Comparison'!E91)</f>
        <v/>
      </c>
      <c r="C78">
        <f>IF('NPV Comparison'!F91="","",'NPV Comparison'!F91)</f>
        <v/>
      </c>
      <c r="D78">
        <f>IF($A78="","",IFERROR(INDEX(Structure!$E$13:$E$312,MATCH($A78,Structure!$P$13:$P$312,0)),""))</f>
        <v/>
      </c>
      <c r="E78">
        <f>IF($A78="",0,IF(COUNTIF(Structure!$P$13:$P$312,$A78)=0,0,IF(COUNTIFS(Structure!$P$13:$P$312,$A78,Structure!$N$13:$N$312,"&lt;&gt;Zero Hours")=0,1,0)))</f>
        <v/>
      </c>
      <c r="F78">
        <f>IF($A78="",0,1-E78)</f>
        <v/>
      </c>
      <c r="G78">
        <f>IF($A78="",0,IF(COUNTIF('New Starters'!$D$14:$D$73,$A78)&gt;0,1,0))</f>
        <v/>
      </c>
      <c r="H78">
        <f>IF($A78="",0,IF(COUNTIF('Leavers'!$D$12:$D$71,$A78)&gt;0,1,0))</f>
        <v/>
      </c>
      <c r="I78">
        <f>IF($A78="","",IFERROR(INDEX('New Starters'!$K$14:$K$73,MATCH($A78,'New Starters'!$D$14:$D$73,0)),IFERROR(INDEX('Leavers'!$K$12:$K$71,MATCH($A78,'Leavers'!$D$12:$D$71,0)),"")))</f>
        <v/>
      </c>
      <c r="J78">
        <f>IF(AND(G78=1,I78&lt;&gt;"",COUNTIF('Leavers'!$K$12:$K$71,I78)&gt;0),1,IF(AND(H78=1,I78&lt;&gt;"",COUNTIF('New Starters'!$K$14:$K$73,I78)&gt;0),1,0))</f>
        <v/>
      </c>
      <c r="K78">
        <f>IF(ISNUMBER(SEARCH("Head Office",D78)),'Control Sheet'!$C$6,'Control Sheet'!$C$5)</f>
        <v/>
      </c>
      <c r="L78">
        <f>IF(OR($A78="",AND(B78="",C78="")),"",IF(B78="",C78,IF(C78="",-B78,C78-B78)))</f>
        <v/>
      </c>
      <c r="M78">
        <f>IFERROR(L78/B78,"")</f>
        <v/>
      </c>
      <c r="N78">
        <f>IF($A78="",0,IF(OR(B78="",C78="",C78=0,AND(ISNUMBER(M78),ABS(M78)&gt;K78)),1,0))</f>
        <v/>
      </c>
      <c r="O78">
        <f>IF(AND(N78=1,ABS(L78)&gt;='Control Sheet'!$C$7,F78=1),1,0)</f>
        <v/>
      </c>
      <c r="P78">
        <f>IF($A78="","",IF(F78=0,"Zero Hours",IF(J78=1,"Explained: Paired transfer",IF(AND(G78=1,H78=0,J78=0),"Explained: Starter",IF(AND(H78=1,G78=0,J78=0),"Explained: Leaver",IF(O78=1,"Review required","OK"))))))</f>
        <v/>
      </c>
      <c r="Q78">
        <f>IF(AND(F78=1,OR(C78="",C78=0),H78=0,J78=0),1,0)</f>
        <v/>
      </c>
      <c r="R78">
        <f>IF(F78=0,0,IF(P78="Review required",1,IF(AND(P78="Explained: Starter",ISNUMBER(C78),C78&gt;=1500),1,0)))</f>
        <v/>
      </c>
      <c r="S78">
        <f>IF(R78=0,"",IF(Q78=1,"High",IF(AND(P78="Explained: Starter",C78&gt;=1500),"High",IF(ABS(L78)&gt;=2000,"High",IF(ABS(L78)&gt;=500,"Medium","Low")))))</f>
        <v/>
      </c>
      <c r="T78">
        <f>SUMIFS('Payment Breakdown Prior'!$S$15:$S$164,'Payment Breakdown Prior'!$AE$15:$AE$164,$A78)</f>
        <v/>
      </c>
      <c r="U78">
        <f>SUMIFS('Payment Breakdown Current'!$S$15:$S$164,'Payment Breakdown Current'!$AE$15:$AE$164,$A78)</f>
        <v/>
      </c>
      <c r="V78">
        <f>IFERROR((U78-T78)/T78,"")</f>
        <v/>
      </c>
      <c r="W78">
        <f>(SUMIFS('Payment Breakdown Current'!$S$15:$S$164,'Payment Breakdown Current'!$AE$15:$AE$164,$A78))-(SUMIFS('Payment Breakdown Prior'!$S$15:$S$164,'Payment Breakdown Prior'!$AE$15:$AE$164,$A78))</f>
        <v/>
      </c>
      <c r="X78">
        <f>(SUMIFS('Payment Breakdown Current'!$T$15:$T$164,'Payment Breakdown Current'!$AE$15:$AE$164,$A78))-(SUMIFS('Payment Breakdown Prior'!$T$15:$T$164,'Payment Breakdown Prior'!$AE$15:$AE$164,$A78))</f>
        <v/>
      </c>
      <c r="Y78">
        <f>(SUMIFS('Payment Breakdown Current'!$U$15:$U$164,'Payment Breakdown Current'!$AE$15:$AE$164,$A78))-(SUMIFS('Payment Breakdown Prior'!$U$15:$U$164,'Payment Breakdown Prior'!$AE$15:$AE$164,$A78))</f>
        <v/>
      </c>
      <c r="Z78">
        <f>(SUMIFS('Payment Breakdown Current'!$V$15:$V$164,'Payment Breakdown Current'!$AE$15:$AE$164,$A78))-(SUMIFS('Payment Breakdown Prior'!$V$15:$V$164,'Payment Breakdown Prior'!$AE$15:$AE$164,$A78))</f>
        <v/>
      </c>
      <c r="AA78">
        <f>(SUMIFS('Payment Breakdown Current'!$W$15:$W$164,'Payment Breakdown Current'!$AE$15:$AE$164,$A78))-(SUMIFS('Payment Breakdown Prior'!$W$15:$W$164,'Payment Breakdown Prior'!$AE$15:$AE$164,$A78))</f>
        <v/>
      </c>
      <c r="AB78">
        <f>(SUMIFS('Payment Breakdown Current'!$X$15:$X$164,'Payment Breakdown Current'!$AE$15:$AE$164,$A78))-(SUMIFS('Payment Breakdown Prior'!$X$15:$X$164,'Payment Breakdown Prior'!$AE$15:$AE$164,$A78))</f>
        <v/>
      </c>
      <c r="AC78">
        <f>(SUMIFS('Payment Breakdown Current'!$Y$15:$Y$164,'Payment Breakdown Current'!$AE$15:$AE$164,$A78))-(SUMIFS('Payment Breakdown Prior'!$Y$15:$Y$164,'Payment Breakdown Prior'!$AE$15:$AE$164,$A78))</f>
        <v/>
      </c>
      <c r="AD78">
        <f>(SUMIFS('Payment Breakdown Current'!$Z$15:$Z$164,'Payment Breakdown Current'!$AE$15:$AE$164,$A78))-(SUMIFS('Payment Breakdown Prior'!$Z$15:$Z$164,'Payment Breakdown Prior'!$AE$15:$AE$164,$A78))</f>
        <v/>
      </c>
      <c r="AE78">
        <f>(SUMIFS('Payment Breakdown Current'!$AA$15:$AA$164,'Payment Breakdown Current'!$AE$15:$AE$164,$A78))-(SUMIFS('Payment Breakdown Prior'!$AA$15:$AA$164,'Payment Breakdown Prior'!$AE$15:$AE$164,$A78))</f>
        <v/>
      </c>
      <c r="AF78">
        <f>(SUMIFS('Payment Breakdown Current'!$AB$15:$AB$164,'Payment Breakdown Current'!$AE$15:$AE$164,$A78))-(SUMIFS('Payment Breakdown Prior'!$AB$15:$AB$164,'Payment Breakdown Prior'!$AE$15:$AE$164,$A78))</f>
        <v/>
      </c>
      <c r="AG78">
        <f>(SUMIFS('Payment Breakdown Current'!$AC$15:$AC$164,'Payment Breakdown Current'!$AE$15:$AE$164,$A78))-(SUMIFS('Payment Breakdown Prior'!$AC$15:$AC$164,'Payment Breakdown Prior'!$AE$15:$AE$164,$A78))</f>
        <v/>
      </c>
      <c r="AH78">
        <f>(SUMIFS('Payment Breakdown Current'!$AD$15:$AD$164,'Payment Breakdown Current'!$AE$15:$AE$164,$A78))-(SUMIFS('Payment Breakdown Prior'!$AD$15:$AD$164,'Payment Breakdown Prior'!$AE$15:$AE$164,$A78))</f>
        <v/>
      </c>
      <c r="AI78">
        <f t="array" ref="AI78">MAX(ABS(W78:AH78))</f>
        <v/>
      </c>
      <c r="AJ78">
        <f t="array" ref="AJ78">IF(AI78&lt;0.005,"",IFERROR(INDEX($W$1:$AH$1,MATCH(AI78,ABS(W78:AH78),0)),""))</f>
        <v/>
      </c>
      <c r="AK78">
        <f t="array" ref="AK78">IF(AI78&lt;0.005,"",IFERROR(INDEX(W78:AH78,MATCH(AI78,ABS(W78:AH78),0)),""))</f>
        <v/>
      </c>
      <c r="AL78">
        <f>IF(R78=1,ABS(L78)-ROW()/100000000,"")</f>
        <v/>
      </c>
    </row>
    <row r="79">
      <c r="A79">
        <f>IF('NPV Comparison'!D92="","",'NPV Comparison'!D92)</f>
        <v/>
      </c>
      <c r="B79">
        <f>IF('NPV Comparison'!E92="","",'NPV Comparison'!E92)</f>
        <v/>
      </c>
      <c r="C79">
        <f>IF('NPV Comparison'!F92="","",'NPV Comparison'!F92)</f>
        <v/>
      </c>
      <c r="D79">
        <f>IF($A79="","",IFERROR(INDEX(Structure!$E$13:$E$312,MATCH($A79,Structure!$P$13:$P$312,0)),""))</f>
        <v/>
      </c>
      <c r="E79">
        <f>IF($A79="",0,IF(COUNTIF(Structure!$P$13:$P$312,$A79)=0,0,IF(COUNTIFS(Structure!$P$13:$P$312,$A79,Structure!$N$13:$N$312,"&lt;&gt;Zero Hours")=0,1,0)))</f>
        <v/>
      </c>
      <c r="F79">
        <f>IF($A79="",0,1-E79)</f>
        <v/>
      </c>
      <c r="G79">
        <f>IF($A79="",0,IF(COUNTIF('New Starters'!$D$14:$D$73,$A79)&gt;0,1,0))</f>
        <v/>
      </c>
      <c r="H79">
        <f>IF($A79="",0,IF(COUNTIF('Leavers'!$D$12:$D$71,$A79)&gt;0,1,0))</f>
        <v/>
      </c>
      <c r="I79">
        <f>IF($A79="","",IFERROR(INDEX('New Starters'!$K$14:$K$73,MATCH($A79,'New Starters'!$D$14:$D$73,0)),IFERROR(INDEX('Leavers'!$K$12:$K$71,MATCH($A79,'Leavers'!$D$12:$D$71,0)),"")))</f>
        <v/>
      </c>
      <c r="J79">
        <f>IF(AND(G79=1,I79&lt;&gt;"",COUNTIF('Leavers'!$K$12:$K$71,I79)&gt;0),1,IF(AND(H79=1,I79&lt;&gt;"",COUNTIF('New Starters'!$K$14:$K$73,I79)&gt;0),1,0))</f>
        <v/>
      </c>
      <c r="K79">
        <f>IF(ISNUMBER(SEARCH("Head Office",D79)),'Control Sheet'!$C$6,'Control Sheet'!$C$5)</f>
        <v/>
      </c>
      <c r="L79">
        <f>IF(OR($A79="",AND(B79="",C79="")),"",IF(B79="",C79,IF(C79="",-B79,C79-B79)))</f>
        <v/>
      </c>
      <c r="M79">
        <f>IFERROR(L79/B79,"")</f>
        <v/>
      </c>
      <c r="N79">
        <f>IF($A79="",0,IF(OR(B79="",C79="",C79=0,AND(ISNUMBER(M79),ABS(M79)&gt;K79)),1,0))</f>
        <v/>
      </c>
      <c r="O79">
        <f>IF(AND(N79=1,ABS(L79)&gt;='Control Sheet'!$C$7,F79=1),1,0)</f>
        <v/>
      </c>
      <c r="P79">
        <f>IF($A79="","",IF(F79=0,"Zero Hours",IF(J79=1,"Explained: Paired transfer",IF(AND(G79=1,H79=0,J79=0),"Explained: Starter",IF(AND(H79=1,G79=0,J79=0),"Explained: Leaver",IF(O79=1,"Review required","OK"))))))</f>
        <v/>
      </c>
      <c r="Q79">
        <f>IF(AND(F79=1,OR(C79="",C79=0),H79=0,J79=0),1,0)</f>
        <v/>
      </c>
      <c r="R79">
        <f>IF(F79=0,0,IF(P79="Review required",1,IF(AND(P79="Explained: Starter",ISNUMBER(C79),C79&gt;=1500),1,0)))</f>
        <v/>
      </c>
      <c r="S79">
        <f>IF(R79=0,"",IF(Q79=1,"High",IF(AND(P79="Explained: Starter",C79&gt;=1500),"High",IF(ABS(L79)&gt;=2000,"High",IF(ABS(L79)&gt;=500,"Medium","Low")))))</f>
        <v/>
      </c>
      <c r="T79">
        <f>SUMIFS('Payment Breakdown Prior'!$S$15:$S$164,'Payment Breakdown Prior'!$AE$15:$AE$164,$A79)</f>
        <v/>
      </c>
      <c r="U79">
        <f>SUMIFS('Payment Breakdown Current'!$S$15:$S$164,'Payment Breakdown Current'!$AE$15:$AE$164,$A79)</f>
        <v/>
      </c>
      <c r="V79">
        <f>IFERROR((U79-T79)/T79,"")</f>
        <v/>
      </c>
      <c r="W79">
        <f>(SUMIFS('Payment Breakdown Current'!$S$15:$S$164,'Payment Breakdown Current'!$AE$15:$AE$164,$A79))-(SUMIFS('Payment Breakdown Prior'!$S$15:$S$164,'Payment Breakdown Prior'!$AE$15:$AE$164,$A79))</f>
        <v/>
      </c>
      <c r="X79">
        <f>(SUMIFS('Payment Breakdown Current'!$T$15:$T$164,'Payment Breakdown Current'!$AE$15:$AE$164,$A79))-(SUMIFS('Payment Breakdown Prior'!$T$15:$T$164,'Payment Breakdown Prior'!$AE$15:$AE$164,$A79))</f>
        <v/>
      </c>
      <c r="Y79">
        <f>(SUMIFS('Payment Breakdown Current'!$U$15:$U$164,'Payment Breakdown Current'!$AE$15:$AE$164,$A79))-(SUMIFS('Payment Breakdown Prior'!$U$15:$U$164,'Payment Breakdown Prior'!$AE$15:$AE$164,$A79))</f>
        <v/>
      </c>
      <c r="Z79">
        <f>(SUMIFS('Payment Breakdown Current'!$V$15:$V$164,'Payment Breakdown Current'!$AE$15:$AE$164,$A79))-(SUMIFS('Payment Breakdown Prior'!$V$15:$V$164,'Payment Breakdown Prior'!$AE$15:$AE$164,$A79))</f>
        <v/>
      </c>
      <c r="AA79">
        <f>(SUMIFS('Payment Breakdown Current'!$W$15:$W$164,'Payment Breakdown Current'!$AE$15:$AE$164,$A79))-(SUMIFS('Payment Breakdown Prior'!$W$15:$W$164,'Payment Breakdown Prior'!$AE$15:$AE$164,$A79))</f>
        <v/>
      </c>
      <c r="AB79">
        <f>(SUMIFS('Payment Breakdown Current'!$X$15:$X$164,'Payment Breakdown Current'!$AE$15:$AE$164,$A79))-(SUMIFS('Payment Breakdown Prior'!$X$15:$X$164,'Payment Breakdown Prior'!$AE$15:$AE$164,$A79))</f>
        <v/>
      </c>
      <c r="AC79">
        <f>(SUMIFS('Payment Breakdown Current'!$Y$15:$Y$164,'Payment Breakdown Current'!$AE$15:$AE$164,$A79))-(SUMIFS('Payment Breakdown Prior'!$Y$15:$Y$164,'Payment Breakdown Prior'!$AE$15:$AE$164,$A79))</f>
        <v/>
      </c>
      <c r="AD79">
        <f>(SUMIFS('Payment Breakdown Current'!$Z$15:$Z$164,'Payment Breakdown Current'!$AE$15:$AE$164,$A79))-(SUMIFS('Payment Breakdown Prior'!$Z$15:$Z$164,'Payment Breakdown Prior'!$AE$15:$AE$164,$A79))</f>
        <v/>
      </c>
      <c r="AE79">
        <f>(SUMIFS('Payment Breakdown Current'!$AA$15:$AA$164,'Payment Breakdown Current'!$AE$15:$AE$164,$A79))-(SUMIFS('Payment Breakdown Prior'!$AA$15:$AA$164,'Payment Breakdown Prior'!$AE$15:$AE$164,$A79))</f>
        <v/>
      </c>
      <c r="AF79">
        <f>(SUMIFS('Payment Breakdown Current'!$AB$15:$AB$164,'Payment Breakdown Current'!$AE$15:$AE$164,$A79))-(SUMIFS('Payment Breakdown Prior'!$AB$15:$AB$164,'Payment Breakdown Prior'!$AE$15:$AE$164,$A79))</f>
        <v/>
      </c>
      <c r="AG79">
        <f>(SUMIFS('Payment Breakdown Current'!$AC$15:$AC$164,'Payment Breakdown Current'!$AE$15:$AE$164,$A79))-(SUMIFS('Payment Breakdown Prior'!$AC$15:$AC$164,'Payment Breakdown Prior'!$AE$15:$AE$164,$A79))</f>
        <v/>
      </c>
      <c r="AH79">
        <f>(SUMIFS('Payment Breakdown Current'!$AD$15:$AD$164,'Payment Breakdown Current'!$AE$15:$AE$164,$A79))-(SUMIFS('Payment Breakdown Prior'!$AD$15:$AD$164,'Payment Breakdown Prior'!$AE$15:$AE$164,$A79))</f>
        <v/>
      </c>
      <c r="AI79">
        <f t="array" ref="AI79">MAX(ABS(W79:AH79))</f>
        <v/>
      </c>
      <c r="AJ79">
        <f t="array" ref="AJ79">IF(AI79&lt;0.005,"",IFERROR(INDEX($W$1:$AH$1,MATCH(AI79,ABS(W79:AH79),0)),""))</f>
        <v/>
      </c>
      <c r="AK79">
        <f t="array" ref="AK79">IF(AI79&lt;0.005,"",IFERROR(INDEX(W79:AH79,MATCH(AI79,ABS(W79:AH79),0)),""))</f>
        <v/>
      </c>
      <c r="AL79">
        <f>IF(R79=1,ABS(L79)-ROW()/100000000,"")</f>
        <v/>
      </c>
    </row>
    <row r="80">
      <c r="A80">
        <f>IF('NPV Comparison'!D93="","",'NPV Comparison'!D93)</f>
        <v/>
      </c>
      <c r="B80">
        <f>IF('NPV Comparison'!E93="","",'NPV Comparison'!E93)</f>
        <v/>
      </c>
      <c r="C80">
        <f>IF('NPV Comparison'!F93="","",'NPV Comparison'!F93)</f>
        <v/>
      </c>
      <c r="D80">
        <f>IF($A80="","",IFERROR(INDEX(Structure!$E$13:$E$312,MATCH($A80,Structure!$P$13:$P$312,0)),""))</f>
        <v/>
      </c>
      <c r="E80">
        <f>IF($A80="",0,IF(COUNTIF(Structure!$P$13:$P$312,$A80)=0,0,IF(COUNTIFS(Structure!$P$13:$P$312,$A80,Structure!$N$13:$N$312,"&lt;&gt;Zero Hours")=0,1,0)))</f>
        <v/>
      </c>
      <c r="F80">
        <f>IF($A80="",0,1-E80)</f>
        <v/>
      </c>
      <c r="G80">
        <f>IF($A80="",0,IF(COUNTIF('New Starters'!$D$14:$D$73,$A80)&gt;0,1,0))</f>
        <v/>
      </c>
      <c r="H80">
        <f>IF($A80="",0,IF(COUNTIF('Leavers'!$D$12:$D$71,$A80)&gt;0,1,0))</f>
        <v/>
      </c>
      <c r="I80">
        <f>IF($A80="","",IFERROR(INDEX('New Starters'!$K$14:$K$73,MATCH($A80,'New Starters'!$D$14:$D$73,0)),IFERROR(INDEX('Leavers'!$K$12:$K$71,MATCH($A80,'Leavers'!$D$12:$D$71,0)),"")))</f>
        <v/>
      </c>
      <c r="J80">
        <f>IF(AND(G80=1,I80&lt;&gt;"",COUNTIF('Leavers'!$K$12:$K$71,I80)&gt;0),1,IF(AND(H80=1,I80&lt;&gt;"",COUNTIF('New Starters'!$K$14:$K$73,I80)&gt;0),1,0))</f>
        <v/>
      </c>
      <c r="K80">
        <f>IF(ISNUMBER(SEARCH("Head Office",D80)),'Control Sheet'!$C$6,'Control Sheet'!$C$5)</f>
        <v/>
      </c>
      <c r="L80">
        <f>IF(OR($A80="",AND(B80="",C80="")),"",IF(B80="",C80,IF(C80="",-B80,C80-B80)))</f>
        <v/>
      </c>
      <c r="M80">
        <f>IFERROR(L80/B80,"")</f>
        <v/>
      </c>
      <c r="N80">
        <f>IF($A80="",0,IF(OR(B80="",C80="",C80=0,AND(ISNUMBER(M80),ABS(M80)&gt;K80)),1,0))</f>
        <v/>
      </c>
      <c r="O80">
        <f>IF(AND(N80=1,ABS(L80)&gt;='Control Sheet'!$C$7,F80=1),1,0)</f>
        <v/>
      </c>
      <c r="P80">
        <f>IF($A80="","",IF(F80=0,"Zero Hours",IF(J80=1,"Explained: Paired transfer",IF(AND(G80=1,H80=0,J80=0),"Explained: Starter",IF(AND(H80=1,G80=0,J80=0),"Explained: Leaver",IF(O80=1,"Review required","OK"))))))</f>
        <v/>
      </c>
      <c r="Q80">
        <f>IF(AND(F80=1,OR(C80="",C80=0),H80=0,J80=0),1,0)</f>
        <v/>
      </c>
      <c r="R80">
        <f>IF(F80=0,0,IF(P80="Review required",1,IF(AND(P80="Explained: Starter",ISNUMBER(C80),C80&gt;=1500),1,0)))</f>
        <v/>
      </c>
      <c r="S80">
        <f>IF(R80=0,"",IF(Q80=1,"High",IF(AND(P80="Explained: Starter",C80&gt;=1500),"High",IF(ABS(L80)&gt;=2000,"High",IF(ABS(L80)&gt;=500,"Medium","Low")))))</f>
        <v/>
      </c>
      <c r="T80">
        <f>SUMIFS('Payment Breakdown Prior'!$S$15:$S$164,'Payment Breakdown Prior'!$AE$15:$AE$164,$A80)</f>
        <v/>
      </c>
      <c r="U80">
        <f>SUMIFS('Payment Breakdown Current'!$S$15:$S$164,'Payment Breakdown Current'!$AE$15:$AE$164,$A80)</f>
        <v/>
      </c>
      <c r="V80">
        <f>IFERROR((U80-T80)/T80,"")</f>
        <v/>
      </c>
      <c r="W80">
        <f>(SUMIFS('Payment Breakdown Current'!$S$15:$S$164,'Payment Breakdown Current'!$AE$15:$AE$164,$A80))-(SUMIFS('Payment Breakdown Prior'!$S$15:$S$164,'Payment Breakdown Prior'!$AE$15:$AE$164,$A80))</f>
        <v/>
      </c>
      <c r="X80">
        <f>(SUMIFS('Payment Breakdown Current'!$T$15:$T$164,'Payment Breakdown Current'!$AE$15:$AE$164,$A80))-(SUMIFS('Payment Breakdown Prior'!$T$15:$T$164,'Payment Breakdown Prior'!$AE$15:$AE$164,$A80))</f>
        <v/>
      </c>
      <c r="Y80">
        <f>(SUMIFS('Payment Breakdown Current'!$U$15:$U$164,'Payment Breakdown Current'!$AE$15:$AE$164,$A80))-(SUMIFS('Payment Breakdown Prior'!$U$15:$U$164,'Payment Breakdown Prior'!$AE$15:$AE$164,$A80))</f>
        <v/>
      </c>
      <c r="Z80">
        <f>(SUMIFS('Payment Breakdown Current'!$V$15:$V$164,'Payment Breakdown Current'!$AE$15:$AE$164,$A80))-(SUMIFS('Payment Breakdown Prior'!$V$15:$V$164,'Payment Breakdown Prior'!$AE$15:$AE$164,$A80))</f>
        <v/>
      </c>
      <c r="AA80">
        <f>(SUMIFS('Payment Breakdown Current'!$W$15:$W$164,'Payment Breakdown Current'!$AE$15:$AE$164,$A80))-(SUMIFS('Payment Breakdown Prior'!$W$15:$W$164,'Payment Breakdown Prior'!$AE$15:$AE$164,$A80))</f>
        <v/>
      </c>
      <c r="AB80">
        <f>(SUMIFS('Payment Breakdown Current'!$X$15:$X$164,'Payment Breakdown Current'!$AE$15:$AE$164,$A80))-(SUMIFS('Payment Breakdown Prior'!$X$15:$X$164,'Payment Breakdown Prior'!$AE$15:$AE$164,$A80))</f>
        <v/>
      </c>
      <c r="AC80">
        <f>(SUMIFS('Payment Breakdown Current'!$Y$15:$Y$164,'Payment Breakdown Current'!$AE$15:$AE$164,$A80))-(SUMIFS('Payment Breakdown Prior'!$Y$15:$Y$164,'Payment Breakdown Prior'!$AE$15:$AE$164,$A80))</f>
        <v/>
      </c>
      <c r="AD80">
        <f>(SUMIFS('Payment Breakdown Current'!$Z$15:$Z$164,'Payment Breakdown Current'!$AE$15:$AE$164,$A80))-(SUMIFS('Payment Breakdown Prior'!$Z$15:$Z$164,'Payment Breakdown Prior'!$AE$15:$AE$164,$A80))</f>
        <v/>
      </c>
      <c r="AE80">
        <f>(SUMIFS('Payment Breakdown Current'!$AA$15:$AA$164,'Payment Breakdown Current'!$AE$15:$AE$164,$A80))-(SUMIFS('Payment Breakdown Prior'!$AA$15:$AA$164,'Payment Breakdown Prior'!$AE$15:$AE$164,$A80))</f>
        <v/>
      </c>
      <c r="AF80">
        <f>(SUMIFS('Payment Breakdown Current'!$AB$15:$AB$164,'Payment Breakdown Current'!$AE$15:$AE$164,$A80))-(SUMIFS('Payment Breakdown Prior'!$AB$15:$AB$164,'Payment Breakdown Prior'!$AE$15:$AE$164,$A80))</f>
        <v/>
      </c>
      <c r="AG80">
        <f>(SUMIFS('Payment Breakdown Current'!$AC$15:$AC$164,'Payment Breakdown Current'!$AE$15:$AE$164,$A80))-(SUMIFS('Payment Breakdown Prior'!$AC$15:$AC$164,'Payment Breakdown Prior'!$AE$15:$AE$164,$A80))</f>
        <v/>
      </c>
      <c r="AH80">
        <f>(SUMIFS('Payment Breakdown Current'!$AD$15:$AD$164,'Payment Breakdown Current'!$AE$15:$AE$164,$A80))-(SUMIFS('Payment Breakdown Prior'!$AD$15:$AD$164,'Payment Breakdown Prior'!$AE$15:$AE$164,$A80))</f>
        <v/>
      </c>
      <c r="AI80">
        <f t="array" ref="AI80">MAX(ABS(W80:AH80))</f>
        <v/>
      </c>
      <c r="AJ80">
        <f t="array" ref="AJ80">IF(AI80&lt;0.005,"",IFERROR(INDEX($W$1:$AH$1,MATCH(AI80,ABS(W80:AH80),0)),""))</f>
        <v/>
      </c>
      <c r="AK80">
        <f t="array" ref="AK80">IF(AI80&lt;0.005,"",IFERROR(INDEX(W80:AH80,MATCH(AI80,ABS(W80:AH80),0)),""))</f>
        <v/>
      </c>
      <c r="AL80">
        <f>IF(R80=1,ABS(L80)-ROW()/100000000,"")</f>
        <v/>
      </c>
    </row>
    <row r="81">
      <c r="A81">
        <f>IF('NPV Comparison'!D94="","",'NPV Comparison'!D94)</f>
        <v/>
      </c>
      <c r="B81">
        <f>IF('NPV Comparison'!E94="","",'NPV Comparison'!E94)</f>
        <v/>
      </c>
      <c r="C81">
        <f>IF('NPV Comparison'!F94="","",'NPV Comparison'!F94)</f>
        <v/>
      </c>
      <c r="D81">
        <f>IF($A81="","",IFERROR(INDEX(Structure!$E$13:$E$312,MATCH($A81,Structure!$P$13:$P$312,0)),""))</f>
        <v/>
      </c>
      <c r="E81">
        <f>IF($A81="",0,IF(COUNTIF(Structure!$P$13:$P$312,$A81)=0,0,IF(COUNTIFS(Structure!$P$13:$P$312,$A81,Structure!$N$13:$N$312,"&lt;&gt;Zero Hours")=0,1,0)))</f>
        <v/>
      </c>
      <c r="F81">
        <f>IF($A81="",0,1-E81)</f>
        <v/>
      </c>
      <c r="G81">
        <f>IF($A81="",0,IF(COUNTIF('New Starters'!$D$14:$D$73,$A81)&gt;0,1,0))</f>
        <v/>
      </c>
      <c r="H81">
        <f>IF($A81="",0,IF(COUNTIF('Leavers'!$D$12:$D$71,$A81)&gt;0,1,0))</f>
        <v/>
      </c>
      <c r="I81">
        <f>IF($A81="","",IFERROR(INDEX('New Starters'!$K$14:$K$73,MATCH($A81,'New Starters'!$D$14:$D$73,0)),IFERROR(INDEX('Leavers'!$K$12:$K$71,MATCH($A81,'Leavers'!$D$12:$D$71,0)),"")))</f>
        <v/>
      </c>
      <c r="J81">
        <f>IF(AND(G81=1,I81&lt;&gt;"",COUNTIF('Leavers'!$K$12:$K$71,I81)&gt;0),1,IF(AND(H81=1,I81&lt;&gt;"",COUNTIF('New Starters'!$K$14:$K$73,I81)&gt;0),1,0))</f>
        <v/>
      </c>
      <c r="K81">
        <f>IF(ISNUMBER(SEARCH("Head Office",D81)),'Control Sheet'!$C$6,'Control Sheet'!$C$5)</f>
        <v/>
      </c>
      <c r="L81">
        <f>IF(OR($A81="",AND(B81="",C81="")),"",IF(B81="",C81,IF(C81="",-B81,C81-B81)))</f>
        <v/>
      </c>
      <c r="M81">
        <f>IFERROR(L81/B81,"")</f>
        <v/>
      </c>
      <c r="N81">
        <f>IF($A81="",0,IF(OR(B81="",C81="",C81=0,AND(ISNUMBER(M81),ABS(M81)&gt;K81)),1,0))</f>
        <v/>
      </c>
      <c r="O81">
        <f>IF(AND(N81=1,ABS(L81)&gt;='Control Sheet'!$C$7,F81=1),1,0)</f>
        <v/>
      </c>
      <c r="P81">
        <f>IF($A81="","",IF(F81=0,"Zero Hours",IF(J81=1,"Explained: Paired transfer",IF(AND(G81=1,H81=0,J81=0),"Explained: Starter",IF(AND(H81=1,G81=0,J81=0),"Explained: Leaver",IF(O81=1,"Review required","OK"))))))</f>
        <v/>
      </c>
      <c r="Q81">
        <f>IF(AND(F81=1,OR(C81="",C81=0),H81=0,J81=0),1,0)</f>
        <v/>
      </c>
      <c r="R81">
        <f>IF(F81=0,0,IF(P81="Review required",1,IF(AND(P81="Explained: Starter",ISNUMBER(C81),C81&gt;=1500),1,0)))</f>
        <v/>
      </c>
      <c r="S81">
        <f>IF(R81=0,"",IF(Q81=1,"High",IF(AND(P81="Explained: Starter",C81&gt;=1500),"High",IF(ABS(L81)&gt;=2000,"High",IF(ABS(L81)&gt;=500,"Medium","Low")))))</f>
        <v/>
      </c>
      <c r="T81">
        <f>SUMIFS('Payment Breakdown Prior'!$S$15:$S$164,'Payment Breakdown Prior'!$AE$15:$AE$164,$A81)</f>
        <v/>
      </c>
      <c r="U81">
        <f>SUMIFS('Payment Breakdown Current'!$S$15:$S$164,'Payment Breakdown Current'!$AE$15:$AE$164,$A81)</f>
        <v/>
      </c>
      <c r="V81">
        <f>IFERROR((U81-T81)/T81,"")</f>
        <v/>
      </c>
      <c r="W81">
        <f>(SUMIFS('Payment Breakdown Current'!$S$15:$S$164,'Payment Breakdown Current'!$AE$15:$AE$164,$A81))-(SUMIFS('Payment Breakdown Prior'!$S$15:$S$164,'Payment Breakdown Prior'!$AE$15:$AE$164,$A81))</f>
        <v/>
      </c>
      <c r="X81">
        <f>(SUMIFS('Payment Breakdown Current'!$T$15:$T$164,'Payment Breakdown Current'!$AE$15:$AE$164,$A81))-(SUMIFS('Payment Breakdown Prior'!$T$15:$T$164,'Payment Breakdown Prior'!$AE$15:$AE$164,$A81))</f>
        <v/>
      </c>
      <c r="Y81">
        <f>(SUMIFS('Payment Breakdown Current'!$U$15:$U$164,'Payment Breakdown Current'!$AE$15:$AE$164,$A81))-(SUMIFS('Payment Breakdown Prior'!$U$15:$U$164,'Payment Breakdown Prior'!$AE$15:$AE$164,$A81))</f>
        <v/>
      </c>
      <c r="Z81">
        <f>(SUMIFS('Payment Breakdown Current'!$V$15:$V$164,'Payment Breakdown Current'!$AE$15:$AE$164,$A81))-(SUMIFS('Payment Breakdown Prior'!$V$15:$V$164,'Payment Breakdown Prior'!$AE$15:$AE$164,$A81))</f>
        <v/>
      </c>
      <c r="AA81">
        <f>(SUMIFS('Payment Breakdown Current'!$W$15:$W$164,'Payment Breakdown Current'!$AE$15:$AE$164,$A81))-(SUMIFS('Payment Breakdown Prior'!$W$15:$W$164,'Payment Breakdown Prior'!$AE$15:$AE$164,$A81))</f>
        <v/>
      </c>
      <c r="AB81">
        <f>(SUMIFS('Payment Breakdown Current'!$X$15:$X$164,'Payment Breakdown Current'!$AE$15:$AE$164,$A81))-(SUMIFS('Payment Breakdown Prior'!$X$15:$X$164,'Payment Breakdown Prior'!$AE$15:$AE$164,$A81))</f>
        <v/>
      </c>
      <c r="AC81">
        <f>(SUMIFS('Payment Breakdown Current'!$Y$15:$Y$164,'Payment Breakdown Current'!$AE$15:$AE$164,$A81))-(SUMIFS('Payment Breakdown Prior'!$Y$15:$Y$164,'Payment Breakdown Prior'!$AE$15:$AE$164,$A81))</f>
        <v/>
      </c>
      <c r="AD81">
        <f>(SUMIFS('Payment Breakdown Current'!$Z$15:$Z$164,'Payment Breakdown Current'!$AE$15:$AE$164,$A81))-(SUMIFS('Payment Breakdown Prior'!$Z$15:$Z$164,'Payment Breakdown Prior'!$AE$15:$AE$164,$A81))</f>
        <v/>
      </c>
      <c r="AE81">
        <f>(SUMIFS('Payment Breakdown Current'!$AA$15:$AA$164,'Payment Breakdown Current'!$AE$15:$AE$164,$A81))-(SUMIFS('Payment Breakdown Prior'!$AA$15:$AA$164,'Payment Breakdown Prior'!$AE$15:$AE$164,$A81))</f>
        <v/>
      </c>
      <c r="AF81">
        <f>(SUMIFS('Payment Breakdown Current'!$AB$15:$AB$164,'Payment Breakdown Current'!$AE$15:$AE$164,$A81))-(SUMIFS('Payment Breakdown Prior'!$AB$15:$AB$164,'Payment Breakdown Prior'!$AE$15:$AE$164,$A81))</f>
        <v/>
      </c>
      <c r="AG81">
        <f>(SUMIFS('Payment Breakdown Current'!$AC$15:$AC$164,'Payment Breakdown Current'!$AE$15:$AE$164,$A81))-(SUMIFS('Payment Breakdown Prior'!$AC$15:$AC$164,'Payment Breakdown Prior'!$AE$15:$AE$164,$A81))</f>
        <v/>
      </c>
      <c r="AH81">
        <f>(SUMIFS('Payment Breakdown Current'!$AD$15:$AD$164,'Payment Breakdown Current'!$AE$15:$AE$164,$A81))-(SUMIFS('Payment Breakdown Prior'!$AD$15:$AD$164,'Payment Breakdown Prior'!$AE$15:$AE$164,$A81))</f>
        <v/>
      </c>
      <c r="AI81">
        <f t="array" ref="AI81">MAX(ABS(W81:AH81))</f>
        <v/>
      </c>
      <c r="AJ81">
        <f t="array" ref="AJ81">IF(AI81&lt;0.005,"",IFERROR(INDEX($W$1:$AH$1,MATCH(AI81,ABS(W81:AH81),0)),""))</f>
        <v/>
      </c>
      <c r="AK81">
        <f t="array" ref="AK81">IF(AI81&lt;0.005,"",IFERROR(INDEX(W81:AH81,MATCH(AI81,ABS(W81:AH81),0)),""))</f>
        <v/>
      </c>
      <c r="AL81">
        <f>IF(R81=1,ABS(L81)-ROW()/100000000,"")</f>
        <v/>
      </c>
    </row>
    <row r="82">
      <c r="A82">
        <f>IF('NPV Comparison'!D95="","",'NPV Comparison'!D95)</f>
        <v/>
      </c>
      <c r="B82">
        <f>IF('NPV Comparison'!E95="","",'NPV Comparison'!E95)</f>
        <v/>
      </c>
      <c r="C82">
        <f>IF('NPV Comparison'!F95="","",'NPV Comparison'!F95)</f>
        <v/>
      </c>
      <c r="D82">
        <f>IF($A82="","",IFERROR(INDEX(Structure!$E$13:$E$312,MATCH($A82,Structure!$P$13:$P$312,0)),""))</f>
        <v/>
      </c>
      <c r="E82">
        <f>IF($A82="",0,IF(COUNTIF(Structure!$P$13:$P$312,$A82)=0,0,IF(COUNTIFS(Structure!$P$13:$P$312,$A82,Structure!$N$13:$N$312,"&lt;&gt;Zero Hours")=0,1,0)))</f>
        <v/>
      </c>
      <c r="F82">
        <f>IF($A82="",0,1-E82)</f>
        <v/>
      </c>
      <c r="G82">
        <f>IF($A82="",0,IF(COUNTIF('New Starters'!$D$14:$D$73,$A82)&gt;0,1,0))</f>
        <v/>
      </c>
      <c r="H82">
        <f>IF($A82="",0,IF(COUNTIF('Leavers'!$D$12:$D$71,$A82)&gt;0,1,0))</f>
        <v/>
      </c>
      <c r="I82">
        <f>IF($A82="","",IFERROR(INDEX('New Starters'!$K$14:$K$73,MATCH($A82,'New Starters'!$D$14:$D$73,0)),IFERROR(INDEX('Leavers'!$K$12:$K$71,MATCH($A82,'Leavers'!$D$12:$D$71,0)),"")))</f>
        <v/>
      </c>
      <c r="J82">
        <f>IF(AND(G82=1,I82&lt;&gt;"",COUNTIF('Leavers'!$K$12:$K$71,I82)&gt;0),1,IF(AND(H82=1,I82&lt;&gt;"",COUNTIF('New Starters'!$K$14:$K$73,I82)&gt;0),1,0))</f>
        <v/>
      </c>
      <c r="K82">
        <f>IF(ISNUMBER(SEARCH("Head Office",D82)),'Control Sheet'!$C$6,'Control Sheet'!$C$5)</f>
        <v/>
      </c>
      <c r="L82">
        <f>IF(OR($A82="",AND(B82="",C82="")),"",IF(B82="",C82,IF(C82="",-B82,C82-B82)))</f>
        <v/>
      </c>
      <c r="M82">
        <f>IFERROR(L82/B82,"")</f>
        <v/>
      </c>
      <c r="N82">
        <f>IF($A82="",0,IF(OR(B82="",C82="",C82=0,AND(ISNUMBER(M82),ABS(M82)&gt;K82)),1,0))</f>
        <v/>
      </c>
      <c r="O82">
        <f>IF(AND(N82=1,ABS(L82)&gt;='Control Sheet'!$C$7,F82=1),1,0)</f>
        <v/>
      </c>
      <c r="P82">
        <f>IF($A82="","",IF(F82=0,"Zero Hours",IF(J82=1,"Explained: Paired transfer",IF(AND(G82=1,H82=0,J82=0),"Explained: Starter",IF(AND(H82=1,G82=0,J82=0),"Explained: Leaver",IF(O82=1,"Review required","OK"))))))</f>
        <v/>
      </c>
      <c r="Q82">
        <f>IF(AND(F82=1,OR(C82="",C82=0),H82=0,J82=0),1,0)</f>
        <v/>
      </c>
      <c r="R82">
        <f>IF(F82=0,0,IF(P82="Review required",1,IF(AND(P82="Explained: Starter",ISNUMBER(C82),C82&gt;=1500),1,0)))</f>
        <v/>
      </c>
      <c r="S82">
        <f>IF(R82=0,"",IF(Q82=1,"High",IF(AND(P82="Explained: Starter",C82&gt;=1500),"High",IF(ABS(L82)&gt;=2000,"High",IF(ABS(L82)&gt;=500,"Medium","Low")))))</f>
        <v/>
      </c>
      <c r="T82">
        <f>SUMIFS('Payment Breakdown Prior'!$S$15:$S$164,'Payment Breakdown Prior'!$AE$15:$AE$164,$A82)</f>
        <v/>
      </c>
      <c r="U82">
        <f>SUMIFS('Payment Breakdown Current'!$S$15:$S$164,'Payment Breakdown Current'!$AE$15:$AE$164,$A82)</f>
        <v/>
      </c>
      <c r="V82">
        <f>IFERROR((U82-T82)/T82,"")</f>
        <v/>
      </c>
      <c r="W82">
        <f>(SUMIFS('Payment Breakdown Current'!$S$15:$S$164,'Payment Breakdown Current'!$AE$15:$AE$164,$A82))-(SUMIFS('Payment Breakdown Prior'!$S$15:$S$164,'Payment Breakdown Prior'!$AE$15:$AE$164,$A82))</f>
        <v/>
      </c>
      <c r="X82">
        <f>(SUMIFS('Payment Breakdown Current'!$T$15:$T$164,'Payment Breakdown Current'!$AE$15:$AE$164,$A82))-(SUMIFS('Payment Breakdown Prior'!$T$15:$T$164,'Payment Breakdown Prior'!$AE$15:$AE$164,$A82))</f>
        <v/>
      </c>
      <c r="Y82">
        <f>(SUMIFS('Payment Breakdown Current'!$U$15:$U$164,'Payment Breakdown Current'!$AE$15:$AE$164,$A82))-(SUMIFS('Payment Breakdown Prior'!$U$15:$U$164,'Payment Breakdown Prior'!$AE$15:$AE$164,$A82))</f>
        <v/>
      </c>
      <c r="Z82">
        <f>(SUMIFS('Payment Breakdown Current'!$V$15:$V$164,'Payment Breakdown Current'!$AE$15:$AE$164,$A82))-(SUMIFS('Payment Breakdown Prior'!$V$15:$V$164,'Payment Breakdown Prior'!$AE$15:$AE$164,$A82))</f>
        <v/>
      </c>
      <c r="AA82">
        <f>(SUMIFS('Payment Breakdown Current'!$W$15:$W$164,'Payment Breakdown Current'!$AE$15:$AE$164,$A82))-(SUMIFS('Payment Breakdown Prior'!$W$15:$W$164,'Payment Breakdown Prior'!$AE$15:$AE$164,$A82))</f>
        <v/>
      </c>
      <c r="AB82">
        <f>(SUMIFS('Payment Breakdown Current'!$X$15:$X$164,'Payment Breakdown Current'!$AE$15:$AE$164,$A82))-(SUMIFS('Payment Breakdown Prior'!$X$15:$X$164,'Payment Breakdown Prior'!$AE$15:$AE$164,$A82))</f>
        <v/>
      </c>
      <c r="AC82">
        <f>(SUMIFS('Payment Breakdown Current'!$Y$15:$Y$164,'Payment Breakdown Current'!$AE$15:$AE$164,$A82))-(SUMIFS('Payment Breakdown Prior'!$Y$15:$Y$164,'Payment Breakdown Prior'!$AE$15:$AE$164,$A82))</f>
        <v/>
      </c>
      <c r="AD82">
        <f>(SUMIFS('Payment Breakdown Current'!$Z$15:$Z$164,'Payment Breakdown Current'!$AE$15:$AE$164,$A82))-(SUMIFS('Payment Breakdown Prior'!$Z$15:$Z$164,'Payment Breakdown Prior'!$AE$15:$AE$164,$A82))</f>
        <v/>
      </c>
      <c r="AE82">
        <f>(SUMIFS('Payment Breakdown Current'!$AA$15:$AA$164,'Payment Breakdown Current'!$AE$15:$AE$164,$A82))-(SUMIFS('Payment Breakdown Prior'!$AA$15:$AA$164,'Payment Breakdown Prior'!$AE$15:$AE$164,$A82))</f>
        <v/>
      </c>
      <c r="AF82">
        <f>(SUMIFS('Payment Breakdown Current'!$AB$15:$AB$164,'Payment Breakdown Current'!$AE$15:$AE$164,$A82))-(SUMIFS('Payment Breakdown Prior'!$AB$15:$AB$164,'Payment Breakdown Prior'!$AE$15:$AE$164,$A82))</f>
        <v/>
      </c>
      <c r="AG82">
        <f>(SUMIFS('Payment Breakdown Current'!$AC$15:$AC$164,'Payment Breakdown Current'!$AE$15:$AE$164,$A82))-(SUMIFS('Payment Breakdown Prior'!$AC$15:$AC$164,'Payment Breakdown Prior'!$AE$15:$AE$164,$A82))</f>
        <v/>
      </c>
      <c r="AH82">
        <f>(SUMIFS('Payment Breakdown Current'!$AD$15:$AD$164,'Payment Breakdown Current'!$AE$15:$AE$164,$A82))-(SUMIFS('Payment Breakdown Prior'!$AD$15:$AD$164,'Payment Breakdown Prior'!$AE$15:$AE$164,$A82))</f>
        <v/>
      </c>
      <c r="AI82">
        <f t="array" ref="AI82">MAX(ABS(W82:AH82))</f>
        <v/>
      </c>
      <c r="AJ82">
        <f t="array" ref="AJ82">IF(AI82&lt;0.005,"",IFERROR(INDEX($W$1:$AH$1,MATCH(AI82,ABS(W82:AH82),0)),""))</f>
        <v/>
      </c>
      <c r="AK82">
        <f t="array" ref="AK82">IF(AI82&lt;0.005,"",IFERROR(INDEX(W82:AH82,MATCH(AI82,ABS(W82:AH82),0)),""))</f>
        <v/>
      </c>
      <c r="AL82">
        <f>IF(R82=1,ABS(L82)-ROW()/100000000,"")</f>
        <v/>
      </c>
    </row>
    <row r="83">
      <c r="A83">
        <f>IF('NPV Comparison'!D96="","",'NPV Comparison'!D96)</f>
        <v/>
      </c>
      <c r="B83">
        <f>IF('NPV Comparison'!E96="","",'NPV Comparison'!E96)</f>
        <v/>
      </c>
      <c r="C83">
        <f>IF('NPV Comparison'!F96="","",'NPV Comparison'!F96)</f>
        <v/>
      </c>
      <c r="D83">
        <f>IF($A83="","",IFERROR(INDEX(Structure!$E$13:$E$312,MATCH($A83,Structure!$P$13:$P$312,0)),""))</f>
        <v/>
      </c>
      <c r="E83">
        <f>IF($A83="",0,IF(COUNTIF(Structure!$P$13:$P$312,$A83)=0,0,IF(COUNTIFS(Structure!$P$13:$P$312,$A83,Structure!$N$13:$N$312,"&lt;&gt;Zero Hours")=0,1,0)))</f>
        <v/>
      </c>
      <c r="F83">
        <f>IF($A83="",0,1-E83)</f>
        <v/>
      </c>
      <c r="G83">
        <f>IF($A83="",0,IF(COUNTIF('New Starters'!$D$14:$D$73,$A83)&gt;0,1,0))</f>
        <v/>
      </c>
      <c r="H83">
        <f>IF($A83="",0,IF(COUNTIF('Leavers'!$D$12:$D$71,$A83)&gt;0,1,0))</f>
        <v/>
      </c>
      <c r="I83">
        <f>IF($A83="","",IFERROR(INDEX('New Starters'!$K$14:$K$73,MATCH($A83,'New Starters'!$D$14:$D$73,0)),IFERROR(INDEX('Leavers'!$K$12:$K$71,MATCH($A83,'Leavers'!$D$12:$D$71,0)),"")))</f>
        <v/>
      </c>
      <c r="J83">
        <f>IF(AND(G83=1,I83&lt;&gt;"",COUNTIF('Leavers'!$K$12:$K$71,I83)&gt;0),1,IF(AND(H83=1,I83&lt;&gt;"",COUNTIF('New Starters'!$K$14:$K$73,I83)&gt;0),1,0))</f>
        <v/>
      </c>
      <c r="K83">
        <f>IF(ISNUMBER(SEARCH("Head Office",D83)),'Control Sheet'!$C$6,'Control Sheet'!$C$5)</f>
        <v/>
      </c>
      <c r="L83">
        <f>IF(OR($A83="",AND(B83="",C83="")),"",IF(B83="",C83,IF(C83="",-B83,C83-B83)))</f>
        <v/>
      </c>
      <c r="M83">
        <f>IFERROR(L83/B83,"")</f>
        <v/>
      </c>
      <c r="N83">
        <f>IF($A83="",0,IF(OR(B83="",C83="",C83=0,AND(ISNUMBER(M83),ABS(M83)&gt;K83)),1,0))</f>
        <v/>
      </c>
      <c r="O83">
        <f>IF(AND(N83=1,ABS(L83)&gt;='Control Sheet'!$C$7,F83=1),1,0)</f>
        <v/>
      </c>
      <c r="P83">
        <f>IF($A83="","",IF(F83=0,"Zero Hours",IF(J83=1,"Explained: Paired transfer",IF(AND(G83=1,H83=0,J83=0),"Explained: Starter",IF(AND(H83=1,G83=0,J83=0),"Explained: Leaver",IF(O83=1,"Review required","OK"))))))</f>
        <v/>
      </c>
      <c r="Q83">
        <f>IF(AND(F83=1,OR(C83="",C83=0),H83=0,J83=0),1,0)</f>
        <v/>
      </c>
      <c r="R83">
        <f>IF(F83=0,0,IF(P83="Review required",1,IF(AND(P83="Explained: Starter",ISNUMBER(C83),C83&gt;=1500),1,0)))</f>
        <v/>
      </c>
      <c r="S83">
        <f>IF(R83=0,"",IF(Q83=1,"High",IF(AND(P83="Explained: Starter",C83&gt;=1500),"High",IF(ABS(L83)&gt;=2000,"High",IF(ABS(L83)&gt;=500,"Medium","Low")))))</f>
        <v/>
      </c>
      <c r="T83">
        <f>SUMIFS('Payment Breakdown Prior'!$S$15:$S$164,'Payment Breakdown Prior'!$AE$15:$AE$164,$A83)</f>
        <v/>
      </c>
      <c r="U83">
        <f>SUMIFS('Payment Breakdown Current'!$S$15:$S$164,'Payment Breakdown Current'!$AE$15:$AE$164,$A83)</f>
        <v/>
      </c>
      <c r="V83">
        <f>IFERROR((U83-T83)/T83,"")</f>
        <v/>
      </c>
      <c r="W83">
        <f>(SUMIFS('Payment Breakdown Current'!$S$15:$S$164,'Payment Breakdown Current'!$AE$15:$AE$164,$A83))-(SUMIFS('Payment Breakdown Prior'!$S$15:$S$164,'Payment Breakdown Prior'!$AE$15:$AE$164,$A83))</f>
        <v/>
      </c>
      <c r="X83">
        <f>(SUMIFS('Payment Breakdown Current'!$T$15:$T$164,'Payment Breakdown Current'!$AE$15:$AE$164,$A83))-(SUMIFS('Payment Breakdown Prior'!$T$15:$T$164,'Payment Breakdown Prior'!$AE$15:$AE$164,$A83))</f>
        <v/>
      </c>
      <c r="Y83">
        <f>(SUMIFS('Payment Breakdown Current'!$U$15:$U$164,'Payment Breakdown Current'!$AE$15:$AE$164,$A83))-(SUMIFS('Payment Breakdown Prior'!$U$15:$U$164,'Payment Breakdown Prior'!$AE$15:$AE$164,$A83))</f>
        <v/>
      </c>
      <c r="Z83">
        <f>(SUMIFS('Payment Breakdown Current'!$V$15:$V$164,'Payment Breakdown Current'!$AE$15:$AE$164,$A83))-(SUMIFS('Payment Breakdown Prior'!$V$15:$V$164,'Payment Breakdown Prior'!$AE$15:$AE$164,$A83))</f>
        <v/>
      </c>
      <c r="AA83">
        <f>(SUMIFS('Payment Breakdown Current'!$W$15:$W$164,'Payment Breakdown Current'!$AE$15:$AE$164,$A83))-(SUMIFS('Payment Breakdown Prior'!$W$15:$W$164,'Payment Breakdown Prior'!$AE$15:$AE$164,$A83))</f>
        <v/>
      </c>
      <c r="AB83">
        <f>(SUMIFS('Payment Breakdown Current'!$X$15:$X$164,'Payment Breakdown Current'!$AE$15:$AE$164,$A83))-(SUMIFS('Payment Breakdown Prior'!$X$15:$X$164,'Payment Breakdown Prior'!$AE$15:$AE$164,$A83))</f>
        <v/>
      </c>
      <c r="AC83">
        <f>(SUMIFS('Payment Breakdown Current'!$Y$15:$Y$164,'Payment Breakdown Current'!$AE$15:$AE$164,$A83))-(SUMIFS('Payment Breakdown Prior'!$Y$15:$Y$164,'Payment Breakdown Prior'!$AE$15:$AE$164,$A83))</f>
        <v/>
      </c>
      <c r="AD83">
        <f>(SUMIFS('Payment Breakdown Current'!$Z$15:$Z$164,'Payment Breakdown Current'!$AE$15:$AE$164,$A83))-(SUMIFS('Payment Breakdown Prior'!$Z$15:$Z$164,'Payment Breakdown Prior'!$AE$15:$AE$164,$A83))</f>
        <v/>
      </c>
      <c r="AE83">
        <f>(SUMIFS('Payment Breakdown Current'!$AA$15:$AA$164,'Payment Breakdown Current'!$AE$15:$AE$164,$A83))-(SUMIFS('Payment Breakdown Prior'!$AA$15:$AA$164,'Payment Breakdown Prior'!$AE$15:$AE$164,$A83))</f>
        <v/>
      </c>
      <c r="AF83">
        <f>(SUMIFS('Payment Breakdown Current'!$AB$15:$AB$164,'Payment Breakdown Current'!$AE$15:$AE$164,$A83))-(SUMIFS('Payment Breakdown Prior'!$AB$15:$AB$164,'Payment Breakdown Prior'!$AE$15:$AE$164,$A83))</f>
        <v/>
      </c>
      <c r="AG83">
        <f>(SUMIFS('Payment Breakdown Current'!$AC$15:$AC$164,'Payment Breakdown Current'!$AE$15:$AE$164,$A83))-(SUMIFS('Payment Breakdown Prior'!$AC$15:$AC$164,'Payment Breakdown Prior'!$AE$15:$AE$164,$A83))</f>
        <v/>
      </c>
      <c r="AH83">
        <f>(SUMIFS('Payment Breakdown Current'!$AD$15:$AD$164,'Payment Breakdown Current'!$AE$15:$AE$164,$A83))-(SUMIFS('Payment Breakdown Prior'!$AD$15:$AD$164,'Payment Breakdown Prior'!$AE$15:$AE$164,$A83))</f>
        <v/>
      </c>
      <c r="AI83">
        <f t="array" ref="AI83">MAX(ABS(W83:AH83))</f>
        <v/>
      </c>
      <c r="AJ83">
        <f t="array" ref="AJ83">IF(AI83&lt;0.005,"",IFERROR(INDEX($W$1:$AH$1,MATCH(AI83,ABS(W83:AH83),0)),""))</f>
        <v/>
      </c>
      <c r="AK83">
        <f t="array" ref="AK83">IF(AI83&lt;0.005,"",IFERROR(INDEX(W83:AH83,MATCH(AI83,ABS(W83:AH83),0)),""))</f>
        <v/>
      </c>
      <c r="AL83">
        <f>IF(R83=1,ABS(L83)-ROW()/100000000,"")</f>
        <v/>
      </c>
    </row>
    <row r="84">
      <c r="A84">
        <f>IF('NPV Comparison'!D97="","",'NPV Comparison'!D97)</f>
        <v/>
      </c>
      <c r="B84">
        <f>IF('NPV Comparison'!E97="","",'NPV Comparison'!E97)</f>
        <v/>
      </c>
      <c r="C84">
        <f>IF('NPV Comparison'!F97="","",'NPV Comparison'!F97)</f>
        <v/>
      </c>
      <c r="D84">
        <f>IF($A84="","",IFERROR(INDEX(Structure!$E$13:$E$312,MATCH($A84,Structure!$P$13:$P$312,0)),""))</f>
        <v/>
      </c>
      <c r="E84">
        <f>IF($A84="",0,IF(COUNTIF(Structure!$P$13:$P$312,$A84)=0,0,IF(COUNTIFS(Structure!$P$13:$P$312,$A84,Structure!$N$13:$N$312,"&lt;&gt;Zero Hours")=0,1,0)))</f>
        <v/>
      </c>
      <c r="F84">
        <f>IF($A84="",0,1-E84)</f>
        <v/>
      </c>
      <c r="G84">
        <f>IF($A84="",0,IF(COUNTIF('New Starters'!$D$14:$D$73,$A84)&gt;0,1,0))</f>
        <v/>
      </c>
      <c r="H84">
        <f>IF($A84="",0,IF(COUNTIF('Leavers'!$D$12:$D$71,$A84)&gt;0,1,0))</f>
        <v/>
      </c>
      <c r="I84">
        <f>IF($A84="","",IFERROR(INDEX('New Starters'!$K$14:$K$73,MATCH($A84,'New Starters'!$D$14:$D$73,0)),IFERROR(INDEX('Leavers'!$K$12:$K$71,MATCH($A84,'Leavers'!$D$12:$D$71,0)),"")))</f>
        <v/>
      </c>
      <c r="J84">
        <f>IF(AND(G84=1,I84&lt;&gt;"",COUNTIF('Leavers'!$K$12:$K$71,I84)&gt;0),1,IF(AND(H84=1,I84&lt;&gt;"",COUNTIF('New Starters'!$K$14:$K$73,I84)&gt;0),1,0))</f>
        <v/>
      </c>
      <c r="K84">
        <f>IF(ISNUMBER(SEARCH("Head Office",D84)),'Control Sheet'!$C$6,'Control Sheet'!$C$5)</f>
        <v/>
      </c>
      <c r="L84">
        <f>IF(OR($A84="",AND(B84="",C84="")),"",IF(B84="",C84,IF(C84="",-B84,C84-B84)))</f>
        <v/>
      </c>
      <c r="M84">
        <f>IFERROR(L84/B84,"")</f>
        <v/>
      </c>
      <c r="N84">
        <f>IF($A84="",0,IF(OR(B84="",C84="",C84=0,AND(ISNUMBER(M84),ABS(M84)&gt;K84)),1,0))</f>
        <v/>
      </c>
      <c r="O84">
        <f>IF(AND(N84=1,ABS(L84)&gt;='Control Sheet'!$C$7,F84=1),1,0)</f>
        <v/>
      </c>
      <c r="P84">
        <f>IF($A84="","",IF(F84=0,"Zero Hours",IF(J84=1,"Explained: Paired transfer",IF(AND(G84=1,H84=0,J84=0),"Explained: Starter",IF(AND(H84=1,G84=0,J84=0),"Explained: Leaver",IF(O84=1,"Review required","OK"))))))</f>
        <v/>
      </c>
      <c r="Q84">
        <f>IF(AND(F84=1,OR(C84="",C84=0),H84=0,J84=0),1,0)</f>
        <v/>
      </c>
      <c r="R84">
        <f>IF(F84=0,0,IF(P84="Review required",1,IF(AND(P84="Explained: Starter",ISNUMBER(C84),C84&gt;=1500),1,0)))</f>
        <v/>
      </c>
      <c r="S84">
        <f>IF(R84=0,"",IF(Q84=1,"High",IF(AND(P84="Explained: Starter",C84&gt;=1500),"High",IF(ABS(L84)&gt;=2000,"High",IF(ABS(L84)&gt;=500,"Medium","Low")))))</f>
        <v/>
      </c>
      <c r="T84">
        <f>SUMIFS('Payment Breakdown Prior'!$S$15:$S$164,'Payment Breakdown Prior'!$AE$15:$AE$164,$A84)</f>
        <v/>
      </c>
      <c r="U84">
        <f>SUMIFS('Payment Breakdown Current'!$S$15:$S$164,'Payment Breakdown Current'!$AE$15:$AE$164,$A84)</f>
        <v/>
      </c>
      <c r="V84">
        <f>IFERROR((U84-T84)/T84,"")</f>
        <v/>
      </c>
      <c r="W84">
        <f>(SUMIFS('Payment Breakdown Current'!$S$15:$S$164,'Payment Breakdown Current'!$AE$15:$AE$164,$A84))-(SUMIFS('Payment Breakdown Prior'!$S$15:$S$164,'Payment Breakdown Prior'!$AE$15:$AE$164,$A84))</f>
        <v/>
      </c>
      <c r="X84">
        <f>(SUMIFS('Payment Breakdown Current'!$T$15:$T$164,'Payment Breakdown Current'!$AE$15:$AE$164,$A84))-(SUMIFS('Payment Breakdown Prior'!$T$15:$T$164,'Payment Breakdown Prior'!$AE$15:$AE$164,$A84))</f>
        <v/>
      </c>
      <c r="Y84">
        <f>(SUMIFS('Payment Breakdown Current'!$U$15:$U$164,'Payment Breakdown Current'!$AE$15:$AE$164,$A84))-(SUMIFS('Payment Breakdown Prior'!$U$15:$U$164,'Payment Breakdown Prior'!$AE$15:$AE$164,$A84))</f>
        <v/>
      </c>
      <c r="Z84">
        <f>(SUMIFS('Payment Breakdown Current'!$V$15:$V$164,'Payment Breakdown Current'!$AE$15:$AE$164,$A84))-(SUMIFS('Payment Breakdown Prior'!$V$15:$V$164,'Payment Breakdown Prior'!$AE$15:$AE$164,$A84))</f>
        <v/>
      </c>
      <c r="AA84">
        <f>(SUMIFS('Payment Breakdown Current'!$W$15:$W$164,'Payment Breakdown Current'!$AE$15:$AE$164,$A84))-(SUMIFS('Payment Breakdown Prior'!$W$15:$W$164,'Payment Breakdown Prior'!$AE$15:$AE$164,$A84))</f>
        <v/>
      </c>
      <c r="AB84">
        <f>(SUMIFS('Payment Breakdown Current'!$X$15:$X$164,'Payment Breakdown Current'!$AE$15:$AE$164,$A84))-(SUMIFS('Payment Breakdown Prior'!$X$15:$X$164,'Payment Breakdown Prior'!$AE$15:$AE$164,$A84))</f>
        <v/>
      </c>
      <c r="AC84">
        <f>(SUMIFS('Payment Breakdown Current'!$Y$15:$Y$164,'Payment Breakdown Current'!$AE$15:$AE$164,$A84))-(SUMIFS('Payment Breakdown Prior'!$Y$15:$Y$164,'Payment Breakdown Prior'!$AE$15:$AE$164,$A84))</f>
        <v/>
      </c>
      <c r="AD84">
        <f>(SUMIFS('Payment Breakdown Current'!$Z$15:$Z$164,'Payment Breakdown Current'!$AE$15:$AE$164,$A84))-(SUMIFS('Payment Breakdown Prior'!$Z$15:$Z$164,'Payment Breakdown Prior'!$AE$15:$AE$164,$A84))</f>
        <v/>
      </c>
      <c r="AE84">
        <f>(SUMIFS('Payment Breakdown Current'!$AA$15:$AA$164,'Payment Breakdown Current'!$AE$15:$AE$164,$A84))-(SUMIFS('Payment Breakdown Prior'!$AA$15:$AA$164,'Payment Breakdown Prior'!$AE$15:$AE$164,$A84))</f>
        <v/>
      </c>
      <c r="AF84">
        <f>(SUMIFS('Payment Breakdown Current'!$AB$15:$AB$164,'Payment Breakdown Current'!$AE$15:$AE$164,$A84))-(SUMIFS('Payment Breakdown Prior'!$AB$15:$AB$164,'Payment Breakdown Prior'!$AE$15:$AE$164,$A84))</f>
        <v/>
      </c>
      <c r="AG84">
        <f>(SUMIFS('Payment Breakdown Current'!$AC$15:$AC$164,'Payment Breakdown Current'!$AE$15:$AE$164,$A84))-(SUMIFS('Payment Breakdown Prior'!$AC$15:$AC$164,'Payment Breakdown Prior'!$AE$15:$AE$164,$A84))</f>
        <v/>
      </c>
      <c r="AH84">
        <f>(SUMIFS('Payment Breakdown Current'!$AD$15:$AD$164,'Payment Breakdown Current'!$AE$15:$AE$164,$A84))-(SUMIFS('Payment Breakdown Prior'!$AD$15:$AD$164,'Payment Breakdown Prior'!$AE$15:$AE$164,$A84))</f>
        <v/>
      </c>
      <c r="AI84">
        <f t="array" ref="AI84">MAX(ABS(W84:AH84))</f>
        <v/>
      </c>
      <c r="AJ84">
        <f t="array" ref="AJ84">IF(AI84&lt;0.005,"",IFERROR(INDEX($W$1:$AH$1,MATCH(AI84,ABS(W84:AH84),0)),""))</f>
        <v/>
      </c>
      <c r="AK84">
        <f t="array" ref="AK84">IF(AI84&lt;0.005,"",IFERROR(INDEX(W84:AH84,MATCH(AI84,ABS(W84:AH84),0)),""))</f>
        <v/>
      </c>
      <c r="AL84">
        <f>IF(R84=1,ABS(L84)-ROW()/100000000,"")</f>
        <v/>
      </c>
    </row>
    <row r="85">
      <c r="A85">
        <f>IF('NPV Comparison'!D98="","",'NPV Comparison'!D98)</f>
        <v/>
      </c>
      <c r="B85">
        <f>IF('NPV Comparison'!E98="","",'NPV Comparison'!E98)</f>
        <v/>
      </c>
      <c r="C85">
        <f>IF('NPV Comparison'!F98="","",'NPV Comparison'!F98)</f>
        <v/>
      </c>
      <c r="D85">
        <f>IF($A85="","",IFERROR(INDEX(Structure!$E$13:$E$312,MATCH($A85,Structure!$P$13:$P$312,0)),""))</f>
        <v/>
      </c>
      <c r="E85">
        <f>IF($A85="",0,IF(COUNTIF(Structure!$P$13:$P$312,$A85)=0,0,IF(COUNTIFS(Structure!$P$13:$P$312,$A85,Structure!$N$13:$N$312,"&lt;&gt;Zero Hours")=0,1,0)))</f>
        <v/>
      </c>
      <c r="F85">
        <f>IF($A85="",0,1-E85)</f>
        <v/>
      </c>
      <c r="G85">
        <f>IF($A85="",0,IF(COUNTIF('New Starters'!$D$14:$D$73,$A85)&gt;0,1,0))</f>
        <v/>
      </c>
      <c r="H85">
        <f>IF($A85="",0,IF(COUNTIF('Leavers'!$D$12:$D$71,$A85)&gt;0,1,0))</f>
        <v/>
      </c>
      <c r="I85">
        <f>IF($A85="","",IFERROR(INDEX('New Starters'!$K$14:$K$73,MATCH($A85,'New Starters'!$D$14:$D$73,0)),IFERROR(INDEX('Leavers'!$K$12:$K$71,MATCH($A85,'Leavers'!$D$12:$D$71,0)),"")))</f>
        <v/>
      </c>
      <c r="J85">
        <f>IF(AND(G85=1,I85&lt;&gt;"",COUNTIF('Leavers'!$K$12:$K$71,I85)&gt;0),1,IF(AND(H85=1,I85&lt;&gt;"",COUNTIF('New Starters'!$K$14:$K$73,I85)&gt;0),1,0))</f>
        <v/>
      </c>
      <c r="K85">
        <f>IF(ISNUMBER(SEARCH("Head Office",D85)),'Control Sheet'!$C$6,'Control Sheet'!$C$5)</f>
        <v/>
      </c>
      <c r="L85">
        <f>IF(OR($A85="",AND(B85="",C85="")),"",IF(B85="",C85,IF(C85="",-B85,C85-B85)))</f>
        <v/>
      </c>
      <c r="M85">
        <f>IFERROR(L85/B85,"")</f>
        <v/>
      </c>
      <c r="N85">
        <f>IF($A85="",0,IF(OR(B85="",C85="",C85=0,AND(ISNUMBER(M85),ABS(M85)&gt;K85)),1,0))</f>
        <v/>
      </c>
      <c r="O85">
        <f>IF(AND(N85=1,ABS(L85)&gt;='Control Sheet'!$C$7,F85=1),1,0)</f>
        <v/>
      </c>
      <c r="P85">
        <f>IF($A85="","",IF(F85=0,"Zero Hours",IF(J85=1,"Explained: Paired transfer",IF(AND(G85=1,H85=0,J85=0),"Explained: Starter",IF(AND(H85=1,G85=0,J85=0),"Explained: Leaver",IF(O85=1,"Review required","OK"))))))</f>
        <v/>
      </c>
      <c r="Q85">
        <f>IF(AND(F85=1,OR(C85="",C85=0),H85=0,J85=0),1,0)</f>
        <v/>
      </c>
      <c r="R85">
        <f>IF(F85=0,0,IF(P85="Review required",1,IF(AND(P85="Explained: Starter",ISNUMBER(C85),C85&gt;=1500),1,0)))</f>
        <v/>
      </c>
      <c r="S85">
        <f>IF(R85=0,"",IF(Q85=1,"High",IF(AND(P85="Explained: Starter",C85&gt;=1500),"High",IF(ABS(L85)&gt;=2000,"High",IF(ABS(L85)&gt;=500,"Medium","Low")))))</f>
        <v/>
      </c>
      <c r="T85">
        <f>SUMIFS('Payment Breakdown Prior'!$S$15:$S$164,'Payment Breakdown Prior'!$AE$15:$AE$164,$A85)</f>
        <v/>
      </c>
      <c r="U85">
        <f>SUMIFS('Payment Breakdown Current'!$S$15:$S$164,'Payment Breakdown Current'!$AE$15:$AE$164,$A85)</f>
        <v/>
      </c>
      <c r="V85">
        <f>IFERROR((U85-T85)/T85,"")</f>
        <v/>
      </c>
      <c r="W85">
        <f>(SUMIFS('Payment Breakdown Current'!$S$15:$S$164,'Payment Breakdown Current'!$AE$15:$AE$164,$A85))-(SUMIFS('Payment Breakdown Prior'!$S$15:$S$164,'Payment Breakdown Prior'!$AE$15:$AE$164,$A85))</f>
        <v/>
      </c>
      <c r="X85">
        <f>(SUMIFS('Payment Breakdown Current'!$T$15:$T$164,'Payment Breakdown Current'!$AE$15:$AE$164,$A85))-(SUMIFS('Payment Breakdown Prior'!$T$15:$T$164,'Payment Breakdown Prior'!$AE$15:$AE$164,$A85))</f>
        <v/>
      </c>
      <c r="Y85">
        <f>(SUMIFS('Payment Breakdown Current'!$U$15:$U$164,'Payment Breakdown Current'!$AE$15:$AE$164,$A85))-(SUMIFS('Payment Breakdown Prior'!$U$15:$U$164,'Payment Breakdown Prior'!$AE$15:$AE$164,$A85))</f>
        <v/>
      </c>
      <c r="Z85">
        <f>(SUMIFS('Payment Breakdown Current'!$V$15:$V$164,'Payment Breakdown Current'!$AE$15:$AE$164,$A85))-(SUMIFS('Payment Breakdown Prior'!$V$15:$V$164,'Payment Breakdown Prior'!$AE$15:$AE$164,$A85))</f>
        <v/>
      </c>
      <c r="AA85">
        <f>(SUMIFS('Payment Breakdown Current'!$W$15:$W$164,'Payment Breakdown Current'!$AE$15:$AE$164,$A85))-(SUMIFS('Payment Breakdown Prior'!$W$15:$W$164,'Payment Breakdown Prior'!$AE$15:$AE$164,$A85))</f>
        <v/>
      </c>
      <c r="AB85">
        <f>(SUMIFS('Payment Breakdown Current'!$X$15:$X$164,'Payment Breakdown Current'!$AE$15:$AE$164,$A85))-(SUMIFS('Payment Breakdown Prior'!$X$15:$X$164,'Payment Breakdown Prior'!$AE$15:$AE$164,$A85))</f>
        <v/>
      </c>
      <c r="AC85">
        <f>(SUMIFS('Payment Breakdown Current'!$Y$15:$Y$164,'Payment Breakdown Current'!$AE$15:$AE$164,$A85))-(SUMIFS('Payment Breakdown Prior'!$Y$15:$Y$164,'Payment Breakdown Prior'!$AE$15:$AE$164,$A85))</f>
        <v/>
      </c>
      <c r="AD85">
        <f>(SUMIFS('Payment Breakdown Current'!$Z$15:$Z$164,'Payment Breakdown Current'!$AE$15:$AE$164,$A85))-(SUMIFS('Payment Breakdown Prior'!$Z$15:$Z$164,'Payment Breakdown Prior'!$AE$15:$AE$164,$A85))</f>
        <v/>
      </c>
      <c r="AE85">
        <f>(SUMIFS('Payment Breakdown Current'!$AA$15:$AA$164,'Payment Breakdown Current'!$AE$15:$AE$164,$A85))-(SUMIFS('Payment Breakdown Prior'!$AA$15:$AA$164,'Payment Breakdown Prior'!$AE$15:$AE$164,$A85))</f>
        <v/>
      </c>
      <c r="AF85">
        <f>(SUMIFS('Payment Breakdown Current'!$AB$15:$AB$164,'Payment Breakdown Current'!$AE$15:$AE$164,$A85))-(SUMIFS('Payment Breakdown Prior'!$AB$15:$AB$164,'Payment Breakdown Prior'!$AE$15:$AE$164,$A85))</f>
        <v/>
      </c>
      <c r="AG85">
        <f>(SUMIFS('Payment Breakdown Current'!$AC$15:$AC$164,'Payment Breakdown Current'!$AE$15:$AE$164,$A85))-(SUMIFS('Payment Breakdown Prior'!$AC$15:$AC$164,'Payment Breakdown Prior'!$AE$15:$AE$164,$A85))</f>
        <v/>
      </c>
      <c r="AH85">
        <f>(SUMIFS('Payment Breakdown Current'!$AD$15:$AD$164,'Payment Breakdown Current'!$AE$15:$AE$164,$A85))-(SUMIFS('Payment Breakdown Prior'!$AD$15:$AD$164,'Payment Breakdown Prior'!$AE$15:$AE$164,$A85))</f>
        <v/>
      </c>
      <c r="AI85">
        <f t="array" ref="AI85">MAX(ABS(W85:AH85))</f>
        <v/>
      </c>
      <c r="AJ85">
        <f t="array" ref="AJ85">IF(AI85&lt;0.005,"",IFERROR(INDEX($W$1:$AH$1,MATCH(AI85,ABS(W85:AH85),0)),""))</f>
        <v/>
      </c>
      <c r="AK85">
        <f t="array" ref="AK85">IF(AI85&lt;0.005,"",IFERROR(INDEX(W85:AH85,MATCH(AI85,ABS(W85:AH85),0)),""))</f>
        <v/>
      </c>
      <c r="AL85">
        <f>IF(R85=1,ABS(L85)-ROW()/100000000,"")</f>
        <v/>
      </c>
    </row>
    <row r="86">
      <c r="A86">
        <f>IF('NPV Comparison'!D99="","",'NPV Comparison'!D99)</f>
        <v/>
      </c>
      <c r="B86">
        <f>IF('NPV Comparison'!E99="","",'NPV Comparison'!E99)</f>
        <v/>
      </c>
      <c r="C86">
        <f>IF('NPV Comparison'!F99="","",'NPV Comparison'!F99)</f>
        <v/>
      </c>
      <c r="D86">
        <f>IF($A86="","",IFERROR(INDEX(Structure!$E$13:$E$312,MATCH($A86,Structure!$P$13:$P$312,0)),""))</f>
        <v/>
      </c>
      <c r="E86">
        <f>IF($A86="",0,IF(COUNTIF(Structure!$P$13:$P$312,$A86)=0,0,IF(COUNTIFS(Structure!$P$13:$P$312,$A86,Structure!$N$13:$N$312,"&lt;&gt;Zero Hours")=0,1,0)))</f>
        <v/>
      </c>
      <c r="F86">
        <f>IF($A86="",0,1-E86)</f>
        <v/>
      </c>
      <c r="G86">
        <f>IF($A86="",0,IF(COUNTIF('New Starters'!$D$14:$D$73,$A86)&gt;0,1,0))</f>
        <v/>
      </c>
      <c r="H86">
        <f>IF($A86="",0,IF(COUNTIF('Leavers'!$D$12:$D$71,$A86)&gt;0,1,0))</f>
        <v/>
      </c>
      <c r="I86">
        <f>IF($A86="","",IFERROR(INDEX('New Starters'!$K$14:$K$73,MATCH($A86,'New Starters'!$D$14:$D$73,0)),IFERROR(INDEX('Leavers'!$K$12:$K$71,MATCH($A86,'Leavers'!$D$12:$D$71,0)),"")))</f>
        <v/>
      </c>
      <c r="J86">
        <f>IF(AND(G86=1,I86&lt;&gt;"",COUNTIF('Leavers'!$K$12:$K$71,I86)&gt;0),1,IF(AND(H86=1,I86&lt;&gt;"",COUNTIF('New Starters'!$K$14:$K$73,I86)&gt;0),1,0))</f>
        <v/>
      </c>
      <c r="K86">
        <f>IF(ISNUMBER(SEARCH("Head Office",D86)),'Control Sheet'!$C$6,'Control Sheet'!$C$5)</f>
        <v/>
      </c>
      <c r="L86">
        <f>IF(OR($A86="",AND(B86="",C86="")),"",IF(B86="",C86,IF(C86="",-B86,C86-B86)))</f>
        <v/>
      </c>
      <c r="M86">
        <f>IFERROR(L86/B86,"")</f>
        <v/>
      </c>
      <c r="N86">
        <f>IF($A86="",0,IF(OR(B86="",C86="",C86=0,AND(ISNUMBER(M86),ABS(M86)&gt;K86)),1,0))</f>
        <v/>
      </c>
      <c r="O86">
        <f>IF(AND(N86=1,ABS(L86)&gt;='Control Sheet'!$C$7,F86=1),1,0)</f>
        <v/>
      </c>
      <c r="P86">
        <f>IF($A86="","",IF(F86=0,"Zero Hours",IF(J86=1,"Explained: Paired transfer",IF(AND(G86=1,H86=0,J86=0),"Explained: Starter",IF(AND(H86=1,G86=0,J86=0),"Explained: Leaver",IF(O86=1,"Review required","OK"))))))</f>
        <v/>
      </c>
      <c r="Q86">
        <f>IF(AND(F86=1,OR(C86="",C86=0),H86=0,J86=0),1,0)</f>
        <v/>
      </c>
      <c r="R86">
        <f>IF(F86=0,0,IF(P86="Review required",1,IF(AND(P86="Explained: Starter",ISNUMBER(C86),C86&gt;=1500),1,0)))</f>
        <v/>
      </c>
      <c r="S86">
        <f>IF(R86=0,"",IF(Q86=1,"High",IF(AND(P86="Explained: Starter",C86&gt;=1500),"High",IF(ABS(L86)&gt;=2000,"High",IF(ABS(L86)&gt;=500,"Medium","Low")))))</f>
        <v/>
      </c>
      <c r="T86">
        <f>SUMIFS('Payment Breakdown Prior'!$S$15:$S$164,'Payment Breakdown Prior'!$AE$15:$AE$164,$A86)</f>
        <v/>
      </c>
      <c r="U86">
        <f>SUMIFS('Payment Breakdown Current'!$S$15:$S$164,'Payment Breakdown Current'!$AE$15:$AE$164,$A86)</f>
        <v/>
      </c>
      <c r="V86">
        <f>IFERROR((U86-T86)/T86,"")</f>
        <v/>
      </c>
      <c r="W86">
        <f>(SUMIFS('Payment Breakdown Current'!$S$15:$S$164,'Payment Breakdown Current'!$AE$15:$AE$164,$A86))-(SUMIFS('Payment Breakdown Prior'!$S$15:$S$164,'Payment Breakdown Prior'!$AE$15:$AE$164,$A86))</f>
        <v/>
      </c>
      <c r="X86">
        <f>(SUMIFS('Payment Breakdown Current'!$T$15:$T$164,'Payment Breakdown Current'!$AE$15:$AE$164,$A86))-(SUMIFS('Payment Breakdown Prior'!$T$15:$T$164,'Payment Breakdown Prior'!$AE$15:$AE$164,$A86))</f>
        <v/>
      </c>
      <c r="Y86">
        <f>(SUMIFS('Payment Breakdown Current'!$U$15:$U$164,'Payment Breakdown Current'!$AE$15:$AE$164,$A86))-(SUMIFS('Payment Breakdown Prior'!$U$15:$U$164,'Payment Breakdown Prior'!$AE$15:$AE$164,$A86))</f>
        <v/>
      </c>
      <c r="Z86">
        <f>(SUMIFS('Payment Breakdown Current'!$V$15:$V$164,'Payment Breakdown Current'!$AE$15:$AE$164,$A86))-(SUMIFS('Payment Breakdown Prior'!$V$15:$V$164,'Payment Breakdown Prior'!$AE$15:$AE$164,$A86))</f>
        <v/>
      </c>
      <c r="AA86">
        <f>(SUMIFS('Payment Breakdown Current'!$W$15:$W$164,'Payment Breakdown Current'!$AE$15:$AE$164,$A86))-(SUMIFS('Payment Breakdown Prior'!$W$15:$W$164,'Payment Breakdown Prior'!$AE$15:$AE$164,$A86))</f>
        <v/>
      </c>
      <c r="AB86">
        <f>(SUMIFS('Payment Breakdown Current'!$X$15:$X$164,'Payment Breakdown Current'!$AE$15:$AE$164,$A86))-(SUMIFS('Payment Breakdown Prior'!$X$15:$X$164,'Payment Breakdown Prior'!$AE$15:$AE$164,$A86))</f>
        <v/>
      </c>
      <c r="AC86">
        <f>(SUMIFS('Payment Breakdown Current'!$Y$15:$Y$164,'Payment Breakdown Current'!$AE$15:$AE$164,$A86))-(SUMIFS('Payment Breakdown Prior'!$Y$15:$Y$164,'Payment Breakdown Prior'!$AE$15:$AE$164,$A86))</f>
        <v/>
      </c>
      <c r="AD86">
        <f>(SUMIFS('Payment Breakdown Current'!$Z$15:$Z$164,'Payment Breakdown Current'!$AE$15:$AE$164,$A86))-(SUMIFS('Payment Breakdown Prior'!$Z$15:$Z$164,'Payment Breakdown Prior'!$AE$15:$AE$164,$A86))</f>
        <v/>
      </c>
      <c r="AE86">
        <f>(SUMIFS('Payment Breakdown Current'!$AA$15:$AA$164,'Payment Breakdown Current'!$AE$15:$AE$164,$A86))-(SUMIFS('Payment Breakdown Prior'!$AA$15:$AA$164,'Payment Breakdown Prior'!$AE$15:$AE$164,$A86))</f>
        <v/>
      </c>
      <c r="AF86">
        <f>(SUMIFS('Payment Breakdown Current'!$AB$15:$AB$164,'Payment Breakdown Current'!$AE$15:$AE$164,$A86))-(SUMIFS('Payment Breakdown Prior'!$AB$15:$AB$164,'Payment Breakdown Prior'!$AE$15:$AE$164,$A86))</f>
        <v/>
      </c>
      <c r="AG86">
        <f>(SUMIFS('Payment Breakdown Current'!$AC$15:$AC$164,'Payment Breakdown Current'!$AE$15:$AE$164,$A86))-(SUMIFS('Payment Breakdown Prior'!$AC$15:$AC$164,'Payment Breakdown Prior'!$AE$15:$AE$164,$A86))</f>
        <v/>
      </c>
      <c r="AH86">
        <f>(SUMIFS('Payment Breakdown Current'!$AD$15:$AD$164,'Payment Breakdown Current'!$AE$15:$AE$164,$A86))-(SUMIFS('Payment Breakdown Prior'!$AD$15:$AD$164,'Payment Breakdown Prior'!$AE$15:$AE$164,$A86))</f>
        <v/>
      </c>
      <c r="AI86">
        <f t="array" ref="AI86">MAX(ABS(W86:AH86))</f>
        <v/>
      </c>
      <c r="AJ86">
        <f t="array" ref="AJ86">IF(AI86&lt;0.005,"",IFERROR(INDEX($W$1:$AH$1,MATCH(AI86,ABS(W86:AH86),0)),""))</f>
        <v/>
      </c>
      <c r="AK86">
        <f t="array" ref="AK86">IF(AI86&lt;0.005,"",IFERROR(INDEX(W86:AH86,MATCH(AI86,ABS(W86:AH86),0)),""))</f>
        <v/>
      </c>
      <c r="AL86">
        <f>IF(R86=1,ABS(L86)-ROW()/100000000,"")</f>
        <v/>
      </c>
    </row>
    <row r="87">
      <c r="A87">
        <f>IF('NPV Comparison'!D100="","",'NPV Comparison'!D100)</f>
        <v/>
      </c>
      <c r="B87">
        <f>IF('NPV Comparison'!E100="","",'NPV Comparison'!E100)</f>
        <v/>
      </c>
      <c r="C87">
        <f>IF('NPV Comparison'!F100="","",'NPV Comparison'!F100)</f>
        <v/>
      </c>
      <c r="D87">
        <f>IF($A87="","",IFERROR(INDEX(Structure!$E$13:$E$312,MATCH($A87,Structure!$P$13:$P$312,0)),""))</f>
        <v/>
      </c>
      <c r="E87">
        <f>IF($A87="",0,IF(COUNTIF(Structure!$P$13:$P$312,$A87)=0,0,IF(COUNTIFS(Structure!$P$13:$P$312,$A87,Structure!$N$13:$N$312,"&lt;&gt;Zero Hours")=0,1,0)))</f>
        <v/>
      </c>
      <c r="F87">
        <f>IF($A87="",0,1-E87)</f>
        <v/>
      </c>
      <c r="G87">
        <f>IF($A87="",0,IF(COUNTIF('New Starters'!$D$14:$D$73,$A87)&gt;0,1,0))</f>
        <v/>
      </c>
      <c r="H87">
        <f>IF($A87="",0,IF(COUNTIF('Leavers'!$D$12:$D$71,$A87)&gt;0,1,0))</f>
        <v/>
      </c>
      <c r="I87">
        <f>IF($A87="","",IFERROR(INDEX('New Starters'!$K$14:$K$73,MATCH($A87,'New Starters'!$D$14:$D$73,0)),IFERROR(INDEX('Leavers'!$K$12:$K$71,MATCH($A87,'Leavers'!$D$12:$D$71,0)),"")))</f>
        <v/>
      </c>
      <c r="J87">
        <f>IF(AND(G87=1,I87&lt;&gt;"",COUNTIF('Leavers'!$K$12:$K$71,I87)&gt;0),1,IF(AND(H87=1,I87&lt;&gt;"",COUNTIF('New Starters'!$K$14:$K$73,I87)&gt;0),1,0))</f>
        <v/>
      </c>
      <c r="K87">
        <f>IF(ISNUMBER(SEARCH("Head Office",D87)),'Control Sheet'!$C$6,'Control Sheet'!$C$5)</f>
        <v/>
      </c>
      <c r="L87">
        <f>IF(OR($A87="",AND(B87="",C87="")),"",IF(B87="",C87,IF(C87="",-B87,C87-B87)))</f>
        <v/>
      </c>
      <c r="M87">
        <f>IFERROR(L87/B87,"")</f>
        <v/>
      </c>
      <c r="N87">
        <f>IF($A87="",0,IF(OR(B87="",C87="",C87=0,AND(ISNUMBER(M87),ABS(M87)&gt;K87)),1,0))</f>
        <v/>
      </c>
      <c r="O87">
        <f>IF(AND(N87=1,ABS(L87)&gt;='Control Sheet'!$C$7,F87=1),1,0)</f>
        <v/>
      </c>
      <c r="P87">
        <f>IF($A87="","",IF(F87=0,"Zero Hours",IF(J87=1,"Explained: Paired transfer",IF(AND(G87=1,H87=0,J87=0),"Explained: Starter",IF(AND(H87=1,G87=0,J87=0),"Explained: Leaver",IF(O87=1,"Review required","OK"))))))</f>
        <v/>
      </c>
      <c r="Q87">
        <f>IF(AND(F87=1,OR(C87="",C87=0),H87=0,J87=0),1,0)</f>
        <v/>
      </c>
      <c r="R87">
        <f>IF(F87=0,0,IF(P87="Review required",1,IF(AND(P87="Explained: Starter",ISNUMBER(C87),C87&gt;=1500),1,0)))</f>
        <v/>
      </c>
      <c r="S87">
        <f>IF(R87=0,"",IF(Q87=1,"High",IF(AND(P87="Explained: Starter",C87&gt;=1500),"High",IF(ABS(L87)&gt;=2000,"High",IF(ABS(L87)&gt;=500,"Medium","Low")))))</f>
        <v/>
      </c>
      <c r="T87">
        <f>SUMIFS('Payment Breakdown Prior'!$S$15:$S$164,'Payment Breakdown Prior'!$AE$15:$AE$164,$A87)</f>
        <v/>
      </c>
      <c r="U87">
        <f>SUMIFS('Payment Breakdown Current'!$S$15:$S$164,'Payment Breakdown Current'!$AE$15:$AE$164,$A87)</f>
        <v/>
      </c>
      <c r="V87">
        <f>IFERROR((U87-T87)/T87,"")</f>
        <v/>
      </c>
      <c r="W87">
        <f>(SUMIFS('Payment Breakdown Current'!$S$15:$S$164,'Payment Breakdown Current'!$AE$15:$AE$164,$A87))-(SUMIFS('Payment Breakdown Prior'!$S$15:$S$164,'Payment Breakdown Prior'!$AE$15:$AE$164,$A87))</f>
        <v/>
      </c>
      <c r="X87">
        <f>(SUMIFS('Payment Breakdown Current'!$T$15:$T$164,'Payment Breakdown Current'!$AE$15:$AE$164,$A87))-(SUMIFS('Payment Breakdown Prior'!$T$15:$T$164,'Payment Breakdown Prior'!$AE$15:$AE$164,$A87))</f>
        <v/>
      </c>
      <c r="Y87">
        <f>(SUMIFS('Payment Breakdown Current'!$U$15:$U$164,'Payment Breakdown Current'!$AE$15:$AE$164,$A87))-(SUMIFS('Payment Breakdown Prior'!$U$15:$U$164,'Payment Breakdown Prior'!$AE$15:$AE$164,$A87))</f>
        <v/>
      </c>
      <c r="Z87">
        <f>(SUMIFS('Payment Breakdown Current'!$V$15:$V$164,'Payment Breakdown Current'!$AE$15:$AE$164,$A87))-(SUMIFS('Payment Breakdown Prior'!$V$15:$V$164,'Payment Breakdown Prior'!$AE$15:$AE$164,$A87))</f>
        <v/>
      </c>
      <c r="AA87">
        <f>(SUMIFS('Payment Breakdown Current'!$W$15:$W$164,'Payment Breakdown Current'!$AE$15:$AE$164,$A87))-(SUMIFS('Payment Breakdown Prior'!$W$15:$W$164,'Payment Breakdown Prior'!$AE$15:$AE$164,$A87))</f>
        <v/>
      </c>
      <c r="AB87">
        <f>(SUMIFS('Payment Breakdown Current'!$X$15:$X$164,'Payment Breakdown Current'!$AE$15:$AE$164,$A87))-(SUMIFS('Payment Breakdown Prior'!$X$15:$X$164,'Payment Breakdown Prior'!$AE$15:$AE$164,$A87))</f>
        <v/>
      </c>
      <c r="AC87">
        <f>(SUMIFS('Payment Breakdown Current'!$Y$15:$Y$164,'Payment Breakdown Current'!$AE$15:$AE$164,$A87))-(SUMIFS('Payment Breakdown Prior'!$Y$15:$Y$164,'Payment Breakdown Prior'!$AE$15:$AE$164,$A87))</f>
        <v/>
      </c>
      <c r="AD87">
        <f>(SUMIFS('Payment Breakdown Current'!$Z$15:$Z$164,'Payment Breakdown Current'!$AE$15:$AE$164,$A87))-(SUMIFS('Payment Breakdown Prior'!$Z$15:$Z$164,'Payment Breakdown Prior'!$AE$15:$AE$164,$A87))</f>
        <v/>
      </c>
      <c r="AE87">
        <f>(SUMIFS('Payment Breakdown Current'!$AA$15:$AA$164,'Payment Breakdown Current'!$AE$15:$AE$164,$A87))-(SUMIFS('Payment Breakdown Prior'!$AA$15:$AA$164,'Payment Breakdown Prior'!$AE$15:$AE$164,$A87))</f>
        <v/>
      </c>
      <c r="AF87">
        <f>(SUMIFS('Payment Breakdown Current'!$AB$15:$AB$164,'Payment Breakdown Current'!$AE$15:$AE$164,$A87))-(SUMIFS('Payment Breakdown Prior'!$AB$15:$AB$164,'Payment Breakdown Prior'!$AE$15:$AE$164,$A87))</f>
        <v/>
      </c>
      <c r="AG87">
        <f>(SUMIFS('Payment Breakdown Current'!$AC$15:$AC$164,'Payment Breakdown Current'!$AE$15:$AE$164,$A87))-(SUMIFS('Payment Breakdown Prior'!$AC$15:$AC$164,'Payment Breakdown Prior'!$AE$15:$AE$164,$A87))</f>
        <v/>
      </c>
      <c r="AH87">
        <f>(SUMIFS('Payment Breakdown Current'!$AD$15:$AD$164,'Payment Breakdown Current'!$AE$15:$AE$164,$A87))-(SUMIFS('Payment Breakdown Prior'!$AD$15:$AD$164,'Payment Breakdown Prior'!$AE$15:$AE$164,$A87))</f>
        <v/>
      </c>
      <c r="AI87">
        <f t="array" ref="AI87">MAX(ABS(W87:AH87))</f>
        <v/>
      </c>
      <c r="AJ87">
        <f t="array" ref="AJ87">IF(AI87&lt;0.005,"",IFERROR(INDEX($W$1:$AH$1,MATCH(AI87,ABS(W87:AH87),0)),""))</f>
        <v/>
      </c>
      <c r="AK87">
        <f t="array" ref="AK87">IF(AI87&lt;0.005,"",IFERROR(INDEX(W87:AH87,MATCH(AI87,ABS(W87:AH87),0)),""))</f>
        <v/>
      </c>
      <c r="AL87">
        <f>IF(R87=1,ABS(L87)-ROW()/100000000,"")</f>
        <v/>
      </c>
    </row>
    <row r="88">
      <c r="A88">
        <f>IF('NPV Comparison'!D101="","",'NPV Comparison'!D101)</f>
        <v/>
      </c>
      <c r="B88">
        <f>IF('NPV Comparison'!E101="","",'NPV Comparison'!E101)</f>
        <v/>
      </c>
      <c r="C88">
        <f>IF('NPV Comparison'!F101="","",'NPV Comparison'!F101)</f>
        <v/>
      </c>
      <c r="D88">
        <f>IF($A88="","",IFERROR(INDEX(Structure!$E$13:$E$312,MATCH($A88,Structure!$P$13:$P$312,0)),""))</f>
        <v/>
      </c>
      <c r="E88">
        <f>IF($A88="",0,IF(COUNTIF(Structure!$P$13:$P$312,$A88)=0,0,IF(COUNTIFS(Structure!$P$13:$P$312,$A88,Structure!$N$13:$N$312,"&lt;&gt;Zero Hours")=0,1,0)))</f>
        <v/>
      </c>
      <c r="F88">
        <f>IF($A88="",0,1-E88)</f>
        <v/>
      </c>
      <c r="G88">
        <f>IF($A88="",0,IF(COUNTIF('New Starters'!$D$14:$D$73,$A88)&gt;0,1,0))</f>
        <v/>
      </c>
      <c r="H88">
        <f>IF($A88="",0,IF(COUNTIF('Leavers'!$D$12:$D$71,$A88)&gt;0,1,0))</f>
        <v/>
      </c>
      <c r="I88">
        <f>IF($A88="","",IFERROR(INDEX('New Starters'!$K$14:$K$73,MATCH($A88,'New Starters'!$D$14:$D$73,0)),IFERROR(INDEX('Leavers'!$K$12:$K$71,MATCH($A88,'Leavers'!$D$12:$D$71,0)),"")))</f>
        <v/>
      </c>
      <c r="J88">
        <f>IF(AND(G88=1,I88&lt;&gt;"",COUNTIF('Leavers'!$K$12:$K$71,I88)&gt;0),1,IF(AND(H88=1,I88&lt;&gt;"",COUNTIF('New Starters'!$K$14:$K$73,I88)&gt;0),1,0))</f>
        <v/>
      </c>
      <c r="K88">
        <f>IF(ISNUMBER(SEARCH("Head Office",D88)),'Control Sheet'!$C$6,'Control Sheet'!$C$5)</f>
        <v/>
      </c>
      <c r="L88">
        <f>IF(OR($A88="",AND(B88="",C88="")),"",IF(B88="",C88,IF(C88="",-B88,C88-B88)))</f>
        <v/>
      </c>
      <c r="M88">
        <f>IFERROR(L88/B88,"")</f>
        <v/>
      </c>
      <c r="N88">
        <f>IF($A88="",0,IF(OR(B88="",C88="",C88=0,AND(ISNUMBER(M88),ABS(M88)&gt;K88)),1,0))</f>
        <v/>
      </c>
      <c r="O88">
        <f>IF(AND(N88=1,ABS(L88)&gt;='Control Sheet'!$C$7,F88=1),1,0)</f>
        <v/>
      </c>
      <c r="P88">
        <f>IF($A88="","",IF(F88=0,"Zero Hours",IF(J88=1,"Explained: Paired transfer",IF(AND(G88=1,H88=0,J88=0),"Explained: Starter",IF(AND(H88=1,G88=0,J88=0),"Explained: Leaver",IF(O88=1,"Review required","OK"))))))</f>
        <v/>
      </c>
      <c r="Q88">
        <f>IF(AND(F88=1,OR(C88="",C88=0),H88=0,J88=0),1,0)</f>
        <v/>
      </c>
      <c r="R88">
        <f>IF(F88=0,0,IF(P88="Review required",1,IF(AND(P88="Explained: Starter",ISNUMBER(C88),C88&gt;=1500),1,0)))</f>
        <v/>
      </c>
      <c r="S88">
        <f>IF(R88=0,"",IF(Q88=1,"High",IF(AND(P88="Explained: Starter",C88&gt;=1500),"High",IF(ABS(L88)&gt;=2000,"High",IF(ABS(L88)&gt;=500,"Medium","Low")))))</f>
        <v/>
      </c>
      <c r="T88">
        <f>SUMIFS('Payment Breakdown Prior'!$S$15:$S$164,'Payment Breakdown Prior'!$AE$15:$AE$164,$A88)</f>
        <v/>
      </c>
      <c r="U88">
        <f>SUMIFS('Payment Breakdown Current'!$S$15:$S$164,'Payment Breakdown Current'!$AE$15:$AE$164,$A88)</f>
        <v/>
      </c>
      <c r="V88">
        <f>IFERROR((U88-T88)/T88,"")</f>
        <v/>
      </c>
      <c r="W88">
        <f>(SUMIFS('Payment Breakdown Current'!$S$15:$S$164,'Payment Breakdown Current'!$AE$15:$AE$164,$A88))-(SUMIFS('Payment Breakdown Prior'!$S$15:$S$164,'Payment Breakdown Prior'!$AE$15:$AE$164,$A88))</f>
        <v/>
      </c>
      <c r="X88">
        <f>(SUMIFS('Payment Breakdown Current'!$T$15:$T$164,'Payment Breakdown Current'!$AE$15:$AE$164,$A88))-(SUMIFS('Payment Breakdown Prior'!$T$15:$T$164,'Payment Breakdown Prior'!$AE$15:$AE$164,$A88))</f>
        <v/>
      </c>
      <c r="Y88">
        <f>(SUMIFS('Payment Breakdown Current'!$U$15:$U$164,'Payment Breakdown Current'!$AE$15:$AE$164,$A88))-(SUMIFS('Payment Breakdown Prior'!$U$15:$U$164,'Payment Breakdown Prior'!$AE$15:$AE$164,$A88))</f>
        <v/>
      </c>
      <c r="Z88">
        <f>(SUMIFS('Payment Breakdown Current'!$V$15:$V$164,'Payment Breakdown Current'!$AE$15:$AE$164,$A88))-(SUMIFS('Payment Breakdown Prior'!$V$15:$V$164,'Payment Breakdown Prior'!$AE$15:$AE$164,$A88))</f>
        <v/>
      </c>
      <c r="AA88">
        <f>(SUMIFS('Payment Breakdown Current'!$W$15:$W$164,'Payment Breakdown Current'!$AE$15:$AE$164,$A88))-(SUMIFS('Payment Breakdown Prior'!$W$15:$W$164,'Payment Breakdown Prior'!$AE$15:$AE$164,$A88))</f>
        <v/>
      </c>
      <c r="AB88">
        <f>(SUMIFS('Payment Breakdown Current'!$X$15:$X$164,'Payment Breakdown Current'!$AE$15:$AE$164,$A88))-(SUMIFS('Payment Breakdown Prior'!$X$15:$X$164,'Payment Breakdown Prior'!$AE$15:$AE$164,$A88))</f>
        <v/>
      </c>
      <c r="AC88">
        <f>(SUMIFS('Payment Breakdown Current'!$Y$15:$Y$164,'Payment Breakdown Current'!$AE$15:$AE$164,$A88))-(SUMIFS('Payment Breakdown Prior'!$Y$15:$Y$164,'Payment Breakdown Prior'!$AE$15:$AE$164,$A88))</f>
        <v/>
      </c>
      <c r="AD88">
        <f>(SUMIFS('Payment Breakdown Current'!$Z$15:$Z$164,'Payment Breakdown Current'!$AE$15:$AE$164,$A88))-(SUMIFS('Payment Breakdown Prior'!$Z$15:$Z$164,'Payment Breakdown Prior'!$AE$15:$AE$164,$A88))</f>
        <v/>
      </c>
      <c r="AE88">
        <f>(SUMIFS('Payment Breakdown Current'!$AA$15:$AA$164,'Payment Breakdown Current'!$AE$15:$AE$164,$A88))-(SUMIFS('Payment Breakdown Prior'!$AA$15:$AA$164,'Payment Breakdown Prior'!$AE$15:$AE$164,$A88))</f>
        <v/>
      </c>
      <c r="AF88">
        <f>(SUMIFS('Payment Breakdown Current'!$AB$15:$AB$164,'Payment Breakdown Current'!$AE$15:$AE$164,$A88))-(SUMIFS('Payment Breakdown Prior'!$AB$15:$AB$164,'Payment Breakdown Prior'!$AE$15:$AE$164,$A88))</f>
        <v/>
      </c>
      <c r="AG88">
        <f>(SUMIFS('Payment Breakdown Current'!$AC$15:$AC$164,'Payment Breakdown Current'!$AE$15:$AE$164,$A88))-(SUMIFS('Payment Breakdown Prior'!$AC$15:$AC$164,'Payment Breakdown Prior'!$AE$15:$AE$164,$A88))</f>
        <v/>
      </c>
      <c r="AH88">
        <f>(SUMIFS('Payment Breakdown Current'!$AD$15:$AD$164,'Payment Breakdown Current'!$AE$15:$AE$164,$A88))-(SUMIFS('Payment Breakdown Prior'!$AD$15:$AD$164,'Payment Breakdown Prior'!$AE$15:$AE$164,$A88))</f>
        <v/>
      </c>
      <c r="AI88">
        <f t="array" ref="AI88">MAX(ABS(W88:AH88))</f>
        <v/>
      </c>
      <c r="AJ88">
        <f t="array" ref="AJ88">IF(AI88&lt;0.005,"",IFERROR(INDEX($W$1:$AH$1,MATCH(AI88,ABS(W88:AH88),0)),""))</f>
        <v/>
      </c>
      <c r="AK88">
        <f t="array" ref="AK88">IF(AI88&lt;0.005,"",IFERROR(INDEX(W88:AH88,MATCH(AI88,ABS(W88:AH88),0)),""))</f>
        <v/>
      </c>
      <c r="AL88">
        <f>IF(R88=1,ABS(L88)-ROW()/100000000,"")</f>
        <v/>
      </c>
    </row>
    <row r="89">
      <c r="A89">
        <f>IF('NPV Comparison'!D102="","",'NPV Comparison'!D102)</f>
        <v/>
      </c>
      <c r="B89">
        <f>IF('NPV Comparison'!E102="","",'NPV Comparison'!E102)</f>
        <v/>
      </c>
      <c r="C89">
        <f>IF('NPV Comparison'!F102="","",'NPV Comparison'!F102)</f>
        <v/>
      </c>
      <c r="D89">
        <f>IF($A89="","",IFERROR(INDEX(Structure!$E$13:$E$312,MATCH($A89,Structure!$P$13:$P$312,0)),""))</f>
        <v/>
      </c>
      <c r="E89">
        <f>IF($A89="",0,IF(COUNTIF(Structure!$P$13:$P$312,$A89)=0,0,IF(COUNTIFS(Structure!$P$13:$P$312,$A89,Structure!$N$13:$N$312,"&lt;&gt;Zero Hours")=0,1,0)))</f>
        <v/>
      </c>
      <c r="F89">
        <f>IF($A89="",0,1-E89)</f>
        <v/>
      </c>
      <c r="G89">
        <f>IF($A89="",0,IF(COUNTIF('New Starters'!$D$14:$D$73,$A89)&gt;0,1,0))</f>
        <v/>
      </c>
      <c r="H89">
        <f>IF($A89="",0,IF(COUNTIF('Leavers'!$D$12:$D$71,$A89)&gt;0,1,0))</f>
        <v/>
      </c>
      <c r="I89">
        <f>IF($A89="","",IFERROR(INDEX('New Starters'!$K$14:$K$73,MATCH($A89,'New Starters'!$D$14:$D$73,0)),IFERROR(INDEX('Leavers'!$K$12:$K$71,MATCH($A89,'Leavers'!$D$12:$D$71,0)),"")))</f>
        <v/>
      </c>
      <c r="J89">
        <f>IF(AND(G89=1,I89&lt;&gt;"",COUNTIF('Leavers'!$K$12:$K$71,I89)&gt;0),1,IF(AND(H89=1,I89&lt;&gt;"",COUNTIF('New Starters'!$K$14:$K$73,I89)&gt;0),1,0))</f>
        <v/>
      </c>
      <c r="K89">
        <f>IF(ISNUMBER(SEARCH("Head Office",D89)),'Control Sheet'!$C$6,'Control Sheet'!$C$5)</f>
        <v/>
      </c>
      <c r="L89">
        <f>IF(OR($A89="",AND(B89="",C89="")),"",IF(B89="",C89,IF(C89="",-B89,C89-B89)))</f>
        <v/>
      </c>
      <c r="M89">
        <f>IFERROR(L89/B89,"")</f>
        <v/>
      </c>
      <c r="N89">
        <f>IF($A89="",0,IF(OR(B89="",C89="",C89=0,AND(ISNUMBER(M89),ABS(M89)&gt;K89)),1,0))</f>
        <v/>
      </c>
      <c r="O89">
        <f>IF(AND(N89=1,ABS(L89)&gt;='Control Sheet'!$C$7,F89=1),1,0)</f>
        <v/>
      </c>
      <c r="P89">
        <f>IF($A89="","",IF(F89=0,"Zero Hours",IF(J89=1,"Explained: Paired transfer",IF(AND(G89=1,H89=0,J89=0),"Explained: Starter",IF(AND(H89=1,G89=0,J89=0),"Explained: Leaver",IF(O89=1,"Review required","OK"))))))</f>
        <v/>
      </c>
      <c r="Q89">
        <f>IF(AND(F89=1,OR(C89="",C89=0),H89=0,J89=0),1,0)</f>
        <v/>
      </c>
      <c r="R89">
        <f>IF(F89=0,0,IF(P89="Review required",1,IF(AND(P89="Explained: Starter",ISNUMBER(C89),C89&gt;=1500),1,0)))</f>
        <v/>
      </c>
      <c r="S89">
        <f>IF(R89=0,"",IF(Q89=1,"High",IF(AND(P89="Explained: Starter",C89&gt;=1500),"High",IF(ABS(L89)&gt;=2000,"High",IF(ABS(L89)&gt;=500,"Medium","Low")))))</f>
        <v/>
      </c>
      <c r="T89">
        <f>SUMIFS('Payment Breakdown Prior'!$S$15:$S$164,'Payment Breakdown Prior'!$AE$15:$AE$164,$A89)</f>
        <v/>
      </c>
      <c r="U89">
        <f>SUMIFS('Payment Breakdown Current'!$S$15:$S$164,'Payment Breakdown Current'!$AE$15:$AE$164,$A89)</f>
        <v/>
      </c>
      <c r="V89">
        <f>IFERROR((U89-T89)/T89,"")</f>
        <v/>
      </c>
      <c r="W89">
        <f>(SUMIFS('Payment Breakdown Current'!$S$15:$S$164,'Payment Breakdown Current'!$AE$15:$AE$164,$A89))-(SUMIFS('Payment Breakdown Prior'!$S$15:$S$164,'Payment Breakdown Prior'!$AE$15:$AE$164,$A89))</f>
        <v/>
      </c>
      <c r="X89">
        <f>(SUMIFS('Payment Breakdown Current'!$T$15:$T$164,'Payment Breakdown Current'!$AE$15:$AE$164,$A89))-(SUMIFS('Payment Breakdown Prior'!$T$15:$T$164,'Payment Breakdown Prior'!$AE$15:$AE$164,$A89))</f>
        <v/>
      </c>
      <c r="Y89">
        <f>(SUMIFS('Payment Breakdown Current'!$U$15:$U$164,'Payment Breakdown Current'!$AE$15:$AE$164,$A89))-(SUMIFS('Payment Breakdown Prior'!$U$15:$U$164,'Payment Breakdown Prior'!$AE$15:$AE$164,$A89))</f>
        <v/>
      </c>
      <c r="Z89">
        <f>(SUMIFS('Payment Breakdown Current'!$V$15:$V$164,'Payment Breakdown Current'!$AE$15:$AE$164,$A89))-(SUMIFS('Payment Breakdown Prior'!$V$15:$V$164,'Payment Breakdown Prior'!$AE$15:$AE$164,$A89))</f>
        <v/>
      </c>
      <c r="AA89">
        <f>(SUMIFS('Payment Breakdown Current'!$W$15:$W$164,'Payment Breakdown Current'!$AE$15:$AE$164,$A89))-(SUMIFS('Payment Breakdown Prior'!$W$15:$W$164,'Payment Breakdown Prior'!$AE$15:$AE$164,$A89))</f>
        <v/>
      </c>
      <c r="AB89">
        <f>(SUMIFS('Payment Breakdown Current'!$X$15:$X$164,'Payment Breakdown Current'!$AE$15:$AE$164,$A89))-(SUMIFS('Payment Breakdown Prior'!$X$15:$X$164,'Payment Breakdown Prior'!$AE$15:$AE$164,$A89))</f>
        <v/>
      </c>
      <c r="AC89">
        <f>(SUMIFS('Payment Breakdown Current'!$Y$15:$Y$164,'Payment Breakdown Current'!$AE$15:$AE$164,$A89))-(SUMIFS('Payment Breakdown Prior'!$Y$15:$Y$164,'Payment Breakdown Prior'!$AE$15:$AE$164,$A89))</f>
        <v/>
      </c>
      <c r="AD89">
        <f>(SUMIFS('Payment Breakdown Current'!$Z$15:$Z$164,'Payment Breakdown Current'!$AE$15:$AE$164,$A89))-(SUMIFS('Payment Breakdown Prior'!$Z$15:$Z$164,'Payment Breakdown Prior'!$AE$15:$AE$164,$A89))</f>
        <v/>
      </c>
      <c r="AE89">
        <f>(SUMIFS('Payment Breakdown Current'!$AA$15:$AA$164,'Payment Breakdown Current'!$AE$15:$AE$164,$A89))-(SUMIFS('Payment Breakdown Prior'!$AA$15:$AA$164,'Payment Breakdown Prior'!$AE$15:$AE$164,$A89))</f>
        <v/>
      </c>
      <c r="AF89">
        <f>(SUMIFS('Payment Breakdown Current'!$AB$15:$AB$164,'Payment Breakdown Current'!$AE$15:$AE$164,$A89))-(SUMIFS('Payment Breakdown Prior'!$AB$15:$AB$164,'Payment Breakdown Prior'!$AE$15:$AE$164,$A89))</f>
        <v/>
      </c>
      <c r="AG89">
        <f>(SUMIFS('Payment Breakdown Current'!$AC$15:$AC$164,'Payment Breakdown Current'!$AE$15:$AE$164,$A89))-(SUMIFS('Payment Breakdown Prior'!$AC$15:$AC$164,'Payment Breakdown Prior'!$AE$15:$AE$164,$A89))</f>
        <v/>
      </c>
      <c r="AH89">
        <f>(SUMIFS('Payment Breakdown Current'!$AD$15:$AD$164,'Payment Breakdown Current'!$AE$15:$AE$164,$A89))-(SUMIFS('Payment Breakdown Prior'!$AD$15:$AD$164,'Payment Breakdown Prior'!$AE$15:$AE$164,$A89))</f>
        <v/>
      </c>
      <c r="AI89">
        <f t="array" ref="AI89">MAX(ABS(W89:AH89))</f>
        <v/>
      </c>
      <c r="AJ89">
        <f t="array" ref="AJ89">IF(AI89&lt;0.005,"",IFERROR(INDEX($W$1:$AH$1,MATCH(AI89,ABS(W89:AH89),0)),""))</f>
        <v/>
      </c>
      <c r="AK89">
        <f t="array" ref="AK89">IF(AI89&lt;0.005,"",IFERROR(INDEX(W89:AH89,MATCH(AI89,ABS(W89:AH89),0)),""))</f>
        <v/>
      </c>
      <c r="AL89">
        <f>IF(R89=1,ABS(L89)-ROW()/100000000,"")</f>
        <v/>
      </c>
    </row>
    <row r="90">
      <c r="A90">
        <f>IF('NPV Comparison'!D103="","",'NPV Comparison'!D103)</f>
        <v/>
      </c>
      <c r="B90">
        <f>IF('NPV Comparison'!E103="","",'NPV Comparison'!E103)</f>
        <v/>
      </c>
      <c r="C90">
        <f>IF('NPV Comparison'!F103="","",'NPV Comparison'!F103)</f>
        <v/>
      </c>
      <c r="D90">
        <f>IF($A90="","",IFERROR(INDEX(Structure!$E$13:$E$312,MATCH($A90,Structure!$P$13:$P$312,0)),""))</f>
        <v/>
      </c>
      <c r="E90">
        <f>IF($A90="",0,IF(COUNTIF(Structure!$P$13:$P$312,$A90)=0,0,IF(COUNTIFS(Structure!$P$13:$P$312,$A90,Structure!$N$13:$N$312,"&lt;&gt;Zero Hours")=0,1,0)))</f>
        <v/>
      </c>
      <c r="F90">
        <f>IF($A90="",0,1-E90)</f>
        <v/>
      </c>
      <c r="G90">
        <f>IF($A90="",0,IF(COUNTIF('New Starters'!$D$14:$D$73,$A90)&gt;0,1,0))</f>
        <v/>
      </c>
      <c r="H90">
        <f>IF($A90="",0,IF(COUNTIF('Leavers'!$D$12:$D$71,$A90)&gt;0,1,0))</f>
        <v/>
      </c>
      <c r="I90">
        <f>IF($A90="","",IFERROR(INDEX('New Starters'!$K$14:$K$73,MATCH($A90,'New Starters'!$D$14:$D$73,0)),IFERROR(INDEX('Leavers'!$K$12:$K$71,MATCH($A90,'Leavers'!$D$12:$D$71,0)),"")))</f>
        <v/>
      </c>
      <c r="J90">
        <f>IF(AND(G90=1,I90&lt;&gt;"",COUNTIF('Leavers'!$K$12:$K$71,I90)&gt;0),1,IF(AND(H90=1,I90&lt;&gt;"",COUNTIF('New Starters'!$K$14:$K$73,I90)&gt;0),1,0))</f>
        <v/>
      </c>
      <c r="K90">
        <f>IF(ISNUMBER(SEARCH("Head Office",D90)),'Control Sheet'!$C$6,'Control Sheet'!$C$5)</f>
        <v/>
      </c>
      <c r="L90">
        <f>IF(OR($A90="",AND(B90="",C90="")),"",IF(B90="",C90,IF(C90="",-B90,C90-B90)))</f>
        <v/>
      </c>
      <c r="M90">
        <f>IFERROR(L90/B90,"")</f>
        <v/>
      </c>
      <c r="N90">
        <f>IF($A90="",0,IF(OR(B90="",C90="",C90=0,AND(ISNUMBER(M90),ABS(M90)&gt;K90)),1,0))</f>
        <v/>
      </c>
      <c r="O90">
        <f>IF(AND(N90=1,ABS(L90)&gt;='Control Sheet'!$C$7,F90=1),1,0)</f>
        <v/>
      </c>
      <c r="P90">
        <f>IF($A90="","",IF(F90=0,"Zero Hours",IF(J90=1,"Explained: Paired transfer",IF(AND(G90=1,H90=0,J90=0),"Explained: Starter",IF(AND(H90=1,G90=0,J90=0),"Explained: Leaver",IF(O90=1,"Review required","OK"))))))</f>
        <v/>
      </c>
      <c r="Q90">
        <f>IF(AND(F90=1,OR(C90="",C90=0),H90=0,J90=0),1,0)</f>
        <v/>
      </c>
      <c r="R90">
        <f>IF(F90=0,0,IF(P90="Review required",1,IF(AND(P90="Explained: Starter",ISNUMBER(C90),C90&gt;=1500),1,0)))</f>
        <v/>
      </c>
      <c r="S90">
        <f>IF(R90=0,"",IF(Q90=1,"High",IF(AND(P90="Explained: Starter",C90&gt;=1500),"High",IF(ABS(L90)&gt;=2000,"High",IF(ABS(L90)&gt;=500,"Medium","Low")))))</f>
        <v/>
      </c>
      <c r="T90">
        <f>SUMIFS('Payment Breakdown Prior'!$S$15:$S$164,'Payment Breakdown Prior'!$AE$15:$AE$164,$A90)</f>
        <v/>
      </c>
      <c r="U90">
        <f>SUMIFS('Payment Breakdown Current'!$S$15:$S$164,'Payment Breakdown Current'!$AE$15:$AE$164,$A90)</f>
        <v/>
      </c>
      <c r="V90">
        <f>IFERROR((U90-T90)/T90,"")</f>
        <v/>
      </c>
      <c r="W90">
        <f>(SUMIFS('Payment Breakdown Current'!$S$15:$S$164,'Payment Breakdown Current'!$AE$15:$AE$164,$A90))-(SUMIFS('Payment Breakdown Prior'!$S$15:$S$164,'Payment Breakdown Prior'!$AE$15:$AE$164,$A90))</f>
        <v/>
      </c>
      <c r="X90">
        <f>(SUMIFS('Payment Breakdown Current'!$T$15:$T$164,'Payment Breakdown Current'!$AE$15:$AE$164,$A90))-(SUMIFS('Payment Breakdown Prior'!$T$15:$T$164,'Payment Breakdown Prior'!$AE$15:$AE$164,$A90))</f>
        <v/>
      </c>
      <c r="Y90">
        <f>(SUMIFS('Payment Breakdown Current'!$U$15:$U$164,'Payment Breakdown Current'!$AE$15:$AE$164,$A90))-(SUMIFS('Payment Breakdown Prior'!$U$15:$U$164,'Payment Breakdown Prior'!$AE$15:$AE$164,$A90))</f>
        <v/>
      </c>
      <c r="Z90">
        <f>(SUMIFS('Payment Breakdown Current'!$V$15:$V$164,'Payment Breakdown Current'!$AE$15:$AE$164,$A90))-(SUMIFS('Payment Breakdown Prior'!$V$15:$V$164,'Payment Breakdown Prior'!$AE$15:$AE$164,$A90))</f>
        <v/>
      </c>
      <c r="AA90">
        <f>(SUMIFS('Payment Breakdown Current'!$W$15:$W$164,'Payment Breakdown Current'!$AE$15:$AE$164,$A90))-(SUMIFS('Payment Breakdown Prior'!$W$15:$W$164,'Payment Breakdown Prior'!$AE$15:$AE$164,$A90))</f>
        <v/>
      </c>
      <c r="AB90">
        <f>(SUMIFS('Payment Breakdown Current'!$X$15:$X$164,'Payment Breakdown Current'!$AE$15:$AE$164,$A90))-(SUMIFS('Payment Breakdown Prior'!$X$15:$X$164,'Payment Breakdown Prior'!$AE$15:$AE$164,$A90))</f>
        <v/>
      </c>
      <c r="AC90">
        <f>(SUMIFS('Payment Breakdown Current'!$Y$15:$Y$164,'Payment Breakdown Current'!$AE$15:$AE$164,$A90))-(SUMIFS('Payment Breakdown Prior'!$Y$15:$Y$164,'Payment Breakdown Prior'!$AE$15:$AE$164,$A90))</f>
        <v/>
      </c>
      <c r="AD90">
        <f>(SUMIFS('Payment Breakdown Current'!$Z$15:$Z$164,'Payment Breakdown Current'!$AE$15:$AE$164,$A90))-(SUMIFS('Payment Breakdown Prior'!$Z$15:$Z$164,'Payment Breakdown Prior'!$AE$15:$AE$164,$A90))</f>
        <v/>
      </c>
      <c r="AE90">
        <f>(SUMIFS('Payment Breakdown Current'!$AA$15:$AA$164,'Payment Breakdown Current'!$AE$15:$AE$164,$A90))-(SUMIFS('Payment Breakdown Prior'!$AA$15:$AA$164,'Payment Breakdown Prior'!$AE$15:$AE$164,$A90))</f>
        <v/>
      </c>
      <c r="AF90">
        <f>(SUMIFS('Payment Breakdown Current'!$AB$15:$AB$164,'Payment Breakdown Current'!$AE$15:$AE$164,$A90))-(SUMIFS('Payment Breakdown Prior'!$AB$15:$AB$164,'Payment Breakdown Prior'!$AE$15:$AE$164,$A90))</f>
        <v/>
      </c>
      <c r="AG90">
        <f>(SUMIFS('Payment Breakdown Current'!$AC$15:$AC$164,'Payment Breakdown Current'!$AE$15:$AE$164,$A90))-(SUMIFS('Payment Breakdown Prior'!$AC$15:$AC$164,'Payment Breakdown Prior'!$AE$15:$AE$164,$A90))</f>
        <v/>
      </c>
      <c r="AH90">
        <f>(SUMIFS('Payment Breakdown Current'!$AD$15:$AD$164,'Payment Breakdown Current'!$AE$15:$AE$164,$A90))-(SUMIFS('Payment Breakdown Prior'!$AD$15:$AD$164,'Payment Breakdown Prior'!$AE$15:$AE$164,$A90))</f>
        <v/>
      </c>
      <c r="AI90">
        <f t="array" ref="AI90">MAX(ABS(W90:AH90))</f>
        <v/>
      </c>
      <c r="AJ90">
        <f t="array" ref="AJ90">IF(AI90&lt;0.005,"",IFERROR(INDEX($W$1:$AH$1,MATCH(AI90,ABS(W90:AH90),0)),""))</f>
        <v/>
      </c>
      <c r="AK90">
        <f t="array" ref="AK90">IF(AI90&lt;0.005,"",IFERROR(INDEX(W90:AH90,MATCH(AI90,ABS(W90:AH90),0)),""))</f>
        <v/>
      </c>
      <c r="AL90">
        <f>IF(R90=1,ABS(L90)-ROW()/100000000,"")</f>
        <v/>
      </c>
    </row>
    <row r="91">
      <c r="A91">
        <f>IF('NPV Comparison'!D104="","",'NPV Comparison'!D104)</f>
        <v/>
      </c>
      <c r="B91">
        <f>IF('NPV Comparison'!E104="","",'NPV Comparison'!E104)</f>
        <v/>
      </c>
      <c r="C91">
        <f>IF('NPV Comparison'!F104="","",'NPV Comparison'!F104)</f>
        <v/>
      </c>
      <c r="D91">
        <f>IF($A91="","",IFERROR(INDEX(Structure!$E$13:$E$312,MATCH($A91,Structure!$P$13:$P$312,0)),""))</f>
        <v/>
      </c>
      <c r="E91">
        <f>IF($A91="",0,IF(COUNTIF(Structure!$P$13:$P$312,$A91)=0,0,IF(COUNTIFS(Structure!$P$13:$P$312,$A91,Structure!$N$13:$N$312,"&lt;&gt;Zero Hours")=0,1,0)))</f>
        <v/>
      </c>
      <c r="F91">
        <f>IF($A91="",0,1-E91)</f>
        <v/>
      </c>
      <c r="G91">
        <f>IF($A91="",0,IF(COUNTIF('New Starters'!$D$14:$D$73,$A91)&gt;0,1,0))</f>
        <v/>
      </c>
      <c r="H91">
        <f>IF($A91="",0,IF(COUNTIF('Leavers'!$D$12:$D$71,$A91)&gt;0,1,0))</f>
        <v/>
      </c>
      <c r="I91">
        <f>IF($A91="","",IFERROR(INDEX('New Starters'!$K$14:$K$73,MATCH($A91,'New Starters'!$D$14:$D$73,0)),IFERROR(INDEX('Leavers'!$K$12:$K$71,MATCH($A91,'Leavers'!$D$12:$D$71,0)),"")))</f>
        <v/>
      </c>
      <c r="J91">
        <f>IF(AND(G91=1,I91&lt;&gt;"",COUNTIF('Leavers'!$K$12:$K$71,I91)&gt;0),1,IF(AND(H91=1,I91&lt;&gt;"",COUNTIF('New Starters'!$K$14:$K$73,I91)&gt;0),1,0))</f>
        <v/>
      </c>
      <c r="K91">
        <f>IF(ISNUMBER(SEARCH("Head Office",D91)),'Control Sheet'!$C$6,'Control Sheet'!$C$5)</f>
        <v/>
      </c>
      <c r="L91">
        <f>IF(OR($A91="",AND(B91="",C91="")),"",IF(B91="",C91,IF(C91="",-B91,C91-B91)))</f>
        <v/>
      </c>
      <c r="M91">
        <f>IFERROR(L91/B91,"")</f>
        <v/>
      </c>
      <c r="N91">
        <f>IF($A91="",0,IF(OR(B91="",C91="",C91=0,AND(ISNUMBER(M91),ABS(M91)&gt;K91)),1,0))</f>
        <v/>
      </c>
      <c r="O91">
        <f>IF(AND(N91=1,ABS(L91)&gt;='Control Sheet'!$C$7,F91=1),1,0)</f>
        <v/>
      </c>
      <c r="P91">
        <f>IF($A91="","",IF(F91=0,"Zero Hours",IF(J91=1,"Explained: Paired transfer",IF(AND(G91=1,H91=0,J91=0),"Explained: Starter",IF(AND(H91=1,G91=0,J91=0),"Explained: Leaver",IF(O91=1,"Review required","OK"))))))</f>
        <v/>
      </c>
      <c r="Q91">
        <f>IF(AND(F91=1,OR(C91="",C91=0),H91=0,J91=0),1,0)</f>
        <v/>
      </c>
      <c r="R91">
        <f>IF(F91=0,0,IF(P91="Review required",1,IF(AND(P91="Explained: Starter",ISNUMBER(C91),C91&gt;=1500),1,0)))</f>
        <v/>
      </c>
      <c r="S91">
        <f>IF(R91=0,"",IF(Q91=1,"High",IF(AND(P91="Explained: Starter",C91&gt;=1500),"High",IF(ABS(L91)&gt;=2000,"High",IF(ABS(L91)&gt;=500,"Medium","Low")))))</f>
        <v/>
      </c>
      <c r="T91">
        <f>SUMIFS('Payment Breakdown Prior'!$S$15:$S$164,'Payment Breakdown Prior'!$AE$15:$AE$164,$A91)</f>
        <v/>
      </c>
      <c r="U91">
        <f>SUMIFS('Payment Breakdown Current'!$S$15:$S$164,'Payment Breakdown Current'!$AE$15:$AE$164,$A91)</f>
        <v/>
      </c>
      <c r="V91">
        <f>IFERROR((U91-T91)/T91,"")</f>
        <v/>
      </c>
      <c r="W91">
        <f>(SUMIFS('Payment Breakdown Current'!$S$15:$S$164,'Payment Breakdown Current'!$AE$15:$AE$164,$A91))-(SUMIFS('Payment Breakdown Prior'!$S$15:$S$164,'Payment Breakdown Prior'!$AE$15:$AE$164,$A91))</f>
        <v/>
      </c>
      <c r="X91">
        <f>(SUMIFS('Payment Breakdown Current'!$T$15:$T$164,'Payment Breakdown Current'!$AE$15:$AE$164,$A91))-(SUMIFS('Payment Breakdown Prior'!$T$15:$T$164,'Payment Breakdown Prior'!$AE$15:$AE$164,$A91))</f>
        <v/>
      </c>
      <c r="Y91">
        <f>(SUMIFS('Payment Breakdown Current'!$U$15:$U$164,'Payment Breakdown Current'!$AE$15:$AE$164,$A91))-(SUMIFS('Payment Breakdown Prior'!$U$15:$U$164,'Payment Breakdown Prior'!$AE$15:$AE$164,$A91))</f>
        <v/>
      </c>
      <c r="Z91">
        <f>(SUMIFS('Payment Breakdown Current'!$V$15:$V$164,'Payment Breakdown Current'!$AE$15:$AE$164,$A91))-(SUMIFS('Payment Breakdown Prior'!$V$15:$V$164,'Payment Breakdown Prior'!$AE$15:$AE$164,$A91))</f>
        <v/>
      </c>
      <c r="AA91">
        <f>(SUMIFS('Payment Breakdown Current'!$W$15:$W$164,'Payment Breakdown Current'!$AE$15:$AE$164,$A91))-(SUMIFS('Payment Breakdown Prior'!$W$15:$W$164,'Payment Breakdown Prior'!$AE$15:$AE$164,$A91))</f>
        <v/>
      </c>
      <c r="AB91">
        <f>(SUMIFS('Payment Breakdown Current'!$X$15:$X$164,'Payment Breakdown Current'!$AE$15:$AE$164,$A91))-(SUMIFS('Payment Breakdown Prior'!$X$15:$X$164,'Payment Breakdown Prior'!$AE$15:$AE$164,$A91))</f>
        <v/>
      </c>
      <c r="AC91">
        <f>(SUMIFS('Payment Breakdown Current'!$Y$15:$Y$164,'Payment Breakdown Current'!$AE$15:$AE$164,$A91))-(SUMIFS('Payment Breakdown Prior'!$Y$15:$Y$164,'Payment Breakdown Prior'!$AE$15:$AE$164,$A91))</f>
        <v/>
      </c>
      <c r="AD91">
        <f>(SUMIFS('Payment Breakdown Current'!$Z$15:$Z$164,'Payment Breakdown Current'!$AE$15:$AE$164,$A91))-(SUMIFS('Payment Breakdown Prior'!$Z$15:$Z$164,'Payment Breakdown Prior'!$AE$15:$AE$164,$A91))</f>
        <v/>
      </c>
      <c r="AE91">
        <f>(SUMIFS('Payment Breakdown Current'!$AA$15:$AA$164,'Payment Breakdown Current'!$AE$15:$AE$164,$A91))-(SUMIFS('Payment Breakdown Prior'!$AA$15:$AA$164,'Payment Breakdown Prior'!$AE$15:$AE$164,$A91))</f>
        <v/>
      </c>
      <c r="AF91">
        <f>(SUMIFS('Payment Breakdown Current'!$AB$15:$AB$164,'Payment Breakdown Current'!$AE$15:$AE$164,$A91))-(SUMIFS('Payment Breakdown Prior'!$AB$15:$AB$164,'Payment Breakdown Prior'!$AE$15:$AE$164,$A91))</f>
        <v/>
      </c>
      <c r="AG91">
        <f>(SUMIFS('Payment Breakdown Current'!$AC$15:$AC$164,'Payment Breakdown Current'!$AE$15:$AE$164,$A91))-(SUMIFS('Payment Breakdown Prior'!$AC$15:$AC$164,'Payment Breakdown Prior'!$AE$15:$AE$164,$A91))</f>
        <v/>
      </c>
      <c r="AH91">
        <f>(SUMIFS('Payment Breakdown Current'!$AD$15:$AD$164,'Payment Breakdown Current'!$AE$15:$AE$164,$A91))-(SUMIFS('Payment Breakdown Prior'!$AD$15:$AD$164,'Payment Breakdown Prior'!$AE$15:$AE$164,$A91))</f>
        <v/>
      </c>
      <c r="AI91">
        <f t="array" ref="AI91">MAX(ABS(W91:AH91))</f>
        <v/>
      </c>
      <c r="AJ91">
        <f t="array" ref="AJ91">IF(AI91&lt;0.005,"",IFERROR(INDEX($W$1:$AH$1,MATCH(AI91,ABS(W91:AH91),0)),""))</f>
        <v/>
      </c>
      <c r="AK91">
        <f t="array" ref="AK91">IF(AI91&lt;0.005,"",IFERROR(INDEX(W91:AH91,MATCH(AI91,ABS(W91:AH91),0)),""))</f>
        <v/>
      </c>
      <c r="AL91">
        <f>IF(R91=1,ABS(L91)-ROW()/100000000,"")</f>
        <v/>
      </c>
    </row>
    <row r="92">
      <c r="A92">
        <f>IF('NPV Comparison'!D105="","",'NPV Comparison'!D105)</f>
        <v/>
      </c>
      <c r="B92">
        <f>IF('NPV Comparison'!E105="","",'NPV Comparison'!E105)</f>
        <v/>
      </c>
      <c r="C92">
        <f>IF('NPV Comparison'!F105="","",'NPV Comparison'!F105)</f>
        <v/>
      </c>
      <c r="D92">
        <f>IF($A92="","",IFERROR(INDEX(Structure!$E$13:$E$312,MATCH($A92,Structure!$P$13:$P$312,0)),""))</f>
        <v/>
      </c>
      <c r="E92">
        <f>IF($A92="",0,IF(COUNTIF(Structure!$P$13:$P$312,$A92)=0,0,IF(COUNTIFS(Structure!$P$13:$P$312,$A92,Structure!$N$13:$N$312,"&lt;&gt;Zero Hours")=0,1,0)))</f>
        <v/>
      </c>
      <c r="F92">
        <f>IF($A92="",0,1-E92)</f>
        <v/>
      </c>
      <c r="G92">
        <f>IF($A92="",0,IF(COUNTIF('New Starters'!$D$14:$D$73,$A92)&gt;0,1,0))</f>
        <v/>
      </c>
      <c r="H92">
        <f>IF($A92="",0,IF(COUNTIF('Leavers'!$D$12:$D$71,$A92)&gt;0,1,0))</f>
        <v/>
      </c>
      <c r="I92">
        <f>IF($A92="","",IFERROR(INDEX('New Starters'!$K$14:$K$73,MATCH($A92,'New Starters'!$D$14:$D$73,0)),IFERROR(INDEX('Leavers'!$K$12:$K$71,MATCH($A92,'Leavers'!$D$12:$D$71,0)),"")))</f>
        <v/>
      </c>
      <c r="J92">
        <f>IF(AND(G92=1,I92&lt;&gt;"",COUNTIF('Leavers'!$K$12:$K$71,I92)&gt;0),1,IF(AND(H92=1,I92&lt;&gt;"",COUNTIF('New Starters'!$K$14:$K$73,I92)&gt;0),1,0))</f>
        <v/>
      </c>
      <c r="K92">
        <f>IF(ISNUMBER(SEARCH("Head Office",D92)),'Control Sheet'!$C$6,'Control Sheet'!$C$5)</f>
        <v/>
      </c>
      <c r="L92">
        <f>IF(OR($A92="",AND(B92="",C92="")),"",IF(B92="",C92,IF(C92="",-B92,C92-B92)))</f>
        <v/>
      </c>
      <c r="M92">
        <f>IFERROR(L92/B92,"")</f>
        <v/>
      </c>
      <c r="N92">
        <f>IF($A92="",0,IF(OR(B92="",C92="",C92=0,AND(ISNUMBER(M92),ABS(M92)&gt;K92)),1,0))</f>
        <v/>
      </c>
      <c r="O92">
        <f>IF(AND(N92=1,ABS(L92)&gt;='Control Sheet'!$C$7,F92=1),1,0)</f>
        <v/>
      </c>
      <c r="P92">
        <f>IF($A92="","",IF(F92=0,"Zero Hours",IF(J92=1,"Explained: Paired transfer",IF(AND(G92=1,H92=0,J92=0),"Explained: Starter",IF(AND(H92=1,G92=0,J92=0),"Explained: Leaver",IF(O92=1,"Review required","OK"))))))</f>
        <v/>
      </c>
      <c r="Q92">
        <f>IF(AND(F92=1,OR(C92="",C92=0),H92=0,J92=0),1,0)</f>
        <v/>
      </c>
      <c r="R92">
        <f>IF(F92=0,0,IF(P92="Review required",1,IF(AND(P92="Explained: Starter",ISNUMBER(C92),C92&gt;=1500),1,0)))</f>
        <v/>
      </c>
      <c r="S92">
        <f>IF(R92=0,"",IF(Q92=1,"High",IF(AND(P92="Explained: Starter",C92&gt;=1500),"High",IF(ABS(L92)&gt;=2000,"High",IF(ABS(L92)&gt;=500,"Medium","Low")))))</f>
        <v/>
      </c>
      <c r="T92">
        <f>SUMIFS('Payment Breakdown Prior'!$S$15:$S$164,'Payment Breakdown Prior'!$AE$15:$AE$164,$A92)</f>
        <v/>
      </c>
      <c r="U92">
        <f>SUMIFS('Payment Breakdown Current'!$S$15:$S$164,'Payment Breakdown Current'!$AE$15:$AE$164,$A92)</f>
        <v/>
      </c>
      <c r="V92">
        <f>IFERROR((U92-T92)/T92,"")</f>
        <v/>
      </c>
      <c r="W92">
        <f>(SUMIFS('Payment Breakdown Current'!$S$15:$S$164,'Payment Breakdown Current'!$AE$15:$AE$164,$A92))-(SUMIFS('Payment Breakdown Prior'!$S$15:$S$164,'Payment Breakdown Prior'!$AE$15:$AE$164,$A92))</f>
        <v/>
      </c>
      <c r="X92">
        <f>(SUMIFS('Payment Breakdown Current'!$T$15:$T$164,'Payment Breakdown Current'!$AE$15:$AE$164,$A92))-(SUMIFS('Payment Breakdown Prior'!$T$15:$T$164,'Payment Breakdown Prior'!$AE$15:$AE$164,$A92))</f>
        <v/>
      </c>
      <c r="Y92">
        <f>(SUMIFS('Payment Breakdown Current'!$U$15:$U$164,'Payment Breakdown Current'!$AE$15:$AE$164,$A92))-(SUMIFS('Payment Breakdown Prior'!$U$15:$U$164,'Payment Breakdown Prior'!$AE$15:$AE$164,$A92))</f>
        <v/>
      </c>
      <c r="Z92">
        <f>(SUMIFS('Payment Breakdown Current'!$V$15:$V$164,'Payment Breakdown Current'!$AE$15:$AE$164,$A92))-(SUMIFS('Payment Breakdown Prior'!$V$15:$V$164,'Payment Breakdown Prior'!$AE$15:$AE$164,$A92))</f>
        <v/>
      </c>
      <c r="AA92">
        <f>(SUMIFS('Payment Breakdown Current'!$W$15:$W$164,'Payment Breakdown Current'!$AE$15:$AE$164,$A92))-(SUMIFS('Payment Breakdown Prior'!$W$15:$W$164,'Payment Breakdown Prior'!$AE$15:$AE$164,$A92))</f>
        <v/>
      </c>
      <c r="AB92">
        <f>(SUMIFS('Payment Breakdown Current'!$X$15:$X$164,'Payment Breakdown Current'!$AE$15:$AE$164,$A92))-(SUMIFS('Payment Breakdown Prior'!$X$15:$X$164,'Payment Breakdown Prior'!$AE$15:$AE$164,$A92))</f>
        <v/>
      </c>
      <c r="AC92">
        <f>(SUMIFS('Payment Breakdown Current'!$Y$15:$Y$164,'Payment Breakdown Current'!$AE$15:$AE$164,$A92))-(SUMIFS('Payment Breakdown Prior'!$Y$15:$Y$164,'Payment Breakdown Prior'!$AE$15:$AE$164,$A92))</f>
        <v/>
      </c>
      <c r="AD92">
        <f>(SUMIFS('Payment Breakdown Current'!$Z$15:$Z$164,'Payment Breakdown Current'!$AE$15:$AE$164,$A92))-(SUMIFS('Payment Breakdown Prior'!$Z$15:$Z$164,'Payment Breakdown Prior'!$AE$15:$AE$164,$A92))</f>
        <v/>
      </c>
      <c r="AE92">
        <f>(SUMIFS('Payment Breakdown Current'!$AA$15:$AA$164,'Payment Breakdown Current'!$AE$15:$AE$164,$A92))-(SUMIFS('Payment Breakdown Prior'!$AA$15:$AA$164,'Payment Breakdown Prior'!$AE$15:$AE$164,$A92))</f>
        <v/>
      </c>
      <c r="AF92">
        <f>(SUMIFS('Payment Breakdown Current'!$AB$15:$AB$164,'Payment Breakdown Current'!$AE$15:$AE$164,$A92))-(SUMIFS('Payment Breakdown Prior'!$AB$15:$AB$164,'Payment Breakdown Prior'!$AE$15:$AE$164,$A92))</f>
        <v/>
      </c>
      <c r="AG92">
        <f>(SUMIFS('Payment Breakdown Current'!$AC$15:$AC$164,'Payment Breakdown Current'!$AE$15:$AE$164,$A92))-(SUMIFS('Payment Breakdown Prior'!$AC$15:$AC$164,'Payment Breakdown Prior'!$AE$15:$AE$164,$A92))</f>
        <v/>
      </c>
      <c r="AH92">
        <f>(SUMIFS('Payment Breakdown Current'!$AD$15:$AD$164,'Payment Breakdown Current'!$AE$15:$AE$164,$A92))-(SUMIFS('Payment Breakdown Prior'!$AD$15:$AD$164,'Payment Breakdown Prior'!$AE$15:$AE$164,$A92))</f>
        <v/>
      </c>
      <c r="AI92">
        <f t="array" ref="AI92">MAX(ABS(W92:AH92))</f>
        <v/>
      </c>
      <c r="AJ92">
        <f t="array" ref="AJ92">IF(AI92&lt;0.005,"",IFERROR(INDEX($W$1:$AH$1,MATCH(AI92,ABS(W92:AH92),0)),""))</f>
        <v/>
      </c>
      <c r="AK92">
        <f t="array" ref="AK92">IF(AI92&lt;0.005,"",IFERROR(INDEX(W92:AH92,MATCH(AI92,ABS(W92:AH92),0)),""))</f>
        <v/>
      </c>
      <c r="AL92">
        <f>IF(R92=1,ABS(L92)-ROW()/100000000,"")</f>
        <v/>
      </c>
    </row>
    <row r="93">
      <c r="A93">
        <f>IF('NPV Comparison'!D106="","",'NPV Comparison'!D106)</f>
        <v/>
      </c>
      <c r="B93">
        <f>IF('NPV Comparison'!E106="","",'NPV Comparison'!E106)</f>
        <v/>
      </c>
      <c r="C93">
        <f>IF('NPV Comparison'!F106="","",'NPV Comparison'!F106)</f>
        <v/>
      </c>
      <c r="D93">
        <f>IF($A93="","",IFERROR(INDEX(Structure!$E$13:$E$312,MATCH($A93,Structure!$P$13:$P$312,0)),""))</f>
        <v/>
      </c>
      <c r="E93">
        <f>IF($A93="",0,IF(COUNTIF(Structure!$P$13:$P$312,$A93)=0,0,IF(COUNTIFS(Structure!$P$13:$P$312,$A93,Structure!$N$13:$N$312,"&lt;&gt;Zero Hours")=0,1,0)))</f>
        <v/>
      </c>
      <c r="F93">
        <f>IF($A93="",0,1-E93)</f>
        <v/>
      </c>
      <c r="G93">
        <f>IF($A93="",0,IF(COUNTIF('New Starters'!$D$14:$D$73,$A93)&gt;0,1,0))</f>
        <v/>
      </c>
      <c r="H93">
        <f>IF($A93="",0,IF(COUNTIF('Leavers'!$D$12:$D$71,$A93)&gt;0,1,0))</f>
        <v/>
      </c>
      <c r="I93">
        <f>IF($A93="","",IFERROR(INDEX('New Starters'!$K$14:$K$73,MATCH($A93,'New Starters'!$D$14:$D$73,0)),IFERROR(INDEX('Leavers'!$K$12:$K$71,MATCH($A93,'Leavers'!$D$12:$D$71,0)),"")))</f>
        <v/>
      </c>
      <c r="J93">
        <f>IF(AND(G93=1,I93&lt;&gt;"",COUNTIF('Leavers'!$K$12:$K$71,I93)&gt;0),1,IF(AND(H93=1,I93&lt;&gt;"",COUNTIF('New Starters'!$K$14:$K$73,I93)&gt;0),1,0))</f>
        <v/>
      </c>
      <c r="K93">
        <f>IF(ISNUMBER(SEARCH("Head Office",D93)),'Control Sheet'!$C$6,'Control Sheet'!$C$5)</f>
        <v/>
      </c>
      <c r="L93">
        <f>IF(OR($A93="",AND(B93="",C93="")),"",IF(B93="",C93,IF(C93="",-B93,C93-B93)))</f>
        <v/>
      </c>
      <c r="M93">
        <f>IFERROR(L93/B93,"")</f>
        <v/>
      </c>
      <c r="N93">
        <f>IF($A93="",0,IF(OR(B93="",C93="",C93=0,AND(ISNUMBER(M93),ABS(M93)&gt;K93)),1,0))</f>
        <v/>
      </c>
      <c r="O93">
        <f>IF(AND(N93=1,ABS(L93)&gt;='Control Sheet'!$C$7,F93=1),1,0)</f>
        <v/>
      </c>
      <c r="P93">
        <f>IF($A93="","",IF(F93=0,"Zero Hours",IF(J93=1,"Explained: Paired transfer",IF(AND(G93=1,H93=0,J93=0),"Explained: Starter",IF(AND(H93=1,G93=0,J93=0),"Explained: Leaver",IF(O93=1,"Review required","OK"))))))</f>
        <v/>
      </c>
      <c r="Q93">
        <f>IF(AND(F93=1,OR(C93="",C93=0),H93=0,J93=0),1,0)</f>
        <v/>
      </c>
      <c r="R93">
        <f>IF(F93=0,0,IF(P93="Review required",1,IF(AND(P93="Explained: Starter",ISNUMBER(C93),C93&gt;=1500),1,0)))</f>
        <v/>
      </c>
      <c r="S93">
        <f>IF(R93=0,"",IF(Q93=1,"High",IF(AND(P93="Explained: Starter",C93&gt;=1500),"High",IF(ABS(L93)&gt;=2000,"High",IF(ABS(L93)&gt;=500,"Medium","Low")))))</f>
        <v/>
      </c>
      <c r="T93">
        <f>SUMIFS('Payment Breakdown Prior'!$S$15:$S$164,'Payment Breakdown Prior'!$AE$15:$AE$164,$A93)</f>
        <v/>
      </c>
      <c r="U93">
        <f>SUMIFS('Payment Breakdown Current'!$S$15:$S$164,'Payment Breakdown Current'!$AE$15:$AE$164,$A93)</f>
        <v/>
      </c>
      <c r="V93">
        <f>IFERROR((U93-T93)/T93,"")</f>
        <v/>
      </c>
      <c r="W93">
        <f>(SUMIFS('Payment Breakdown Current'!$S$15:$S$164,'Payment Breakdown Current'!$AE$15:$AE$164,$A93))-(SUMIFS('Payment Breakdown Prior'!$S$15:$S$164,'Payment Breakdown Prior'!$AE$15:$AE$164,$A93))</f>
        <v/>
      </c>
      <c r="X93">
        <f>(SUMIFS('Payment Breakdown Current'!$T$15:$T$164,'Payment Breakdown Current'!$AE$15:$AE$164,$A93))-(SUMIFS('Payment Breakdown Prior'!$T$15:$T$164,'Payment Breakdown Prior'!$AE$15:$AE$164,$A93))</f>
        <v/>
      </c>
      <c r="Y93">
        <f>(SUMIFS('Payment Breakdown Current'!$U$15:$U$164,'Payment Breakdown Current'!$AE$15:$AE$164,$A93))-(SUMIFS('Payment Breakdown Prior'!$U$15:$U$164,'Payment Breakdown Prior'!$AE$15:$AE$164,$A93))</f>
        <v/>
      </c>
      <c r="Z93">
        <f>(SUMIFS('Payment Breakdown Current'!$V$15:$V$164,'Payment Breakdown Current'!$AE$15:$AE$164,$A93))-(SUMIFS('Payment Breakdown Prior'!$V$15:$V$164,'Payment Breakdown Prior'!$AE$15:$AE$164,$A93))</f>
        <v/>
      </c>
      <c r="AA93">
        <f>(SUMIFS('Payment Breakdown Current'!$W$15:$W$164,'Payment Breakdown Current'!$AE$15:$AE$164,$A93))-(SUMIFS('Payment Breakdown Prior'!$W$15:$W$164,'Payment Breakdown Prior'!$AE$15:$AE$164,$A93))</f>
        <v/>
      </c>
      <c r="AB93">
        <f>(SUMIFS('Payment Breakdown Current'!$X$15:$X$164,'Payment Breakdown Current'!$AE$15:$AE$164,$A93))-(SUMIFS('Payment Breakdown Prior'!$X$15:$X$164,'Payment Breakdown Prior'!$AE$15:$AE$164,$A93))</f>
        <v/>
      </c>
      <c r="AC93">
        <f>(SUMIFS('Payment Breakdown Current'!$Y$15:$Y$164,'Payment Breakdown Current'!$AE$15:$AE$164,$A93))-(SUMIFS('Payment Breakdown Prior'!$Y$15:$Y$164,'Payment Breakdown Prior'!$AE$15:$AE$164,$A93))</f>
        <v/>
      </c>
      <c r="AD93">
        <f>(SUMIFS('Payment Breakdown Current'!$Z$15:$Z$164,'Payment Breakdown Current'!$AE$15:$AE$164,$A93))-(SUMIFS('Payment Breakdown Prior'!$Z$15:$Z$164,'Payment Breakdown Prior'!$AE$15:$AE$164,$A93))</f>
        <v/>
      </c>
      <c r="AE93">
        <f>(SUMIFS('Payment Breakdown Current'!$AA$15:$AA$164,'Payment Breakdown Current'!$AE$15:$AE$164,$A93))-(SUMIFS('Payment Breakdown Prior'!$AA$15:$AA$164,'Payment Breakdown Prior'!$AE$15:$AE$164,$A93))</f>
        <v/>
      </c>
      <c r="AF93">
        <f>(SUMIFS('Payment Breakdown Current'!$AB$15:$AB$164,'Payment Breakdown Current'!$AE$15:$AE$164,$A93))-(SUMIFS('Payment Breakdown Prior'!$AB$15:$AB$164,'Payment Breakdown Prior'!$AE$15:$AE$164,$A93))</f>
        <v/>
      </c>
      <c r="AG93">
        <f>(SUMIFS('Payment Breakdown Current'!$AC$15:$AC$164,'Payment Breakdown Current'!$AE$15:$AE$164,$A93))-(SUMIFS('Payment Breakdown Prior'!$AC$15:$AC$164,'Payment Breakdown Prior'!$AE$15:$AE$164,$A93))</f>
        <v/>
      </c>
      <c r="AH93">
        <f>(SUMIFS('Payment Breakdown Current'!$AD$15:$AD$164,'Payment Breakdown Current'!$AE$15:$AE$164,$A93))-(SUMIFS('Payment Breakdown Prior'!$AD$15:$AD$164,'Payment Breakdown Prior'!$AE$15:$AE$164,$A93))</f>
        <v/>
      </c>
      <c r="AI93">
        <f t="array" ref="AI93">MAX(ABS(W93:AH93))</f>
        <v/>
      </c>
      <c r="AJ93">
        <f t="array" ref="AJ93">IF(AI93&lt;0.005,"",IFERROR(INDEX($W$1:$AH$1,MATCH(AI93,ABS(W93:AH93),0)),""))</f>
        <v/>
      </c>
      <c r="AK93">
        <f t="array" ref="AK93">IF(AI93&lt;0.005,"",IFERROR(INDEX(W93:AH93,MATCH(AI93,ABS(W93:AH93),0)),""))</f>
        <v/>
      </c>
      <c r="AL93">
        <f>IF(R93=1,ABS(L93)-ROW()/100000000,"")</f>
        <v/>
      </c>
    </row>
    <row r="94">
      <c r="A94">
        <f>IF('NPV Comparison'!D107="","",'NPV Comparison'!D107)</f>
        <v/>
      </c>
      <c r="B94">
        <f>IF('NPV Comparison'!E107="","",'NPV Comparison'!E107)</f>
        <v/>
      </c>
      <c r="C94">
        <f>IF('NPV Comparison'!F107="","",'NPV Comparison'!F107)</f>
        <v/>
      </c>
      <c r="D94">
        <f>IF($A94="","",IFERROR(INDEX(Structure!$E$13:$E$312,MATCH($A94,Structure!$P$13:$P$312,0)),""))</f>
        <v/>
      </c>
      <c r="E94">
        <f>IF($A94="",0,IF(COUNTIF(Structure!$P$13:$P$312,$A94)=0,0,IF(COUNTIFS(Structure!$P$13:$P$312,$A94,Structure!$N$13:$N$312,"&lt;&gt;Zero Hours")=0,1,0)))</f>
        <v/>
      </c>
      <c r="F94">
        <f>IF($A94="",0,1-E94)</f>
        <v/>
      </c>
      <c r="G94">
        <f>IF($A94="",0,IF(COUNTIF('New Starters'!$D$14:$D$73,$A94)&gt;0,1,0))</f>
        <v/>
      </c>
      <c r="H94">
        <f>IF($A94="",0,IF(COUNTIF('Leavers'!$D$12:$D$71,$A94)&gt;0,1,0))</f>
        <v/>
      </c>
      <c r="I94">
        <f>IF($A94="","",IFERROR(INDEX('New Starters'!$K$14:$K$73,MATCH($A94,'New Starters'!$D$14:$D$73,0)),IFERROR(INDEX('Leavers'!$K$12:$K$71,MATCH($A94,'Leavers'!$D$12:$D$71,0)),"")))</f>
        <v/>
      </c>
      <c r="J94">
        <f>IF(AND(G94=1,I94&lt;&gt;"",COUNTIF('Leavers'!$K$12:$K$71,I94)&gt;0),1,IF(AND(H94=1,I94&lt;&gt;"",COUNTIF('New Starters'!$K$14:$K$73,I94)&gt;0),1,0))</f>
        <v/>
      </c>
      <c r="K94">
        <f>IF(ISNUMBER(SEARCH("Head Office",D94)),'Control Sheet'!$C$6,'Control Sheet'!$C$5)</f>
        <v/>
      </c>
      <c r="L94">
        <f>IF(OR($A94="",AND(B94="",C94="")),"",IF(B94="",C94,IF(C94="",-B94,C94-B94)))</f>
        <v/>
      </c>
      <c r="M94">
        <f>IFERROR(L94/B94,"")</f>
        <v/>
      </c>
      <c r="N94">
        <f>IF($A94="",0,IF(OR(B94="",C94="",C94=0,AND(ISNUMBER(M94),ABS(M94)&gt;K94)),1,0))</f>
        <v/>
      </c>
      <c r="O94">
        <f>IF(AND(N94=1,ABS(L94)&gt;='Control Sheet'!$C$7,F94=1),1,0)</f>
        <v/>
      </c>
      <c r="P94">
        <f>IF($A94="","",IF(F94=0,"Zero Hours",IF(J94=1,"Explained: Paired transfer",IF(AND(G94=1,H94=0,J94=0),"Explained: Starter",IF(AND(H94=1,G94=0,J94=0),"Explained: Leaver",IF(O94=1,"Review required","OK"))))))</f>
        <v/>
      </c>
      <c r="Q94">
        <f>IF(AND(F94=1,OR(C94="",C94=0),H94=0,J94=0),1,0)</f>
        <v/>
      </c>
      <c r="R94">
        <f>IF(F94=0,0,IF(P94="Review required",1,IF(AND(P94="Explained: Starter",ISNUMBER(C94),C94&gt;=1500),1,0)))</f>
        <v/>
      </c>
      <c r="S94">
        <f>IF(R94=0,"",IF(Q94=1,"High",IF(AND(P94="Explained: Starter",C94&gt;=1500),"High",IF(ABS(L94)&gt;=2000,"High",IF(ABS(L94)&gt;=500,"Medium","Low")))))</f>
        <v/>
      </c>
      <c r="T94">
        <f>SUMIFS('Payment Breakdown Prior'!$S$15:$S$164,'Payment Breakdown Prior'!$AE$15:$AE$164,$A94)</f>
        <v/>
      </c>
      <c r="U94">
        <f>SUMIFS('Payment Breakdown Current'!$S$15:$S$164,'Payment Breakdown Current'!$AE$15:$AE$164,$A94)</f>
        <v/>
      </c>
      <c r="V94">
        <f>IFERROR((U94-T94)/T94,"")</f>
        <v/>
      </c>
      <c r="W94">
        <f>(SUMIFS('Payment Breakdown Current'!$S$15:$S$164,'Payment Breakdown Current'!$AE$15:$AE$164,$A94))-(SUMIFS('Payment Breakdown Prior'!$S$15:$S$164,'Payment Breakdown Prior'!$AE$15:$AE$164,$A94))</f>
        <v/>
      </c>
      <c r="X94">
        <f>(SUMIFS('Payment Breakdown Current'!$T$15:$T$164,'Payment Breakdown Current'!$AE$15:$AE$164,$A94))-(SUMIFS('Payment Breakdown Prior'!$T$15:$T$164,'Payment Breakdown Prior'!$AE$15:$AE$164,$A94))</f>
        <v/>
      </c>
      <c r="Y94">
        <f>(SUMIFS('Payment Breakdown Current'!$U$15:$U$164,'Payment Breakdown Current'!$AE$15:$AE$164,$A94))-(SUMIFS('Payment Breakdown Prior'!$U$15:$U$164,'Payment Breakdown Prior'!$AE$15:$AE$164,$A94))</f>
        <v/>
      </c>
      <c r="Z94">
        <f>(SUMIFS('Payment Breakdown Current'!$V$15:$V$164,'Payment Breakdown Current'!$AE$15:$AE$164,$A94))-(SUMIFS('Payment Breakdown Prior'!$V$15:$V$164,'Payment Breakdown Prior'!$AE$15:$AE$164,$A94))</f>
        <v/>
      </c>
      <c r="AA94">
        <f>(SUMIFS('Payment Breakdown Current'!$W$15:$W$164,'Payment Breakdown Current'!$AE$15:$AE$164,$A94))-(SUMIFS('Payment Breakdown Prior'!$W$15:$W$164,'Payment Breakdown Prior'!$AE$15:$AE$164,$A94))</f>
        <v/>
      </c>
      <c r="AB94">
        <f>(SUMIFS('Payment Breakdown Current'!$X$15:$X$164,'Payment Breakdown Current'!$AE$15:$AE$164,$A94))-(SUMIFS('Payment Breakdown Prior'!$X$15:$X$164,'Payment Breakdown Prior'!$AE$15:$AE$164,$A94))</f>
        <v/>
      </c>
      <c r="AC94">
        <f>(SUMIFS('Payment Breakdown Current'!$Y$15:$Y$164,'Payment Breakdown Current'!$AE$15:$AE$164,$A94))-(SUMIFS('Payment Breakdown Prior'!$Y$15:$Y$164,'Payment Breakdown Prior'!$AE$15:$AE$164,$A94))</f>
        <v/>
      </c>
      <c r="AD94">
        <f>(SUMIFS('Payment Breakdown Current'!$Z$15:$Z$164,'Payment Breakdown Current'!$AE$15:$AE$164,$A94))-(SUMIFS('Payment Breakdown Prior'!$Z$15:$Z$164,'Payment Breakdown Prior'!$AE$15:$AE$164,$A94))</f>
        <v/>
      </c>
      <c r="AE94">
        <f>(SUMIFS('Payment Breakdown Current'!$AA$15:$AA$164,'Payment Breakdown Current'!$AE$15:$AE$164,$A94))-(SUMIFS('Payment Breakdown Prior'!$AA$15:$AA$164,'Payment Breakdown Prior'!$AE$15:$AE$164,$A94))</f>
        <v/>
      </c>
      <c r="AF94">
        <f>(SUMIFS('Payment Breakdown Current'!$AB$15:$AB$164,'Payment Breakdown Current'!$AE$15:$AE$164,$A94))-(SUMIFS('Payment Breakdown Prior'!$AB$15:$AB$164,'Payment Breakdown Prior'!$AE$15:$AE$164,$A94))</f>
        <v/>
      </c>
      <c r="AG94">
        <f>(SUMIFS('Payment Breakdown Current'!$AC$15:$AC$164,'Payment Breakdown Current'!$AE$15:$AE$164,$A94))-(SUMIFS('Payment Breakdown Prior'!$AC$15:$AC$164,'Payment Breakdown Prior'!$AE$15:$AE$164,$A94))</f>
        <v/>
      </c>
      <c r="AH94">
        <f>(SUMIFS('Payment Breakdown Current'!$AD$15:$AD$164,'Payment Breakdown Current'!$AE$15:$AE$164,$A94))-(SUMIFS('Payment Breakdown Prior'!$AD$15:$AD$164,'Payment Breakdown Prior'!$AE$15:$AE$164,$A94))</f>
        <v/>
      </c>
      <c r="AI94">
        <f t="array" ref="AI94">MAX(ABS(W94:AH94))</f>
        <v/>
      </c>
      <c r="AJ94">
        <f t="array" ref="AJ94">IF(AI94&lt;0.005,"",IFERROR(INDEX($W$1:$AH$1,MATCH(AI94,ABS(W94:AH94),0)),""))</f>
        <v/>
      </c>
      <c r="AK94">
        <f t="array" ref="AK94">IF(AI94&lt;0.005,"",IFERROR(INDEX(W94:AH94,MATCH(AI94,ABS(W94:AH94),0)),""))</f>
        <v/>
      </c>
      <c r="AL94">
        <f>IF(R94=1,ABS(L94)-ROW()/100000000,"")</f>
        <v/>
      </c>
    </row>
    <row r="95">
      <c r="A95">
        <f>IF('NPV Comparison'!D108="","",'NPV Comparison'!D108)</f>
        <v/>
      </c>
      <c r="B95">
        <f>IF('NPV Comparison'!E108="","",'NPV Comparison'!E108)</f>
        <v/>
      </c>
      <c r="C95">
        <f>IF('NPV Comparison'!F108="","",'NPV Comparison'!F108)</f>
        <v/>
      </c>
      <c r="D95">
        <f>IF($A95="","",IFERROR(INDEX(Structure!$E$13:$E$312,MATCH($A95,Structure!$P$13:$P$312,0)),""))</f>
        <v/>
      </c>
      <c r="E95">
        <f>IF($A95="",0,IF(COUNTIF(Structure!$P$13:$P$312,$A95)=0,0,IF(COUNTIFS(Structure!$P$13:$P$312,$A95,Structure!$N$13:$N$312,"&lt;&gt;Zero Hours")=0,1,0)))</f>
        <v/>
      </c>
      <c r="F95">
        <f>IF($A95="",0,1-E95)</f>
        <v/>
      </c>
      <c r="G95">
        <f>IF($A95="",0,IF(COUNTIF('New Starters'!$D$14:$D$73,$A95)&gt;0,1,0))</f>
        <v/>
      </c>
      <c r="H95">
        <f>IF($A95="",0,IF(COUNTIF('Leavers'!$D$12:$D$71,$A95)&gt;0,1,0))</f>
        <v/>
      </c>
      <c r="I95">
        <f>IF($A95="","",IFERROR(INDEX('New Starters'!$K$14:$K$73,MATCH($A95,'New Starters'!$D$14:$D$73,0)),IFERROR(INDEX('Leavers'!$K$12:$K$71,MATCH($A95,'Leavers'!$D$12:$D$71,0)),"")))</f>
        <v/>
      </c>
      <c r="J95">
        <f>IF(AND(G95=1,I95&lt;&gt;"",COUNTIF('Leavers'!$K$12:$K$71,I95)&gt;0),1,IF(AND(H95=1,I95&lt;&gt;"",COUNTIF('New Starters'!$K$14:$K$73,I95)&gt;0),1,0))</f>
        <v/>
      </c>
      <c r="K95">
        <f>IF(ISNUMBER(SEARCH("Head Office",D95)),'Control Sheet'!$C$6,'Control Sheet'!$C$5)</f>
        <v/>
      </c>
      <c r="L95">
        <f>IF(OR($A95="",AND(B95="",C95="")),"",IF(B95="",C95,IF(C95="",-B95,C95-B95)))</f>
        <v/>
      </c>
      <c r="M95">
        <f>IFERROR(L95/B95,"")</f>
        <v/>
      </c>
      <c r="N95">
        <f>IF($A95="",0,IF(OR(B95="",C95="",C95=0,AND(ISNUMBER(M95),ABS(M95)&gt;K95)),1,0))</f>
        <v/>
      </c>
      <c r="O95">
        <f>IF(AND(N95=1,ABS(L95)&gt;='Control Sheet'!$C$7,F95=1),1,0)</f>
        <v/>
      </c>
      <c r="P95">
        <f>IF($A95="","",IF(F95=0,"Zero Hours",IF(J95=1,"Explained: Paired transfer",IF(AND(G95=1,H95=0,J95=0),"Explained: Starter",IF(AND(H95=1,G95=0,J95=0),"Explained: Leaver",IF(O95=1,"Review required","OK"))))))</f>
        <v/>
      </c>
      <c r="Q95">
        <f>IF(AND(F95=1,OR(C95="",C95=0),H95=0,J95=0),1,0)</f>
        <v/>
      </c>
      <c r="R95">
        <f>IF(F95=0,0,IF(P95="Review required",1,IF(AND(P95="Explained: Starter",ISNUMBER(C95),C95&gt;=1500),1,0)))</f>
        <v/>
      </c>
      <c r="S95">
        <f>IF(R95=0,"",IF(Q95=1,"High",IF(AND(P95="Explained: Starter",C95&gt;=1500),"High",IF(ABS(L95)&gt;=2000,"High",IF(ABS(L95)&gt;=500,"Medium","Low")))))</f>
        <v/>
      </c>
      <c r="T95">
        <f>SUMIFS('Payment Breakdown Prior'!$S$15:$S$164,'Payment Breakdown Prior'!$AE$15:$AE$164,$A95)</f>
        <v/>
      </c>
      <c r="U95">
        <f>SUMIFS('Payment Breakdown Current'!$S$15:$S$164,'Payment Breakdown Current'!$AE$15:$AE$164,$A95)</f>
        <v/>
      </c>
      <c r="V95">
        <f>IFERROR((U95-T95)/T95,"")</f>
        <v/>
      </c>
      <c r="W95">
        <f>(SUMIFS('Payment Breakdown Current'!$S$15:$S$164,'Payment Breakdown Current'!$AE$15:$AE$164,$A95))-(SUMIFS('Payment Breakdown Prior'!$S$15:$S$164,'Payment Breakdown Prior'!$AE$15:$AE$164,$A95))</f>
        <v/>
      </c>
      <c r="X95">
        <f>(SUMIFS('Payment Breakdown Current'!$T$15:$T$164,'Payment Breakdown Current'!$AE$15:$AE$164,$A95))-(SUMIFS('Payment Breakdown Prior'!$T$15:$T$164,'Payment Breakdown Prior'!$AE$15:$AE$164,$A95))</f>
        <v/>
      </c>
      <c r="Y95">
        <f>(SUMIFS('Payment Breakdown Current'!$U$15:$U$164,'Payment Breakdown Current'!$AE$15:$AE$164,$A95))-(SUMIFS('Payment Breakdown Prior'!$U$15:$U$164,'Payment Breakdown Prior'!$AE$15:$AE$164,$A95))</f>
        <v/>
      </c>
      <c r="Z95">
        <f>(SUMIFS('Payment Breakdown Current'!$V$15:$V$164,'Payment Breakdown Current'!$AE$15:$AE$164,$A95))-(SUMIFS('Payment Breakdown Prior'!$V$15:$V$164,'Payment Breakdown Prior'!$AE$15:$AE$164,$A95))</f>
        <v/>
      </c>
      <c r="AA95">
        <f>(SUMIFS('Payment Breakdown Current'!$W$15:$W$164,'Payment Breakdown Current'!$AE$15:$AE$164,$A95))-(SUMIFS('Payment Breakdown Prior'!$W$15:$W$164,'Payment Breakdown Prior'!$AE$15:$AE$164,$A95))</f>
        <v/>
      </c>
      <c r="AB95">
        <f>(SUMIFS('Payment Breakdown Current'!$X$15:$X$164,'Payment Breakdown Current'!$AE$15:$AE$164,$A95))-(SUMIFS('Payment Breakdown Prior'!$X$15:$X$164,'Payment Breakdown Prior'!$AE$15:$AE$164,$A95))</f>
        <v/>
      </c>
      <c r="AC95">
        <f>(SUMIFS('Payment Breakdown Current'!$Y$15:$Y$164,'Payment Breakdown Current'!$AE$15:$AE$164,$A95))-(SUMIFS('Payment Breakdown Prior'!$Y$15:$Y$164,'Payment Breakdown Prior'!$AE$15:$AE$164,$A95))</f>
        <v/>
      </c>
      <c r="AD95">
        <f>(SUMIFS('Payment Breakdown Current'!$Z$15:$Z$164,'Payment Breakdown Current'!$AE$15:$AE$164,$A95))-(SUMIFS('Payment Breakdown Prior'!$Z$15:$Z$164,'Payment Breakdown Prior'!$AE$15:$AE$164,$A95))</f>
        <v/>
      </c>
      <c r="AE95">
        <f>(SUMIFS('Payment Breakdown Current'!$AA$15:$AA$164,'Payment Breakdown Current'!$AE$15:$AE$164,$A95))-(SUMIFS('Payment Breakdown Prior'!$AA$15:$AA$164,'Payment Breakdown Prior'!$AE$15:$AE$164,$A95))</f>
        <v/>
      </c>
      <c r="AF95">
        <f>(SUMIFS('Payment Breakdown Current'!$AB$15:$AB$164,'Payment Breakdown Current'!$AE$15:$AE$164,$A95))-(SUMIFS('Payment Breakdown Prior'!$AB$15:$AB$164,'Payment Breakdown Prior'!$AE$15:$AE$164,$A95))</f>
        <v/>
      </c>
      <c r="AG95">
        <f>(SUMIFS('Payment Breakdown Current'!$AC$15:$AC$164,'Payment Breakdown Current'!$AE$15:$AE$164,$A95))-(SUMIFS('Payment Breakdown Prior'!$AC$15:$AC$164,'Payment Breakdown Prior'!$AE$15:$AE$164,$A95))</f>
        <v/>
      </c>
      <c r="AH95">
        <f>(SUMIFS('Payment Breakdown Current'!$AD$15:$AD$164,'Payment Breakdown Current'!$AE$15:$AE$164,$A95))-(SUMIFS('Payment Breakdown Prior'!$AD$15:$AD$164,'Payment Breakdown Prior'!$AE$15:$AE$164,$A95))</f>
        <v/>
      </c>
      <c r="AI95">
        <f t="array" ref="AI95">MAX(ABS(W95:AH95))</f>
        <v/>
      </c>
      <c r="AJ95">
        <f t="array" ref="AJ95">IF(AI95&lt;0.005,"",IFERROR(INDEX($W$1:$AH$1,MATCH(AI95,ABS(W95:AH95),0)),""))</f>
        <v/>
      </c>
      <c r="AK95">
        <f t="array" ref="AK95">IF(AI95&lt;0.005,"",IFERROR(INDEX(W95:AH95,MATCH(AI95,ABS(W95:AH95),0)),""))</f>
        <v/>
      </c>
      <c r="AL95">
        <f>IF(R95=1,ABS(L95)-ROW()/100000000,"")</f>
        <v/>
      </c>
    </row>
    <row r="96">
      <c r="A96">
        <f>IF('NPV Comparison'!D109="","",'NPV Comparison'!D109)</f>
        <v/>
      </c>
      <c r="B96">
        <f>IF('NPV Comparison'!E109="","",'NPV Comparison'!E109)</f>
        <v/>
      </c>
      <c r="C96">
        <f>IF('NPV Comparison'!F109="","",'NPV Comparison'!F109)</f>
        <v/>
      </c>
      <c r="D96">
        <f>IF($A96="","",IFERROR(INDEX(Structure!$E$13:$E$312,MATCH($A96,Structure!$P$13:$P$312,0)),""))</f>
        <v/>
      </c>
      <c r="E96">
        <f>IF($A96="",0,IF(COUNTIF(Structure!$P$13:$P$312,$A96)=0,0,IF(COUNTIFS(Structure!$P$13:$P$312,$A96,Structure!$N$13:$N$312,"&lt;&gt;Zero Hours")=0,1,0)))</f>
        <v/>
      </c>
      <c r="F96">
        <f>IF($A96="",0,1-E96)</f>
        <v/>
      </c>
      <c r="G96">
        <f>IF($A96="",0,IF(COUNTIF('New Starters'!$D$14:$D$73,$A96)&gt;0,1,0))</f>
        <v/>
      </c>
      <c r="H96">
        <f>IF($A96="",0,IF(COUNTIF('Leavers'!$D$12:$D$71,$A96)&gt;0,1,0))</f>
        <v/>
      </c>
      <c r="I96">
        <f>IF($A96="","",IFERROR(INDEX('New Starters'!$K$14:$K$73,MATCH($A96,'New Starters'!$D$14:$D$73,0)),IFERROR(INDEX('Leavers'!$K$12:$K$71,MATCH($A96,'Leavers'!$D$12:$D$71,0)),"")))</f>
        <v/>
      </c>
      <c r="J96">
        <f>IF(AND(G96=1,I96&lt;&gt;"",COUNTIF('Leavers'!$K$12:$K$71,I96)&gt;0),1,IF(AND(H96=1,I96&lt;&gt;"",COUNTIF('New Starters'!$K$14:$K$73,I96)&gt;0),1,0))</f>
        <v/>
      </c>
      <c r="K96">
        <f>IF(ISNUMBER(SEARCH("Head Office",D96)),'Control Sheet'!$C$6,'Control Sheet'!$C$5)</f>
        <v/>
      </c>
      <c r="L96">
        <f>IF(OR($A96="",AND(B96="",C96="")),"",IF(B96="",C96,IF(C96="",-B96,C96-B96)))</f>
        <v/>
      </c>
      <c r="M96">
        <f>IFERROR(L96/B96,"")</f>
        <v/>
      </c>
      <c r="N96">
        <f>IF($A96="",0,IF(OR(B96="",C96="",C96=0,AND(ISNUMBER(M96),ABS(M96)&gt;K96)),1,0))</f>
        <v/>
      </c>
      <c r="O96">
        <f>IF(AND(N96=1,ABS(L96)&gt;='Control Sheet'!$C$7,F96=1),1,0)</f>
        <v/>
      </c>
      <c r="P96">
        <f>IF($A96="","",IF(F96=0,"Zero Hours",IF(J96=1,"Explained: Paired transfer",IF(AND(G96=1,H96=0,J96=0),"Explained: Starter",IF(AND(H96=1,G96=0,J96=0),"Explained: Leaver",IF(O96=1,"Review required","OK"))))))</f>
        <v/>
      </c>
      <c r="Q96">
        <f>IF(AND(F96=1,OR(C96="",C96=0),H96=0,J96=0),1,0)</f>
        <v/>
      </c>
      <c r="R96">
        <f>IF(F96=0,0,IF(P96="Review required",1,IF(AND(P96="Explained: Starter",ISNUMBER(C96),C96&gt;=1500),1,0)))</f>
        <v/>
      </c>
      <c r="S96">
        <f>IF(R96=0,"",IF(Q96=1,"High",IF(AND(P96="Explained: Starter",C96&gt;=1500),"High",IF(ABS(L96)&gt;=2000,"High",IF(ABS(L96)&gt;=500,"Medium","Low")))))</f>
        <v/>
      </c>
      <c r="T96">
        <f>SUMIFS('Payment Breakdown Prior'!$S$15:$S$164,'Payment Breakdown Prior'!$AE$15:$AE$164,$A96)</f>
        <v/>
      </c>
      <c r="U96">
        <f>SUMIFS('Payment Breakdown Current'!$S$15:$S$164,'Payment Breakdown Current'!$AE$15:$AE$164,$A96)</f>
        <v/>
      </c>
      <c r="V96">
        <f>IFERROR((U96-T96)/T96,"")</f>
        <v/>
      </c>
      <c r="W96">
        <f>(SUMIFS('Payment Breakdown Current'!$S$15:$S$164,'Payment Breakdown Current'!$AE$15:$AE$164,$A96))-(SUMIFS('Payment Breakdown Prior'!$S$15:$S$164,'Payment Breakdown Prior'!$AE$15:$AE$164,$A96))</f>
        <v/>
      </c>
      <c r="X96">
        <f>(SUMIFS('Payment Breakdown Current'!$T$15:$T$164,'Payment Breakdown Current'!$AE$15:$AE$164,$A96))-(SUMIFS('Payment Breakdown Prior'!$T$15:$T$164,'Payment Breakdown Prior'!$AE$15:$AE$164,$A96))</f>
        <v/>
      </c>
      <c r="Y96">
        <f>(SUMIFS('Payment Breakdown Current'!$U$15:$U$164,'Payment Breakdown Current'!$AE$15:$AE$164,$A96))-(SUMIFS('Payment Breakdown Prior'!$U$15:$U$164,'Payment Breakdown Prior'!$AE$15:$AE$164,$A96))</f>
        <v/>
      </c>
      <c r="Z96">
        <f>(SUMIFS('Payment Breakdown Current'!$V$15:$V$164,'Payment Breakdown Current'!$AE$15:$AE$164,$A96))-(SUMIFS('Payment Breakdown Prior'!$V$15:$V$164,'Payment Breakdown Prior'!$AE$15:$AE$164,$A96))</f>
        <v/>
      </c>
      <c r="AA96">
        <f>(SUMIFS('Payment Breakdown Current'!$W$15:$W$164,'Payment Breakdown Current'!$AE$15:$AE$164,$A96))-(SUMIFS('Payment Breakdown Prior'!$W$15:$W$164,'Payment Breakdown Prior'!$AE$15:$AE$164,$A96))</f>
        <v/>
      </c>
      <c r="AB96">
        <f>(SUMIFS('Payment Breakdown Current'!$X$15:$X$164,'Payment Breakdown Current'!$AE$15:$AE$164,$A96))-(SUMIFS('Payment Breakdown Prior'!$X$15:$X$164,'Payment Breakdown Prior'!$AE$15:$AE$164,$A96))</f>
        <v/>
      </c>
      <c r="AC96">
        <f>(SUMIFS('Payment Breakdown Current'!$Y$15:$Y$164,'Payment Breakdown Current'!$AE$15:$AE$164,$A96))-(SUMIFS('Payment Breakdown Prior'!$Y$15:$Y$164,'Payment Breakdown Prior'!$AE$15:$AE$164,$A96))</f>
        <v/>
      </c>
      <c r="AD96">
        <f>(SUMIFS('Payment Breakdown Current'!$Z$15:$Z$164,'Payment Breakdown Current'!$AE$15:$AE$164,$A96))-(SUMIFS('Payment Breakdown Prior'!$Z$15:$Z$164,'Payment Breakdown Prior'!$AE$15:$AE$164,$A96))</f>
        <v/>
      </c>
      <c r="AE96">
        <f>(SUMIFS('Payment Breakdown Current'!$AA$15:$AA$164,'Payment Breakdown Current'!$AE$15:$AE$164,$A96))-(SUMIFS('Payment Breakdown Prior'!$AA$15:$AA$164,'Payment Breakdown Prior'!$AE$15:$AE$164,$A96))</f>
        <v/>
      </c>
      <c r="AF96">
        <f>(SUMIFS('Payment Breakdown Current'!$AB$15:$AB$164,'Payment Breakdown Current'!$AE$15:$AE$164,$A96))-(SUMIFS('Payment Breakdown Prior'!$AB$15:$AB$164,'Payment Breakdown Prior'!$AE$15:$AE$164,$A96))</f>
        <v/>
      </c>
      <c r="AG96">
        <f>(SUMIFS('Payment Breakdown Current'!$AC$15:$AC$164,'Payment Breakdown Current'!$AE$15:$AE$164,$A96))-(SUMIFS('Payment Breakdown Prior'!$AC$15:$AC$164,'Payment Breakdown Prior'!$AE$15:$AE$164,$A96))</f>
        <v/>
      </c>
      <c r="AH96">
        <f>(SUMIFS('Payment Breakdown Current'!$AD$15:$AD$164,'Payment Breakdown Current'!$AE$15:$AE$164,$A96))-(SUMIFS('Payment Breakdown Prior'!$AD$15:$AD$164,'Payment Breakdown Prior'!$AE$15:$AE$164,$A96))</f>
        <v/>
      </c>
      <c r="AI96">
        <f t="array" ref="AI96">MAX(ABS(W96:AH96))</f>
        <v/>
      </c>
      <c r="AJ96">
        <f t="array" ref="AJ96">IF(AI96&lt;0.005,"",IFERROR(INDEX($W$1:$AH$1,MATCH(AI96,ABS(W96:AH96),0)),""))</f>
        <v/>
      </c>
      <c r="AK96">
        <f t="array" ref="AK96">IF(AI96&lt;0.005,"",IFERROR(INDEX(W96:AH96,MATCH(AI96,ABS(W96:AH96),0)),""))</f>
        <v/>
      </c>
      <c r="AL96">
        <f>IF(R96=1,ABS(L96)-ROW()/100000000,"")</f>
        <v/>
      </c>
    </row>
    <row r="97">
      <c r="A97">
        <f>IF('NPV Comparison'!D110="","",'NPV Comparison'!D110)</f>
        <v/>
      </c>
      <c r="B97">
        <f>IF('NPV Comparison'!E110="","",'NPV Comparison'!E110)</f>
        <v/>
      </c>
      <c r="C97">
        <f>IF('NPV Comparison'!F110="","",'NPV Comparison'!F110)</f>
        <v/>
      </c>
      <c r="D97">
        <f>IF($A97="","",IFERROR(INDEX(Structure!$E$13:$E$312,MATCH($A97,Structure!$P$13:$P$312,0)),""))</f>
        <v/>
      </c>
      <c r="E97">
        <f>IF($A97="",0,IF(COUNTIF(Structure!$P$13:$P$312,$A97)=0,0,IF(COUNTIFS(Structure!$P$13:$P$312,$A97,Structure!$N$13:$N$312,"&lt;&gt;Zero Hours")=0,1,0)))</f>
        <v/>
      </c>
      <c r="F97">
        <f>IF($A97="",0,1-E97)</f>
        <v/>
      </c>
      <c r="G97">
        <f>IF($A97="",0,IF(COUNTIF('New Starters'!$D$14:$D$73,$A97)&gt;0,1,0))</f>
        <v/>
      </c>
      <c r="H97">
        <f>IF($A97="",0,IF(COUNTIF('Leavers'!$D$12:$D$71,$A97)&gt;0,1,0))</f>
        <v/>
      </c>
      <c r="I97">
        <f>IF($A97="","",IFERROR(INDEX('New Starters'!$K$14:$K$73,MATCH($A97,'New Starters'!$D$14:$D$73,0)),IFERROR(INDEX('Leavers'!$K$12:$K$71,MATCH($A97,'Leavers'!$D$12:$D$71,0)),"")))</f>
        <v/>
      </c>
      <c r="J97">
        <f>IF(AND(G97=1,I97&lt;&gt;"",COUNTIF('Leavers'!$K$12:$K$71,I97)&gt;0),1,IF(AND(H97=1,I97&lt;&gt;"",COUNTIF('New Starters'!$K$14:$K$73,I97)&gt;0),1,0))</f>
        <v/>
      </c>
      <c r="K97">
        <f>IF(ISNUMBER(SEARCH("Head Office",D97)),'Control Sheet'!$C$6,'Control Sheet'!$C$5)</f>
        <v/>
      </c>
      <c r="L97">
        <f>IF(OR($A97="",AND(B97="",C97="")),"",IF(B97="",C97,IF(C97="",-B97,C97-B97)))</f>
        <v/>
      </c>
      <c r="M97">
        <f>IFERROR(L97/B97,"")</f>
        <v/>
      </c>
      <c r="N97">
        <f>IF($A97="",0,IF(OR(B97="",C97="",C97=0,AND(ISNUMBER(M97),ABS(M97)&gt;K97)),1,0))</f>
        <v/>
      </c>
      <c r="O97">
        <f>IF(AND(N97=1,ABS(L97)&gt;='Control Sheet'!$C$7,F97=1),1,0)</f>
        <v/>
      </c>
      <c r="P97">
        <f>IF($A97="","",IF(F97=0,"Zero Hours",IF(J97=1,"Explained: Paired transfer",IF(AND(G97=1,H97=0,J97=0),"Explained: Starter",IF(AND(H97=1,G97=0,J97=0),"Explained: Leaver",IF(O97=1,"Review required","OK"))))))</f>
        <v/>
      </c>
      <c r="Q97">
        <f>IF(AND(F97=1,OR(C97="",C97=0),H97=0,J97=0),1,0)</f>
        <v/>
      </c>
      <c r="R97">
        <f>IF(F97=0,0,IF(P97="Review required",1,IF(AND(P97="Explained: Starter",ISNUMBER(C97),C97&gt;=1500),1,0)))</f>
        <v/>
      </c>
      <c r="S97">
        <f>IF(R97=0,"",IF(Q97=1,"High",IF(AND(P97="Explained: Starter",C97&gt;=1500),"High",IF(ABS(L97)&gt;=2000,"High",IF(ABS(L97)&gt;=500,"Medium","Low")))))</f>
        <v/>
      </c>
      <c r="T97">
        <f>SUMIFS('Payment Breakdown Prior'!$S$15:$S$164,'Payment Breakdown Prior'!$AE$15:$AE$164,$A97)</f>
        <v/>
      </c>
      <c r="U97">
        <f>SUMIFS('Payment Breakdown Current'!$S$15:$S$164,'Payment Breakdown Current'!$AE$15:$AE$164,$A97)</f>
        <v/>
      </c>
      <c r="V97">
        <f>IFERROR((U97-T97)/T97,"")</f>
        <v/>
      </c>
      <c r="W97">
        <f>(SUMIFS('Payment Breakdown Current'!$S$15:$S$164,'Payment Breakdown Current'!$AE$15:$AE$164,$A97))-(SUMIFS('Payment Breakdown Prior'!$S$15:$S$164,'Payment Breakdown Prior'!$AE$15:$AE$164,$A97))</f>
        <v/>
      </c>
      <c r="X97">
        <f>(SUMIFS('Payment Breakdown Current'!$T$15:$T$164,'Payment Breakdown Current'!$AE$15:$AE$164,$A97))-(SUMIFS('Payment Breakdown Prior'!$T$15:$T$164,'Payment Breakdown Prior'!$AE$15:$AE$164,$A97))</f>
        <v/>
      </c>
      <c r="Y97">
        <f>(SUMIFS('Payment Breakdown Current'!$U$15:$U$164,'Payment Breakdown Current'!$AE$15:$AE$164,$A97))-(SUMIFS('Payment Breakdown Prior'!$U$15:$U$164,'Payment Breakdown Prior'!$AE$15:$AE$164,$A97))</f>
        <v/>
      </c>
      <c r="Z97">
        <f>(SUMIFS('Payment Breakdown Current'!$V$15:$V$164,'Payment Breakdown Current'!$AE$15:$AE$164,$A97))-(SUMIFS('Payment Breakdown Prior'!$V$15:$V$164,'Payment Breakdown Prior'!$AE$15:$AE$164,$A97))</f>
        <v/>
      </c>
      <c r="AA97">
        <f>(SUMIFS('Payment Breakdown Current'!$W$15:$W$164,'Payment Breakdown Current'!$AE$15:$AE$164,$A97))-(SUMIFS('Payment Breakdown Prior'!$W$15:$W$164,'Payment Breakdown Prior'!$AE$15:$AE$164,$A97))</f>
        <v/>
      </c>
      <c r="AB97">
        <f>(SUMIFS('Payment Breakdown Current'!$X$15:$X$164,'Payment Breakdown Current'!$AE$15:$AE$164,$A97))-(SUMIFS('Payment Breakdown Prior'!$X$15:$X$164,'Payment Breakdown Prior'!$AE$15:$AE$164,$A97))</f>
        <v/>
      </c>
      <c r="AC97">
        <f>(SUMIFS('Payment Breakdown Current'!$Y$15:$Y$164,'Payment Breakdown Current'!$AE$15:$AE$164,$A97))-(SUMIFS('Payment Breakdown Prior'!$Y$15:$Y$164,'Payment Breakdown Prior'!$AE$15:$AE$164,$A97))</f>
        <v/>
      </c>
      <c r="AD97">
        <f>(SUMIFS('Payment Breakdown Current'!$Z$15:$Z$164,'Payment Breakdown Current'!$AE$15:$AE$164,$A97))-(SUMIFS('Payment Breakdown Prior'!$Z$15:$Z$164,'Payment Breakdown Prior'!$AE$15:$AE$164,$A97))</f>
        <v/>
      </c>
      <c r="AE97">
        <f>(SUMIFS('Payment Breakdown Current'!$AA$15:$AA$164,'Payment Breakdown Current'!$AE$15:$AE$164,$A97))-(SUMIFS('Payment Breakdown Prior'!$AA$15:$AA$164,'Payment Breakdown Prior'!$AE$15:$AE$164,$A97))</f>
        <v/>
      </c>
      <c r="AF97">
        <f>(SUMIFS('Payment Breakdown Current'!$AB$15:$AB$164,'Payment Breakdown Current'!$AE$15:$AE$164,$A97))-(SUMIFS('Payment Breakdown Prior'!$AB$15:$AB$164,'Payment Breakdown Prior'!$AE$15:$AE$164,$A97))</f>
        <v/>
      </c>
      <c r="AG97">
        <f>(SUMIFS('Payment Breakdown Current'!$AC$15:$AC$164,'Payment Breakdown Current'!$AE$15:$AE$164,$A97))-(SUMIFS('Payment Breakdown Prior'!$AC$15:$AC$164,'Payment Breakdown Prior'!$AE$15:$AE$164,$A97))</f>
        <v/>
      </c>
      <c r="AH97">
        <f>(SUMIFS('Payment Breakdown Current'!$AD$15:$AD$164,'Payment Breakdown Current'!$AE$15:$AE$164,$A97))-(SUMIFS('Payment Breakdown Prior'!$AD$15:$AD$164,'Payment Breakdown Prior'!$AE$15:$AE$164,$A97))</f>
        <v/>
      </c>
      <c r="AI97">
        <f t="array" ref="AI97">MAX(ABS(W97:AH97))</f>
        <v/>
      </c>
      <c r="AJ97">
        <f t="array" ref="AJ97">IF(AI97&lt;0.005,"",IFERROR(INDEX($W$1:$AH$1,MATCH(AI97,ABS(W97:AH97),0)),""))</f>
        <v/>
      </c>
      <c r="AK97">
        <f t="array" ref="AK97">IF(AI97&lt;0.005,"",IFERROR(INDEX(W97:AH97,MATCH(AI97,ABS(W97:AH97),0)),""))</f>
        <v/>
      </c>
      <c r="AL97">
        <f>IF(R97=1,ABS(L97)-ROW()/100000000,"")</f>
        <v/>
      </c>
    </row>
    <row r="98">
      <c r="A98">
        <f>IF('NPV Comparison'!D111="","",'NPV Comparison'!D111)</f>
        <v/>
      </c>
      <c r="B98">
        <f>IF('NPV Comparison'!E111="","",'NPV Comparison'!E111)</f>
        <v/>
      </c>
      <c r="C98">
        <f>IF('NPV Comparison'!F111="","",'NPV Comparison'!F111)</f>
        <v/>
      </c>
      <c r="D98">
        <f>IF($A98="","",IFERROR(INDEX(Structure!$E$13:$E$312,MATCH($A98,Structure!$P$13:$P$312,0)),""))</f>
        <v/>
      </c>
      <c r="E98">
        <f>IF($A98="",0,IF(COUNTIF(Structure!$P$13:$P$312,$A98)=0,0,IF(COUNTIFS(Structure!$P$13:$P$312,$A98,Structure!$N$13:$N$312,"&lt;&gt;Zero Hours")=0,1,0)))</f>
        <v/>
      </c>
      <c r="F98">
        <f>IF($A98="",0,1-E98)</f>
        <v/>
      </c>
      <c r="G98">
        <f>IF($A98="",0,IF(COUNTIF('New Starters'!$D$14:$D$73,$A98)&gt;0,1,0))</f>
        <v/>
      </c>
      <c r="H98">
        <f>IF($A98="",0,IF(COUNTIF('Leavers'!$D$12:$D$71,$A98)&gt;0,1,0))</f>
        <v/>
      </c>
      <c r="I98">
        <f>IF($A98="","",IFERROR(INDEX('New Starters'!$K$14:$K$73,MATCH($A98,'New Starters'!$D$14:$D$73,0)),IFERROR(INDEX('Leavers'!$K$12:$K$71,MATCH($A98,'Leavers'!$D$12:$D$71,0)),"")))</f>
        <v/>
      </c>
      <c r="J98">
        <f>IF(AND(G98=1,I98&lt;&gt;"",COUNTIF('Leavers'!$K$12:$K$71,I98)&gt;0),1,IF(AND(H98=1,I98&lt;&gt;"",COUNTIF('New Starters'!$K$14:$K$73,I98)&gt;0),1,0))</f>
        <v/>
      </c>
      <c r="K98">
        <f>IF(ISNUMBER(SEARCH("Head Office",D98)),'Control Sheet'!$C$6,'Control Sheet'!$C$5)</f>
        <v/>
      </c>
      <c r="L98">
        <f>IF(OR($A98="",AND(B98="",C98="")),"",IF(B98="",C98,IF(C98="",-B98,C98-B98)))</f>
        <v/>
      </c>
      <c r="M98">
        <f>IFERROR(L98/B98,"")</f>
        <v/>
      </c>
      <c r="N98">
        <f>IF($A98="",0,IF(OR(B98="",C98="",C98=0,AND(ISNUMBER(M98),ABS(M98)&gt;K98)),1,0))</f>
        <v/>
      </c>
      <c r="O98">
        <f>IF(AND(N98=1,ABS(L98)&gt;='Control Sheet'!$C$7,F98=1),1,0)</f>
        <v/>
      </c>
      <c r="P98">
        <f>IF($A98="","",IF(F98=0,"Zero Hours",IF(J98=1,"Explained: Paired transfer",IF(AND(G98=1,H98=0,J98=0),"Explained: Starter",IF(AND(H98=1,G98=0,J98=0),"Explained: Leaver",IF(O98=1,"Review required","OK"))))))</f>
        <v/>
      </c>
      <c r="Q98">
        <f>IF(AND(F98=1,OR(C98="",C98=0),H98=0,J98=0),1,0)</f>
        <v/>
      </c>
      <c r="R98">
        <f>IF(F98=0,0,IF(P98="Review required",1,IF(AND(P98="Explained: Starter",ISNUMBER(C98),C98&gt;=1500),1,0)))</f>
        <v/>
      </c>
      <c r="S98">
        <f>IF(R98=0,"",IF(Q98=1,"High",IF(AND(P98="Explained: Starter",C98&gt;=1500),"High",IF(ABS(L98)&gt;=2000,"High",IF(ABS(L98)&gt;=500,"Medium","Low")))))</f>
        <v/>
      </c>
      <c r="T98">
        <f>SUMIFS('Payment Breakdown Prior'!$S$15:$S$164,'Payment Breakdown Prior'!$AE$15:$AE$164,$A98)</f>
        <v/>
      </c>
      <c r="U98">
        <f>SUMIFS('Payment Breakdown Current'!$S$15:$S$164,'Payment Breakdown Current'!$AE$15:$AE$164,$A98)</f>
        <v/>
      </c>
      <c r="V98">
        <f>IFERROR((U98-T98)/T98,"")</f>
        <v/>
      </c>
      <c r="W98">
        <f>(SUMIFS('Payment Breakdown Current'!$S$15:$S$164,'Payment Breakdown Current'!$AE$15:$AE$164,$A98))-(SUMIFS('Payment Breakdown Prior'!$S$15:$S$164,'Payment Breakdown Prior'!$AE$15:$AE$164,$A98))</f>
        <v/>
      </c>
      <c r="X98">
        <f>(SUMIFS('Payment Breakdown Current'!$T$15:$T$164,'Payment Breakdown Current'!$AE$15:$AE$164,$A98))-(SUMIFS('Payment Breakdown Prior'!$T$15:$T$164,'Payment Breakdown Prior'!$AE$15:$AE$164,$A98))</f>
        <v/>
      </c>
      <c r="Y98">
        <f>(SUMIFS('Payment Breakdown Current'!$U$15:$U$164,'Payment Breakdown Current'!$AE$15:$AE$164,$A98))-(SUMIFS('Payment Breakdown Prior'!$U$15:$U$164,'Payment Breakdown Prior'!$AE$15:$AE$164,$A98))</f>
        <v/>
      </c>
      <c r="Z98">
        <f>(SUMIFS('Payment Breakdown Current'!$V$15:$V$164,'Payment Breakdown Current'!$AE$15:$AE$164,$A98))-(SUMIFS('Payment Breakdown Prior'!$V$15:$V$164,'Payment Breakdown Prior'!$AE$15:$AE$164,$A98))</f>
        <v/>
      </c>
      <c r="AA98">
        <f>(SUMIFS('Payment Breakdown Current'!$W$15:$W$164,'Payment Breakdown Current'!$AE$15:$AE$164,$A98))-(SUMIFS('Payment Breakdown Prior'!$W$15:$W$164,'Payment Breakdown Prior'!$AE$15:$AE$164,$A98))</f>
        <v/>
      </c>
      <c r="AB98">
        <f>(SUMIFS('Payment Breakdown Current'!$X$15:$X$164,'Payment Breakdown Current'!$AE$15:$AE$164,$A98))-(SUMIFS('Payment Breakdown Prior'!$X$15:$X$164,'Payment Breakdown Prior'!$AE$15:$AE$164,$A98))</f>
        <v/>
      </c>
      <c r="AC98">
        <f>(SUMIFS('Payment Breakdown Current'!$Y$15:$Y$164,'Payment Breakdown Current'!$AE$15:$AE$164,$A98))-(SUMIFS('Payment Breakdown Prior'!$Y$15:$Y$164,'Payment Breakdown Prior'!$AE$15:$AE$164,$A98))</f>
        <v/>
      </c>
      <c r="AD98">
        <f>(SUMIFS('Payment Breakdown Current'!$Z$15:$Z$164,'Payment Breakdown Current'!$AE$15:$AE$164,$A98))-(SUMIFS('Payment Breakdown Prior'!$Z$15:$Z$164,'Payment Breakdown Prior'!$AE$15:$AE$164,$A98))</f>
        <v/>
      </c>
      <c r="AE98">
        <f>(SUMIFS('Payment Breakdown Current'!$AA$15:$AA$164,'Payment Breakdown Current'!$AE$15:$AE$164,$A98))-(SUMIFS('Payment Breakdown Prior'!$AA$15:$AA$164,'Payment Breakdown Prior'!$AE$15:$AE$164,$A98))</f>
        <v/>
      </c>
      <c r="AF98">
        <f>(SUMIFS('Payment Breakdown Current'!$AB$15:$AB$164,'Payment Breakdown Current'!$AE$15:$AE$164,$A98))-(SUMIFS('Payment Breakdown Prior'!$AB$15:$AB$164,'Payment Breakdown Prior'!$AE$15:$AE$164,$A98))</f>
        <v/>
      </c>
      <c r="AG98">
        <f>(SUMIFS('Payment Breakdown Current'!$AC$15:$AC$164,'Payment Breakdown Current'!$AE$15:$AE$164,$A98))-(SUMIFS('Payment Breakdown Prior'!$AC$15:$AC$164,'Payment Breakdown Prior'!$AE$15:$AE$164,$A98))</f>
        <v/>
      </c>
      <c r="AH98">
        <f>(SUMIFS('Payment Breakdown Current'!$AD$15:$AD$164,'Payment Breakdown Current'!$AE$15:$AE$164,$A98))-(SUMIFS('Payment Breakdown Prior'!$AD$15:$AD$164,'Payment Breakdown Prior'!$AE$15:$AE$164,$A98))</f>
        <v/>
      </c>
      <c r="AI98">
        <f t="array" ref="AI98">MAX(ABS(W98:AH98))</f>
        <v/>
      </c>
      <c r="AJ98">
        <f t="array" ref="AJ98">IF(AI98&lt;0.005,"",IFERROR(INDEX($W$1:$AH$1,MATCH(AI98,ABS(W98:AH98),0)),""))</f>
        <v/>
      </c>
      <c r="AK98">
        <f t="array" ref="AK98">IF(AI98&lt;0.005,"",IFERROR(INDEX(W98:AH98,MATCH(AI98,ABS(W98:AH98),0)),""))</f>
        <v/>
      </c>
      <c r="AL98">
        <f>IF(R98=1,ABS(L98)-ROW()/100000000,"")</f>
        <v/>
      </c>
    </row>
    <row r="99">
      <c r="A99">
        <f>IF('NPV Comparison'!D112="","",'NPV Comparison'!D112)</f>
        <v/>
      </c>
      <c r="B99">
        <f>IF('NPV Comparison'!E112="","",'NPV Comparison'!E112)</f>
        <v/>
      </c>
      <c r="C99">
        <f>IF('NPV Comparison'!F112="","",'NPV Comparison'!F112)</f>
        <v/>
      </c>
      <c r="D99">
        <f>IF($A99="","",IFERROR(INDEX(Structure!$E$13:$E$312,MATCH($A99,Structure!$P$13:$P$312,0)),""))</f>
        <v/>
      </c>
      <c r="E99">
        <f>IF($A99="",0,IF(COUNTIF(Structure!$P$13:$P$312,$A99)=0,0,IF(COUNTIFS(Structure!$P$13:$P$312,$A99,Structure!$N$13:$N$312,"&lt;&gt;Zero Hours")=0,1,0)))</f>
        <v/>
      </c>
      <c r="F99">
        <f>IF($A99="",0,1-E99)</f>
        <v/>
      </c>
      <c r="G99">
        <f>IF($A99="",0,IF(COUNTIF('New Starters'!$D$14:$D$73,$A99)&gt;0,1,0))</f>
        <v/>
      </c>
      <c r="H99">
        <f>IF($A99="",0,IF(COUNTIF('Leavers'!$D$12:$D$71,$A99)&gt;0,1,0))</f>
        <v/>
      </c>
      <c r="I99">
        <f>IF($A99="","",IFERROR(INDEX('New Starters'!$K$14:$K$73,MATCH($A99,'New Starters'!$D$14:$D$73,0)),IFERROR(INDEX('Leavers'!$K$12:$K$71,MATCH($A99,'Leavers'!$D$12:$D$71,0)),"")))</f>
        <v/>
      </c>
      <c r="J99">
        <f>IF(AND(G99=1,I99&lt;&gt;"",COUNTIF('Leavers'!$K$12:$K$71,I99)&gt;0),1,IF(AND(H99=1,I99&lt;&gt;"",COUNTIF('New Starters'!$K$14:$K$73,I99)&gt;0),1,0))</f>
        <v/>
      </c>
      <c r="K99">
        <f>IF(ISNUMBER(SEARCH("Head Office",D99)),'Control Sheet'!$C$6,'Control Sheet'!$C$5)</f>
        <v/>
      </c>
      <c r="L99">
        <f>IF(OR($A99="",AND(B99="",C99="")),"",IF(B99="",C99,IF(C99="",-B99,C99-B99)))</f>
        <v/>
      </c>
      <c r="M99">
        <f>IFERROR(L99/B99,"")</f>
        <v/>
      </c>
      <c r="N99">
        <f>IF($A99="",0,IF(OR(B99="",C99="",C99=0,AND(ISNUMBER(M99),ABS(M99)&gt;K99)),1,0))</f>
        <v/>
      </c>
      <c r="O99">
        <f>IF(AND(N99=1,ABS(L99)&gt;='Control Sheet'!$C$7,F99=1),1,0)</f>
        <v/>
      </c>
      <c r="P99">
        <f>IF($A99="","",IF(F99=0,"Zero Hours",IF(J99=1,"Explained: Paired transfer",IF(AND(G99=1,H99=0,J99=0),"Explained: Starter",IF(AND(H99=1,G99=0,J99=0),"Explained: Leaver",IF(O99=1,"Review required","OK"))))))</f>
        <v/>
      </c>
      <c r="Q99">
        <f>IF(AND(F99=1,OR(C99="",C99=0),H99=0,J99=0),1,0)</f>
        <v/>
      </c>
      <c r="R99">
        <f>IF(F99=0,0,IF(P99="Review required",1,IF(AND(P99="Explained: Starter",ISNUMBER(C99),C99&gt;=1500),1,0)))</f>
        <v/>
      </c>
      <c r="S99">
        <f>IF(R99=0,"",IF(Q99=1,"High",IF(AND(P99="Explained: Starter",C99&gt;=1500),"High",IF(ABS(L99)&gt;=2000,"High",IF(ABS(L99)&gt;=500,"Medium","Low")))))</f>
        <v/>
      </c>
      <c r="T99">
        <f>SUMIFS('Payment Breakdown Prior'!$S$15:$S$164,'Payment Breakdown Prior'!$AE$15:$AE$164,$A99)</f>
        <v/>
      </c>
      <c r="U99">
        <f>SUMIFS('Payment Breakdown Current'!$S$15:$S$164,'Payment Breakdown Current'!$AE$15:$AE$164,$A99)</f>
        <v/>
      </c>
      <c r="V99">
        <f>IFERROR((U99-T99)/T99,"")</f>
        <v/>
      </c>
      <c r="W99">
        <f>(SUMIFS('Payment Breakdown Current'!$S$15:$S$164,'Payment Breakdown Current'!$AE$15:$AE$164,$A99))-(SUMIFS('Payment Breakdown Prior'!$S$15:$S$164,'Payment Breakdown Prior'!$AE$15:$AE$164,$A99))</f>
        <v/>
      </c>
      <c r="X99">
        <f>(SUMIFS('Payment Breakdown Current'!$T$15:$T$164,'Payment Breakdown Current'!$AE$15:$AE$164,$A99))-(SUMIFS('Payment Breakdown Prior'!$T$15:$T$164,'Payment Breakdown Prior'!$AE$15:$AE$164,$A99))</f>
        <v/>
      </c>
      <c r="Y99">
        <f>(SUMIFS('Payment Breakdown Current'!$U$15:$U$164,'Payment Breakdown Current'!$AE$15:$AE$164,$A99))-(SUMIFS('Payment Breakdown Prior'!$U$15:$U$164,'Payment Breakdown Prior'!$AE$15:$AE$164,$A99))</f>
        <v/>
      </c>
      <c r="Z99">
        <f>(SUMIFS('Payment Breakdown Current'!$V$15:$V$164,'Payment Breakdown Current'!$AE$15:$AE$164,$A99))-(SUMIFS('Payment Breakdown Prior'!$V$15:$V$164,'Payment Breakdown Prior'!$AE$15:$AE$164,$A99))</f>
        <v/>
      </c>
      <c r="AA99">
        <f>(SUMIFS('Payment Breakdown Current'!$W$15:$W$164,'Payment Breakdown Current'!$AE$15:$AE$164,$A99))-(SUMIFS('Payment Breakdown Prior'!$W$15:$W$164,'Payment Breakdown Prior'!$AE$15:$AE$164,$A99))</f>
        <v/>
      </c>
      <c r="AB99">
        <f>(SUMIFS('Payment Breakdown Current'!$X$15:$X$164,'Payment Breakdown Current'!$AE$15:$AE$164,$A99))-(SUMIFS('Payment Breakdown Prior'!$X$15:$X$164,'Payment Breakdown Prior'!$AE$15:$AE$164,$A99))</f>
        <v/>
      </c>
      <c r="AC99">
        <f>(SUMIFS('Payment Breakdown Current'!$Y$15:$Y$164,'Payment Breakdown Current'!$AE$15:$AE$164,$A99))-(SUMIFS('Payment Breakdown Prior'!$Y$15:$Y$164,'Payment Breakdown Prior'!$AE$15:$AE$164,$A99))</f>
        <v/>
      </c>
      <c r="AD99">
        <f>(SUMIFS('Payment Breakdown Current'!$Z$15:$Z$164,'Payment Breakdown Current'!$AE$15:$AE$164,$A99))-(SUMIFS('Payment Breakdown Prior'!$Z$15:$Z$164,'Payment Breakdown Prior'!$AE$15:$AE$164,$A99))</f>
        <v/>
      </c>
      <c r="AE99">
        <f>(SUMIFS('Payment Breakdown Current'!$AA$15:$AA$164,'Payment Breakdown Current'!$AE$15:$AE$164,$A99))-(SUMIFS('Payment Breakdown Prior'!$AA$15:$AA$164,'Payment Breakdown Prior'!$AE$15:$AE$164,$A99))</f>
        <v/>
      </c>
      <c r="AF99">
        <f>(SUMIFS('Payment Breakdown Current'!$AB$15:$AB$164,'Payment Breakdown Current'!$AE$15:$AE$164,$A99))-(SUMIFS('Payment Breakdown Prior'!$AB$15:$AB$164,'Payment Breakdown Prior'!$AE$15:$AE$164,$A99))</f>
        <v/>
      </c>
      <c r="AG99">
        <f>(SUMIFS('Payment Breakdown Current'!$AC$15:$AC$164,'Payment Breakdown Current'!$AE$15:$AE$164,$A99))-(SUMIFS('Payment Breakdown Prior'!$AC$15:$AC$164,'Payment Breakdown Prior'!$AE$15:$AE$164,$A99))</f>
        <v/>
      </c>
      <c r="AH99">
        <f>(SUMIFS('Payment Breakdown Current'!$AD$15:$AD$164,'Payment Breakdown Current'!$AE$15:$AE$164,$A99))-(SUMIFS('Payment Breakdown Prior'!$AD$15:$AD$164,'Payment Breakdown Prior'!$AE$15:$AE$164,$A99))</f>
        <v/>
      </c>
      <c r="AI99">
        <f t="array" ref="AI99">MAX(ABS(W99:AH99))</f>
        <v/>
      </c>
      <c r="AJ99">
        <f t="array" ref="AJ99">IF(AI99&lt;0.005,"",IFERROR(INDEX($W$1:$AH$1,MATCH(AI99,ABS(W99:AH99),0)),""))</f>
        <v/>
      </c>
      <c r="AK99">
        <f t="array" ref="AK99">IF(AI99&lt;0.005,"",IFERROR(INDEX(W99:AH99,MATCH(AI99,ABS(W99:AH99),0)),""))</f>
        <v/>
      </c>
      <c r="AL99">
        <f>IF(R99=1,ABS(L99)-ROW()/100000000,"")</f>
        <v/>
      </c>
    </row>
    <row r="100">
      <c r="A100">
        <f>IF('NPV Comparison'!D113="","",'NPV Comparison'!D113)</f>
        <v/>
      </c>
      <c r="B100">
        <f>IF('NPV Comparison'!E113="","",'NPV Comparison'!E113)</f>
        <v/>
      </c>
      <c r="C100">
        <f>IF('NPV Comparison'!F113="","",'NPV Comparison'!F113)</f>
        <v/>
      </c>
      <c r="D100">
        <f>IF($A100="","",IFERROR(INDEX(Structure!$E$13:$E$312,MATCH($A100,Structure!$P$13:$P$312,0)),""))</f>
        <v/>
      </c>
      <c r="E100">
        <f>IF($A100="",0,IF(COUNTIF(Structure!$P$13:$P$312,$A100)=0,0,IF(COUNTIFS(Structure!$P$13:$P$312,$A100,Structure!$N$13:$N$312,"&lt;&gt;Zero Hours")=0,1,0)))</f>
        <v/>
      </c>
      <c r="F100">
        <f>IF($A100="",0,1-E100)</f>
        <v/>
      </c>
      <c r="G100">
        <f>IF($A100="",0,IF(COUNTIF('New Starters'!$D$14:$D$73,$A100)&gt;0,1,0))</f>
        <v/>
      </c>
      <c r="H100">
        <f>IF($A100="",0,IF(COUNTIF('Leavers'!$D$12:$D$71,$A100)&gt;0,1,0))</f>
        <v/>
      </c>
      <c r="I100">
        <f>IF($A100="","",IFERROR(INDEX('New Starters'!$K$14:$K$73,MATCH($A100,'New Starters'!$D$14:$D$73,0)),IFERROR(INDEX('Leavers'!$K$12:$K$71,MATCH($A100,'Leavers'!$D$12:$D$71,0)),"")))</f>
        <v/>
      </c>
      <c r="J100">
        <f>IF(AND(G100=1,I100&lt;&gt;"",COUNTIF('Leavers'!$K$12:$K$71,I100)&gt;0),1,IF(AND(H100=1,I100&lt;&gt;"",COUNTIF('New Starters'!$K$14:$K$73,I100)&gt;0),1,0))</f>
        <v/>
      </c>
      <c r="K100">
        <f>IF(ISNUMBER(SEARCH("Head Office",D100)),'Control Sheet'!$C$6,'Control Sheet'!$C$5)</f>
        <v/>
      </c>
      <c r="L100">
        <f>IF(OR($A100="",AND(B100="",C100="")),"",IF(B100="",C100,IF(C100="",-B100,C100-B100)))</f>
        <v/>
      </c>
      <c r="M100">
        <f>IFERROR(L100/B100,"")</f>
        <v/>
      </c>
      <c r="N100">
        <f>IF($A100="",0,IF(OR(B100="",C100="",C100=0,AND(ISNUMBER(M100),ABS(M100)&gt;K100)),1,0))</f>
        <v/>
      </c>
      <c r="O100">
        <f>IF(AND(N100=1,ABS(L100)&gt;='Control Sheet'!$C$7,F100=1),1,0)</f>
        <v/>
      </c>
      <c r="P100">
        <f>IF($A100="","",IF(F100=0,"Zero Hours",IF(J100=1,"Explained: Paired transfer",IF(AND(G100=1,H100=0,J100=0),"Explained: Starter",IF(AND(H100=1,G100=0,J100=0),"Explained: Leaver",IF(O100=1,"Review required","OK"))))))</f>
        <v/>
      </c>
      <c r="Q100">
        <f>IF(AND(F100=1,OR(C100="",C100=0),H100=0,J100=0),1,0)</f>
        <v/>
      </c>
      <c r="R100">
        <f>IF(F100=0,0,IF(P100="Review required",1,IF(AND(P100="Explained: Starter",ISNUMBER(C100),C100&gt;=1500),1,0)))</f>
        <v/>
      </c>
      <c r="S100">
        <f>IF(R100=0,"",IF(Q100=1,"High",IF(AND(P100="Explained: Starter",C100&gt;=1500),"High",IF(ABS(L100)&gt;=2000,"High",IF(ABS(L100)&gt;=500,"Medium","Low")))))</f>
        <v/>
      </c>
      <c r="T100">
        <f>SUMIFS('Payment Breakdown Prior'!$S$15:$S$164,'Payment Breakdown Prior'!$AE$15:$AE$164,$A100)</f>
        <v/>
      </c>
      <c r="U100">
        <f>SUMIFS('Payment Breakdown Current'!$S$15:$S$164,'Payment Breakdown Current'!$AE$15:$AE$164,$A100)</f>
        <v/>
      </c>
      <c r="V100">
        <f>IFERROR((U100-T100)/T100,"")</f>
        <v/>
      </c>
      <c r="W100">
        <f>(SUMIFS('Payment Breakdown Current'!$S$15:$S$164,'Payment Breakdown Current'!$AE$15:$AE$164,$A100))-(SUMIFS('Payment Breakdown Prior'!$S$15:$S$164,'Payment Breakdown Prior'!$AE$15:$AE$164,$A100))</f>
        <v/>
      </c>
      <c r="X100">
        <f>(SUMIFS('Payment Breakdown Current'!$T$15:$T$164,'Payment Breakdown Current'!$AE$15:$AE$164,$A100))-(SUMIFS('Payment Breakdown Prior'!$T$15:$T$164,'Payment Breakdown Prior'!$AE$15:$AE$164,$A100))</f>
        <v/>
      </c>
      <c r="Y100">
        <f>(SUMIFS('Payment Breakdown Current'!$U$15:$U$164,'Payment Breakdown Current'!$AE$15:$AE$164,$A100))-(SUMIFS('Payment Breakdown Prior'!$U$15:$U$164,'Payment Breakdown Prior'!$AE$15:$AE$164,$A100))</f>
        <v/>
      </c>
      <c r="Z100">
        <f>(SUMIFS('Payment Breakdown Current'!$V$15:$V$164,'Payment Breakdown Current'!$AE$15:$AE$164,$A100))-(SUMIFS('Payment Breakdown Prior'!$V$15:$V$164,'Payment Breakdown Prior'!$AE$15:$AE$164,$A100))</f>
        <v/>
      </c>
      <c r="AA100">
        <f>(SUMIFS('Payment Breakdown Current'!$W$15:$W$164,'Payment Breakdown Current'!$AE$15:$AE$164,$A100))-(SUMIFS('Payment Breakdown Prior'!$W$15:$W$164,'Payment Breakdown Prior'!$AE$15:$AE$164,$A100))</f>
        <v/>
      </c>
      <c r="AB100">
        <f>(SUMIFS('Payment Breakdown Current'!$X$15:$X$164,'Payment Breakdown Current'!$AE$15:$AE$164,$A100))-(SUMIFS('Payment Breakdown Prior'!$X$15:$X$164,'Payment Breakdown Prior'!$AE$15:$AE$164,$A100))</f>
        <v/>
      </c>
      <c r="AC100">
        <f>(SUMIFS('Payment Breakdown Current'!$Y$15:$Y$164,'Payment Breakdown Current'!$AE$15:$AE$164,$A100))-(SUMIFS('Payment Breakdown Prior'!$Y$15:$Y$164,'Payment Breakdown Prior'!$AE$15:$AE$164,$A100))</f>
        <v/>
      </c>
      <c r="AD100">
        <f>(SUMIFS('Payment Breakdown Current'!$Z$15:$Z$164,'Payment Breakdown Current'!$AE$15:$AE$164,$A100))-(SUMIFS('Payment Breakdown Prior'!$Z$15:$Z$164,'Payment Breakdown Prior'!$AE$15:$AE$164,$A100))</f>
        <v/>
      </c>
      <c r="AE100">
        <f>(SUMIFS('Payment Breakdown Current'!$AA$15:$AA$164,'Payment Breakdown Current'!$AE$15:$AE$164,$A100))-(SUMIFS('Payment Breakdown Prior'!$AA$15:$AA$164,'Payment Breakdown Prior'!$AE$15:$AE$164,$A100))</f>
        <v/>
      </c>
      <c r="AF100">
        <f>(SUMIFS('Payment Breakdown Current'!$AB$15:$AB$164,'Payment Breakdown Current'!$AE$15:$AE$164,$A100))-(SUMIFS('Payment Breakdown Prior'!$AB$15:$AB$164,'Payment Breakdown Prior'!$AE$15:$AE$164,$A100))</f>
        <v/>
      </c>
      <c r="AG100">
        <f>(SUMIFS('Payment Breakdown Current'!$AC$15:$AC$164,'Payment Breakdown Current'!$AE$15:$AE$164,$A100))-(SUMIFS('Payment Breakdown Prior'!$AC$15:$AC$164,'Payment Breakdown Prior'!$AE$15:$AE$164,$A100))</f>
        <v/>
      </c>
      <c r="AH100">
        <f>(SUMIFS('Payment Breakdown Current'!$AD$15:$AD$164,'Payment Breakdown Current'!$AE$15:$AE$164,$A100))-(SUMIFS('Payment Breakdown Prior'!$AD$15:$AD$164,'Payment Breakdown Prior'!$AE$15:$AE$164,$A100))</f>
        <v/>
      </c>
      <c r="AI100">
        <f t="array" ref="AI100">MAX(ABS(W100:AH100))</f>
        <v/>
      </c>
      <c r="AJ100">
        <f t="array" ref="AJ100">IF(AI100&lt;0.005,"",IFERROR(INDEX($W$1:$AH$1,MATCH(AI100,ABS(W100:AH100),0)),""))</f>
        <v/>
      </c>
      <c r="AK100">
        <f t="array" ref="AK100">IF(AI100&lt;0.005,"",IFERROR(INDEX(W100:AH100,MATCH(AI100,ABS(W100:AH100),0)),""))</f>
        <v/>
      </c>
      <c r="AL100">
        <f>IF(R100=1,ABS(L100)-ROW()/100000000,"")</f>
        <v/>
      </c>
    </row>
    <row r="101">
      <c r="A101">
        <f>IF('NPV Comparison'!D114="","",'NPV Comparison'!D114)</f>
        <v/>
      </c>
      <c r="B101">
        <f>IF('NPV Comparison'!E114="","",'NPV Comparison'!E114)</f>
        <v/>
      </c>
      <c r="C101">
        <f>IF('NPV Comparison'!F114="","",'NPV Comparison'!F114)</f>
        <v/>
      </c>
      <c r="D101">
        <f>IF($A101="","",IFERROR(INDEX(Structure!$E$13:$E$312,MATCH($A101,Structure!$P$13:$P$312,0)),""))</f>
        <v/>
      </c>
      <c r="E101">
        <f>IF($A101="",0,IF(COUNTIF(Structure!$P$13:$P$312,$A101)=0,0,IF(COUNTIFS(Structure!$P$13:$P$312,$A101,Structure!$N$13:$N$312,"&lt;&gt;Zero Hours")=0,1,0)))</f>
        <v/>
      </c>
      <c r="F101">
        <f>IF($A101="",0,1-E101)</f>
        <v/>
      </c>
      <c r="G101">
        <f>IF($A101="",0,IF(COUNTIF('New Starters'!$D$14:$D$73,$A101)&gt;0,1,0))</f>
        <v/>
      </c>
      <c r="H101">
        <f>IF($A101="",0,IF(COUNTIF('Leavers'!$D$12:$D$71,$A101)&gt;0,1,0))</f>
        <v/>
      </c>
      <c r="I101">
        <f>IF($A101="","",IFERROR(INDEX('New Starters'!$K$14:$K$73,MATCH($A101,'New Starters'!$D$14:$D$73,0)),IFERROR(INDEX('Leavers'!$K$12:$K$71,MATCH($A101,'Leavers'!$D$12:$D$71,0)),"")))</f>
        <v/>
      </c>
      <c r="J101">
        <f>IF(AND(G101=1,I101&lt;&gt;"",COUNTIF('Leavers'!$K$12:$K$71,I101)&gt;0),1,IF(AND(H101=1,I101&lt;&gt;"",COUNTIF('New Starters'!$K$14:$K$73,I101)&gt;0),1,0))</f>
        <v/>
      </c>
      <c r="K101">
        <f>IF(ISNUMBER(SEARCH("Head Office",D101)),'Control Sheet'!$C$6,'Control Sheet'!$C$5)</f>
        <v/>
      </c>
      <c r="L101">
        <f>IF(OR($A101="",AND(B101="",C101="")),"",IF(B101="",C101,IF(C101="",-B101,C101-B101)))</f>
        <v/>
      </c>
      <c r="M101">
        <f>IFERROR(L101/B101,"")</f>
        <v/>
      </c>
      <c r="N101">
        <f>IF($A101="",0,IF(OR(B101="",C101="",C101=0,AND(ISNUMBER(M101),ABS(M101)&gt;K101)),1,0))</f>
        <v/>
      </c>
      <c r="O101">
        <f>IF(AND(N101=1,ABS(L101)&gt;='Control Sheet'!$C$7,F101=1),1,0)</f>
        <v/>
      </c>
      <c r="P101">
        <f>IF($A101="","",IF(F101=0,"Zero Hours",IF(J101=1,"Explained: Paired transfer",IF(AND(G101=1,H101=0,J101=0),"Explained: Starter",IF(AND(H101=1,G101=0,J101=0),"Explained: Leaver",IF(O101=1,"Review required","OK"))))))</f>
        <v/>
      </c>
      <c r="Q101">
        <f>IF(AND(F101=1,OR(C101="",C101=0),H101=0,J101=0),1,0)</f>
        <v/>
      </c>
      <c r="R101">
        <f>IF(F101=0,0,IF(P101="Review required",1,IF(AND(P101="Explained: Starter",ISNUMBER(C101),C101&gt;=1500),1,0)))</f>
        <v/>
      </c>
      <c r="S101">
        <f>IF(R101=0,"",IF(Q101=1,"High",IF(AND(P101="Explained: Starter",C101&gt;=1500),"High",IF(ABS(L101)&gt;=2000,"High",IF(ABS(L101)&gt;=500,"Medium","Low")))))</f>
        <v/>
      </c>
      <c r="T101">
        <f>SUMIFS('Payment Breakdown Prior'!$S$15:$S$164,'Payment Breakdown Prior'!$AE$15:$AE$164,$A101)</f>
        <v/>
      </c>
      <c r="U101">
        <f>SUMIFS('Payment Breakdown Current'!$S$15:$S$164,'Payment Breakdown Current'!$AE$15:$AE$164,$A101)</f>
        <v/>
      </c>
      <c r="V101">
        <f>IFERROR((U101-T101)/T101,"")</f>
        <v/>
      </c>
      <c r="W101">
        <f>(SUMIFS('Payment Breakdown Current'!$S$15:$S$164,'Payment Breakdown Current'!$AE$15:$AE$164,$A101))-(SUMIFS('Payment Breakdown Prior'!$S$15:$S$164,'Payment Breakdown Prior'!$AE$15:$AE$164,$A101))</f>
        <v/>
      </c>
      <c r="X101">
        <f>(SUMIFS('Payment Breakdown Current'!$T$15:$T$164,'Payment Breakdown Current'!$AE$15:$AE$164,$A101))-(SUMIFS('Payment Breakdown Prior'!$T$15:$T$164,'Payment Breakdown Prior'!$AE$15:$AE$164,$A101))</f>
        <v/>
      </c>
      <c r="Y101">
        <f>(SUMIFS('Payment Breakdown Current'!$U$15:$U$164,'Payment Breakdown Current'!$AE$15:$AE$164,$A101))-(SUMIFS('Payment Breakdown Prior'!$U$15:$U$164,'Payment Breakdown Prior'!$AE$15:$AE$164,$A101))</f>
        <v/>
      </c>
      <c r="Z101">
        <f>(SUMIFS('Payment Breakdown Current'!$V$15:$V$164,'Payment Breakdown Current'!$AE$15:$AE$164,$A101))-(SUMIFS('Payment Breakdown Prior'!$V$15:$V$164,'Payment Breakdown Prior'!$AE$15:$AE$164,$A101))</f>
        <v/>
      </c>
      <c r="AA101">
        <f>(SUMIFS('Payment Breakdown Current'!$W$15:$W$164,'Payment Breakdown Current'!$AE$15:$AE$164,$A101))-(SUMIFS('Payment Breakdown Prior'!$W$15:$W$164,'Payment Breakdown Prior'!$AE$15:$AE$164,$A101))</f>
        <v/>
      </c>
      <c r="AB101">
        <f>(SUMIFS('Payment Breakdown Current'!$X$15:$X$164,'Payment Breakdown Current'!$AE$15:$AE$164,$A101))-(SUMIFS('Payment Breakdown Prior'!$X$15:$X$164,'Payment Breakdown Prior'!$AE$15:$AE$164,$A101))</f>
        <v/>
      </c>
      <c r="AC101">
        <f>(SUMIFS('Payment Breakdown Current'!$Y$15:$Y$164,'Payment Breakdown Current'!$AE$15:$AE$164,$A101))-(SUMIFS('Payment Breakdown Prior'!$Y$15:$Y$164,'Payment Breakdown Prior'!$AE$15:$AE$164,$A101))</f>
        <v/>
      </c>
      <c r="AD101">
        <f>(SUMIFS('Payment Breakdown Current'!$Z$15:$Z$164,'Payment Breakdown Current'!$AE$15:$AE$164,$A101))-(SUMIFS('Payment Breakdown Prior'!$Z$15:$Z$164,'Payment Breakdown Prior'!$AE$15:$AE$164,$A101))</f>
        <v/>
      </c>
      <c r="AE101">
        <f>(SUMIFS('Payment Breakdown Current'!$AA$15:$AA$164,'Payment Breakdown Current'!$AE$15:$AE$164,$A101))-(SUMIFS('Payment Breakdown Prior'!$AA$15:$AA$164,'Payment Breakdown Prior'!$AE$15:$AE$164,$A101))</f>
        <v/>
      </c>
      <c r="AF101">
        <f>(SUMIFS('Payment Breakdown Current'!$AB$15:$AB$164,'Payment Breakdown Current'!$AE$15:$AE$164,$A101))-(SUMIFS('Payment Breakdown Prior'!$AB$15:$AB$164,'Payment Breakdown Prior'!$AE$15:$AE$164,$A101))</f>
        <v/>
      </c>
      <c r="AG101">
        <f>(SUMIFS('Payment Breakdown Current'!$AC$15:$AC$164,'Payment Breakdown Current'!$AE$15:$AE$164,$A101))-(SUMIFS('Payment Breakdown Prior'!$AC$15:$AC$164,'Payment Breakdown Prior'!$AE$15:$AE$164,$A101))</f>
        <v/>
      </c>
      <c r="AH101">
        <f>(SUMIFS('Payment Breakdown Current'!$AD$15:$AD$164,'Payment Breakdown Current'!$AE$15:$AE$164,$A101))-(SUMIFS('Payment Breakdown Prior'!$AD$15:$AD$164,'Payment Breakdown Prior'!$AE$15:$AE$164,$A101))</f>
        <v/>
      </c>
      <c r="AI101">
        <f t="array" ref="AI101">MAX(ABS(W101:AH101))</f>
        <v/>
      </c>
      <c r="AJ101">
        <f t="array" ref="AJ101">IF(AI101&lt;0.005,"",IFERROR(INDEX($W$1:$AH$1,MATCH(AI101,ABS(W101:AH101),0)),""))</f>
        <v/>
      </c>
      <c r="AK101">
        <f t="array" ref="AK101">IF(AI101&lt;0.005,"",IFERROR(INDEX(W101:AH101,MATCH(AI101,ABS(W101:AH101),0)),""))</f>
        <v/>
      </c>
      <c r="AL101">
        <f>IF(R101=1,ABS(L101)-ROW()/100000000,"")</f>
        <v/>
      </c>
    </row>
    <row r="102">
      <c r="A102">
        <f>IF('NPV Comparison'!D115="","",'NPV Comparison'!D115)</f>
        <v/>
      </c>
      <c r="B102">
        <f>IF('NPV Comparison'!E115="","",'NPV Comparison'!E115)</f>
        <v/>
      </c>
      <c r="C102">
        <f>IF('NPV Comparison'!F115="","",'NPV Comparison'!F115)</f>
        <v/>
      </c>
      <c r="D102">
        <f>IF($A102="","",IFERROR(INDEX(Structure!$E$13:$E$312,MATCH($A102,Structure!$P$13:$P$312,0)),""))</f>
        <v/>
      </c>
      <c r="E102">
        <f>IF($A102="",0,IF(COUNTIF(Structure!$P$13:$P$312,$A102)=0,0,IF(COUNTIFS(Structure!$P$13:$P$312,$A102,Structure!$N$13:$N$312,"&lt;&gt;Zero Hours")=0,1,0)))</f>
        <v/>
      </c>
      <c r="F102">
        <f>IF($A102="",0,1-E102)</f>
        <v/>
      </c>
      <c r="G102">
        <f>IF($A102="",0,IF(COUNTIF('New Starters'!$D$14:$D$73,$A102)&gt;0,1,0))</f>
        <v/>
      </c>
      <c r="H102">
        <f>IF($A102="",0,IF(COUNTIF('Leavers'!$D$12:$D$71,$A102)&gt;0,1,0))</f>
        <v/>
      </c>
      <c r="I102">
        <f>IF($A102="","",IFERROR(INDEX('New Starters'!$K$14:$K$73,MATCH($A102,'New Starters'!$D$14:$D$73,0)),IFERROR(INDEX('Leavers'!$K$12:$K$71,MATCH($A102,'Leavers'!$D$12:$D$71,0)),"")))</f>
        <v/>
      </c>
      <c r="J102">
        <f>IF(AND(G102=1,I102&lt;&gt;"",COUNTIF('Leavers'!$K$12:$K$71,I102)&gt;0),1,IF(AND(H102=1,I102&lt;&gt;"",COUNTIF('New Starters'!$K$14:$K$73,I102)&gt;0),1,0))</f>
        <v/>
      </c>
      <c r="K102">
        <f>IF(ISNUMBER(SEARCH("Head Office",D102)),'Control Sheet'!$C$6,'Control Sheet'!$C$5)</f>
        <v/>
      </c>
      <c r="L102">
        <f>IF(OR($A102="",AND(B102="",C102="")),"",IF(B102="",C102,IF(C102="",-B102,C102-B102)))</f>
        <v/>
      </c>
      <c r="M102">
        <f>IFERROR(L102/B102,"")</f>
        <v/>
      </c>
      <c r="N102">
        <f>IF($A102="",0,IF(OR(B102="",C102="",C102=0,AND(ISNUMBER(M102),ABS(M102)&gt;K102)),1,0))</f>
        <v/>
      </c>
      <c r="O102">
        <f>IF(AND(N102=1,ABS(L102)&gt;='Control Sheet'!$C$7,F102=1),1,0)</f>
        <v/>
      </c>
      <c r="P102">
        <f>IF($A102="","",IF(F102=0,"Zero Hours",IF(J102=1,"Explained: Paired transfer",IF(AND(G102=1,H102=0,J102=0),"Explained: Starter",IF(AND(H102=1,G102=0,J102=0),"Explained: Leaver",IF(O102=1,"Review required","OK"))))))</f>
        <v/>
      </c>
      <c r="Q102">
        <f>IF(AND(F102=1,OR(C102="",C102=0),H102=0,J102=0),1,0)</f>
        <v/>
      </c>
      <c r="R102">
        <f>IF(F102=0,0,IF(P102="Review required",1,IF(AND(P102="Explained: Starter",ISNUMBER(C102),C102&gt;=1500),1,0)))</f>
        <v/>
      </c>
      <c r="S102">
        <f>IF(R102=0,"",IF(Q102=1,"High",IF(AND(P102="Explained: Starter",C102&gt;=1500),"High",IF(ABS(L102)&gt;=2000,"High",IF(ABS(L102)&gt;=500,"Medium","Low")))))</f>
        <v/>
      </c>
      <c r="T102">
        <f>SUMIFS('Payment Breakdown Prior'!$S$15:$S$164,'Payment Breakdown Prior'!$AE$15:$AE$164,$A102)</f>
        <v/>
      </c>
      <c r="U102">
        <f>SUMIFS('Payment Breakdown Current'!$S$15:$S$164,'Payment Breakdown Current'!$AE$15:$AE$164,$A102)</f>
        <v/>
      </c>
      <c r="V102">
        <f>IFERROR((U102-T102)/T102,"")</f>
        <v/>
      </c>
      <c r="W102">
        <f>(SUMIFS('Payment Breakdown Current'!$S$15:$S$164,'Payment Breakdown Current'!$AE$15:$AE$164,$A102))-(SUMIFS('Payment Breakdown Prior'!$S$15:$S$164,'Payment Breakdown Prior'!$AE$15:$AE$164,$A102))</f>
        <v/>
      </c>
      <c r="X102">
        <f>(SUMIFS('Payment Breakdown Current'!$T$15:$T$164,'Payment Breakdown Current'!$AE$15:$AE$164,$A102))-(SUMIFS('Payment Breakdown Prior'!$T$15:$T$164,'Payment Breakdown Prior'!$AE$15:$AE$164,$A102))</f>
        <v/>
      </c>
      <c r="Y102">
        <f>(SUMIFS('Payment Breakdown Current'!$U$15:$U$164,'Payment Breakdown Current'!$AE$15:$AE$164,$A102))-(SUMIFS('Payment Breakdown Prior'!$U$15:$U$164,'Payment Breakdown Prior'!$AE$15:$AE$164,$A102))</f>
        <v/>
      </c>
      <c r="Z102">
        <f>(SUMIFS('Payment Breakdown Current'!$V$15:$V$164,'Payment Breakdown Current'!$AE$15:$AE$164,$A102))-(SUMIFS('Payment Breakdown Prior'!$V$15:$V$164,'Payment Breakdown Prior'!$AE$15:$AE$164,$A102))</f>
        <v/>
      </c>
      <c r="AA102">
        <f>(SUMIFS('Payment Breakdown Current'!$W$15:$W$164,'Payment Breakdown Current'!$AE$15:$AE$164,$A102))-(SUMIFS('Payment Breakdown Prior'!$W$15:$W$164,'Payment Breakdown Prior'!$AE$15:$AE$164,$A102))</f>
        <v/>
      </c>
      <c r="AB102">
        <f>(SUMIFS('Payment Breakdown Current'!$X$15:$X$164,'Payment Breakdown Current'!$AE$15:$AE$164,$A102))-(SUMIFS('Payment Breakdown Prior'!$X$15:$X$164,'Payment Breakdown Prior'!$AE$15:$AE$164,$A102))</f>
        <v/>
      </c>
      <c r="AC102">
        <f>(SUMIFS('Payment Breakdown Current'!$Y$15:$Y$164,'Payment Breakdown Current'!$AE$15:$AE$164,$A102))-(SUMIFS('Payment Breakdown Prior'!$Y$15:$Y$164,'Payment Breakdown Prior'!$AE$15:$AE$164,$A102))</f>
        <v/>
      </c>
      <c r="AD102">
        <f>(SUMIFS('Payment Breakdown Current'!$Z$15:$Z$164,'Payment Breakdown Current'!$AE$15:$AE$164,$A102))-(SUMIFS('Payment Breakdown Prior'!$Z$15:$Z$164,'Payment Breakdown Prior'!$AE$15:$AE$164,$A102))</f>
        <v/>
      </c>
      <c r="AE102">
        <f>(SUMIFS('Payment Breakdown Current'!$AA$15:$AA$164,'Payment Breakdown Current'!$AE$15:$AE$164,$A102))-(SUMIFS('Payment Breakdown Prior'!$AA$15:$AA$164,'Payment Breakdown Prior'!$AE$15:$AE$164,$A102))</f>
        <v/>
      </c>
      <c r="AF102">
        <f>(SUMIFS('Payment Breakdown Current'!$AB$15:$AB$164,'Payment Breakdown Current'!$AE$15:$AE$164,$A102))-(SUMIFS('Payment Breakdown Prior'!$AB$15:$AB$164,'Payment Breakdown Prior'!$AE$15:$AE$164,$A102))</f>
        <v/>
      </c>
      <c r="AG102">
        <f>(SUMIFS('Payment Breakdown Current'!$AC$15:$AC$164,'Payment Breakdown Current'!$AE$15:$AE$164,$A102))-(SUMIFS('Payment Breakdown Prior'!$AC$15:$AC$164,'Payment Breakdown Prior'!$AE$15:$AE$164,$A102))</f>
        <v/>
      </c>
      <c r="AH102">
        <f>(SUMIFS('Payment Breakdown Current'!$AD$15:$AD$164,'Payment Breakdown Current'!$AE$15:$AE$164,$A102))-(SUMIFS('Payment Breakdown Prior'!$AD$15:$AD$164,'Payment Breakdown Prior'!$AE$15:$AE$164,$A102))</f>
        <v/>
      </c>
      <c r="AI102">
        <f t="array" ref="AI102">MAX(ABS(W102:AH102))</f>
        <v/>
      </c>
      <c r="AJ102">
        <f t="array" ref="AJ102">IF(AI102&lt;0.005,"",IFERROR(INDEX($W$1:$AH$1,MATCH(AI102,ABS(W102:AH102),0)),""))</f>
        <v/>
      </c>
      <c r="AK102">
        <f t="array" ref="AK102">IF(AI102&lt;0.005,"",IFERROR(INDEX(W102:AH102,MATCH(AI102,ABS(W102:AH102),0)),""))</f>
        <v/>
      </c>
      <c r="AL102">
        <f>IF(R102=1,ABS(L102)-ROW()/100000000,"")</f>
        <v/>
      </c>
    </row>
    <row r="103">
      <c r="A103">
        <f>IF('NPV Comparison'!D116="","",'NPV Comparison'!D116)</f>
        <v/>
      </c>
      <c r="B103">
        <f>IF('NPV Comparison'!E116="","",'NPV Comparison'!E116)</f>
        <v/>
      </c>
      <c r="C103">
        <f>IF('NPV Comparison'!F116="","",'NPV Comparison'!F116)</f>
        <v/>
      </c>
      <c r="D103">
        <f>IF($A103="","",IFERROR(INDEX(Structure!$E$13:$E$312,MATCH($A103,Structure!$P$13:$P$312,0)),""))</f>
        <v/>
      </c>
      <c r="E103">
        <f>IF($A103="",0,IF(COUNTIF(Structure!$P$13:$P$312,$A103)=0,0,IF(COUNTIFS(Structure!$P$13:$P$312,$A103,Structure!$N$13:$N$312,"&lt;&gt;Zero Hours")=0,1,0)))</f>
        <v/>
      </c>
      <c r="F103">
        <f>IF($A103="",0,1-E103)</f>
        <v/>
      </c>
      <c r="G103">
        <f>IF($A103="",0,IF(COUNTIF('New Starters'!$D$14:$D$73,$A103)&gt;0,1,0))</f>
        <v/>
      </c>
      <c r="H103">
        <f>IF($A103="",0,IF(COUNTIF('Leavers'!$D$12:$D$71,$A103)&gt;0,1,0))</f>
        <v/>
      </c>
      <c r="I103">
        <f>IF($A103="","",IFERROR(INDEX('New Starters'!$K$14:$K$73,MATCH($A103,'New Starters'!$D$14:$D$73,0)),IFERROR(INDEX('Leavers'!$K$12:$K$71,MATCH($A103,'Leavers'!$D$12:$D$71,0)),"")))</f>
        <v/>
      </c>
      <c r="J103">
        <f>IF(AND(G103=1,I103&lt;&gt;"",COUNTIF('Leavers'!$K$12:$K$71,I103)&gt;0),1,IF(AND(H103=1,I103&lt;&gt;"",COUNTIF('New Starters'!$K$14:$K$73,I103)&gt;0),1,0))</f>
        <v/>
      </c>
      <c r="K103">
        <f>IF(ISNUMBER(SEARCH("Head Office",D103)),'Control Sheet'!$C$6,'Control Sheet'!$C$5)</f>
        <v/>
      </c>
      <c r="L103">
        <f>IF(OR($A103="",AND(B103="",C103="")),"",IF(B103="",C103,IF(C103="",-B103,C103-B103)))</f>
        <v/>
      </c>
      <c r="M103">
        <f>IFERROR(L103/B103,"")</f>
        <v/>
      </c>
      <c r="N103">
        <f>IF($A103="",0,IF(OR(B103="",C103="",C103=0,AND(ISNUMBER(M103),ABS(M103)&gt;K103)),1,0))</f>
        <v/>
      </c>
      <c r="O103">
        <f>IF(AND(N103=1,ABS(L103)&gt;='Control Sheet'!$C$7,F103=1),1,0)</f>
        <v/>
      </c>
      <c r="P103">
        <f>IF($A103="","",IF(F103=0,"Zero Hours",IF(J103=1,"Explained: Paired transfer",IF(AND(G103=1,H103=0,J103=0),"Explained: Starter",IF(AND(H103=1,G103=0,J103=0),"Explained: Leaver",IF(O103=1,"Review required","OK"))))))</f>
        <v/>
      </c>
      <c r="Q103">
        <f>IF(AND(F103=1,OR(C103="",C103=0),H103=0,J103=0),1,0)</f>
        <v/>
      </c>
      <c r="R103">
        <f>IF(F103=0,0,IF(P103="Review required",1,IF(AND(P103="Explained: Starter",ISNUMBER(C103),C103&gt;=1500),1,0)))</f>
        <v/>
      </c>
      <c r="S103">
        <f>IF(R103=0,"",IF(Q103=1,"High",IF(AND(P103="Explained: Starter",C103&gt;=1500),"High",IF(ABS(L103)&gt;=2000,"High",IF(ABS(L103)&gt;=500,"Medium","Low")))))</f>
        <v/>
      </c>
      <c r="T103">
        <f>SUMIFS('Payment Breakdown Prior'!$S$15:$S$164,'Payment Breakdown Prior'!$AE$15:$AE$164,$A103)</f>
        <v/>
      </c>
      <c r="U103">
        <f>SUMIFS('Payment Breakdown Current'!$S$15:$S$164,'Payment Breakdown Current'!$AE$15:$AE$164,$A103)</f>
        <v/>
      </c>
      <c r="V103">
        <f>IFERROR((U103-T103)/T103,"")</f>
        <v/>
      </c>
      <c r="W103">
        <f>(SUMIFS('Payment Breakdown Current'!$S$15:$S$164,'Payment Breakdown Current'!$AE$15:$AE$164,$A103))-(SUMIFS('Payment Breakdown Prior'!$S$15:$S$164,'Payment Breakdown Prior'!$AE$15:$AE$164,$A103))</f>
        <v/>
      </c>
      <c r="X103">
        <f>(SUMIFS('Payment Breakdown Current'!$T$15:$T$164,'Payment Breakdown Current'!$AE$15:$AE$164,$A103))-(SUMIFS('Payment Breakdown Prior'!$T$15:$T$164,'Payment Breakdown Prior'!$AE$15:$AE$164,$A103))</f>
        <v/>
      </c>
      <c r="Y103">
        <f>(SUMIFS('Payment Breakdown Current'!$U$15:$U$164,'Payment Breakdown Current'!$AE$15:$AE$164,$A103))-(SUMIFS('Payment Breakdown Prior'!$U$15:$U$164,'Payment Breakdown Prior'!$AE$15:$AE$164,$A103))</f>
        <v/>
      </c>
      <c r="Z103">
        <f>(SUMIFS('Payment Breakdown Current'!$V$15:$V$164,'Payment Breakdown Current'!$AE$15:$AE$164,$A103))-(SUMIFS('Payment Breakdown Prior'!$V$15:$V$164,'Payment Breakdown Prior'!$AE$15:$AE$164,$A103))</f>
        <v/>
      </c>
      <c r="AA103">
        <f>(SUMIFS('Payment Breakdown Current'!$W$15:$W$164,'Payment Breakdown Current'!$AE$15:$AE$164,$A103))-(SUMIFS('Payment Breakdown Prior'!$W$15:$W$164,'Payment Breakdown Prior'!$AE$15:$AE$164,$A103))</f>
        <v/>
      </c>
      <c r="AB103">
        <f>(SUMIFS('Payment Breakdown Current'!$X$15:$X$164,'Payment Breakdown Current'!$AE$15:$AE$164,$A103))-(SUMIFS('Payment Breakdown Prior'!$X$15:$X$164,'Payment Breakdown Prior'!$AE$15:$AE$164,$A103))</f>
        <v/>
      </c>
      <c r="AC103">
        <f>(SUMIFS('Payment Breakdown Current'!$Y$15:$Y$164,'Payment Breakdown Current'!$AE$15:$AE$164,$A103))-(SUMIFS('Payment Breakdown Prior'!$Y$15:$Y$164,'Payment Breakdown Prior'!$AE$15:$AE$164,$A103))</f>
        <v/>
      </c>
      <c r="AD103">
        <f>(SUMIFS('Payment Breakdown Current'!$Z$15:$Z$164,'Payment Breakdown Current'!$AE$15:$AE$164,$A103))-(SUMIFS('Payment Breakdown Prior'!$Z$15:$Z$164,'Payment Breakdown Prior'!$AE$15:$AE$164,$A103))</f>
        <v/>
      </c>
      <c r="AE103">
        <f>(SUMIFS('Payment Breakdown Current'!$AA$15:$AA$164,'Payment Breakdown Current'!$AE$15:$AE$164,$A103))-(SUMIFS('Payment Breakdown Prior'!$AA$15:$AA$164,'Payment Breakdown Prior'!$AE$15:$AE$164,$A103))</f>
        <v/>
      </c>
      <c r="AF103">
        <f>(SUMIFS('Payment Breakdown Current'!$AB$15:$AB$164,'Payment Breakdown Current'!$AE$15:$AE$164,$A103))-(SUMIFS('Payment Breakdown Prior'!$AB$15:$AB$164,'Payment Breakdown Prior'!$AE$15:$AE$164,$A103))</f>
        <v/>
      </c>
      <c r="AG103">
        <f>(SUMIFS('Payment Breakdown Current'!$AC$15:$AC$164,'Payment Breakdown Current'!$AE$15:$AE$164,$A103))-(SUMIFS('Payment Breakdown Prior'!$AC$15:$AC$164,'Payment Breakdown Prior'!$AE$15:$AE$164,$A103))</f>
        <v/>
      </c>
      <c r="AH103">
        <f>(SUMIFS('Payment Breakdown Current'!$AD$15:$AD$164,'Payment Breakdown Current'!$AE$15:$AE$164,$A103))-(SUMIFS('Payment Breakdown Prior'!$AD$15:$AD$164,'Payment Breakdown Prior'!$AE$15:$AE$164,$A103))</f>
        <v/>
      </c>
      <c r="AI103">
        <f t="array" ref="AI103">MAX(ABS(W103:AH103))</f>
        <v/>
      </c>
      <c r="AJ103">
        <f t="array" ref="AJ103">IF(AI103&lt;0.005,"",IFERROR(INDEX($W$1:$AH$1,MATCH(AI103,ABS(W103:AH103),0)),""))</f>
        <v/>
      </c>
      <c r="AK103">
        <f t="array" ref="AK103">IF(AI103&lt;0.005,"",IFERROR(INDEX(W103:AH103,MATCH(AI103,ABS(W103:AH103),0)),""))</f>
        <v/>
      </c>
      <c r="AL103">
        <f>IF(R103=1,ABS(L103)-ROW()/100000000,"")</f>
        <v/>
      </c>
    </row>
    <row r="104">
      <c r="A104">
        <f>IF('NPV Comparison'!D117="","",'NPV Comparison'!D117)</f>
        <v/>
      </c>
      <c r="B104">
        <f>IF('NPV Comparison'!E117="","",'NPV Comparison'!E117)</f>
        <v/>
      </c>
      <c r="C104">
        <f>IF('NPV Comparison'!F117="","",'NPV Comparison'!F117)</f>
        <v/>
      </c>
      <c r="D104">
        <f>IF($A104="","",IFERROR(INDEX(Structure!$E$13:$E$312,MATCH($A104,Structure!$P$13:$P$312,0)),""))</f>
        <v/>
      </c>
      <c r="E104">
        <f>IF($A104="",0,IF(COUNTIF(Structure!$P$13:$P$312,$A104)=0,0,IF(COUNTIFS(Structure!$P$13:$P$312,$A104,Structure!$N$13:$N$312,"&lt;&gt;Zero Hours")=0,1,0)))</f>
        <v/>
      </c>
      <c r="F104">
        <f>IF($A104="",0,1-E104)</f>
        <v/>
      </c>
      <c r="G104">
        <f>IF($A104="",0,IF(COUNTIF('New Starters'!$D$14:$D$73,$A104)&gt;0,1,0))</f>
        <v/>
      </c>
      <c r="H104">
        <f>IF($A104="",0,IF(COUNTIF('Leavers'!$D$12:$D$71,$A104)&gt;0,1,0))</f>
        <v/>
      </c>
      <c r="I104">
        <f>IF($A104="","",IFERROR(INDEX('New Starters'!$K$14:$K$73,MATCH($A104,'New Starters'!$D$14:$D$73,0)),IFERROR(INDEX('Leavers'!$K$12:$K$71,MATCH($A104,'Leavers'!$D$12:$D$71,0)),"")))</f>
        <v/>
      </c>
      <c r="J104">
        <f>IF(AND(G104=1,I104&lt;&gt;"",COUNTIF('Leavers'!$K$12:$K$71,I104)&gt;0),1,IF(AND(H104=1,I104&lt;&gt;"",COUNTIF('New Starters'!$K$14:$K$73,I104)&gt;0),1,0))</f>
        <v/>
      </c>
      <c r="K104">
        <f>IF(ISNUMBER(SEARCH("Head Office",D104)),'Control Sheet'!$C$6,'Control Sheet'!$C$5)</f>
        <v/>
      </c>
      <c r="L104">
        <f>IF(OR($A104="",AND(B104="",C104="")),"",IF(B104="",C104,IF(C104="",-B104,C104-B104)))</f>
        <v/>
      </c>
      <c r="M104">
        <f>IFERROR(L104/B104,"")</f>
        <v/>
      </c>
      <c r="N104">
        <f>IF($A104="",0,IF(OR(B104="",C104="",C104=0,AND(ISNUMBER(M104),ABS(M104)&gt;K104)),1,0))</f>
        <v/>
      </c>
      <c r="O104">
        <f>IF(AND(N104=1,ABS(L104)&gt;='Control Sheet'!$C$7,F104=1),1,0)</f>
        <v/>
      </c>
      <c r="P104">
        <f>IF($A104="","",IF(F104=0,"Zero Hours",IF(J104=1,"Explained: Paired transfer",IF(AND(G104=1,H104=0,J104=0),"Explained: Starter",IF(AND(H104=1,G104=0,J104=0),"Explained: Leaver",IF(O104=1,"Review required","OK"))))))</f>
        <v/>
      </c>
      <c r="Q104">
        <f>IF(AND(F104=1,OR(C104="",C104=0),H104=0,J104=0),1,0)</f>
        <v/>
      </c>
      <c r="R104">
        <f>IF(F104=0,0,IF(P104="Review required",1,IF(AND(P104="Explained: Starter",ISNUMBER(C104),C104&gt;=1500),1,0)))</f>
        <v/>
      </c>
      <c r="S104">
        <f>IF(R104=0,"",IF(Q104=1,"High",IF(AND(P104="Explained: Starter",C104&gt;=1500),"High",IF(ABS(L104)&gt;=2000,"High",IF(ABS(L104)&gt;=500,"Medium","Low")))))</f>
        <v/>
      </c>
      <c r="T104">
        <f>SUMIFS('Payment Breakdown Prior'!$S$15:$S$164,'Payment Breakdown Prior'!$AE$15:$AE$164,$A104)</f>
        <v/>
      </c>
      <c r="U104">
        <f>SUMIFS('Payment Breakdown Current'!$S$15:$S$164,'Payment Breakdown Current'!$AE$15:$AE$164,$A104)</f>
        <v/>
      </c>
      <c r="V104">
        <f>IFERROR((U104-T104)/T104,"")</f>
        <v/>
      </c>
      <c r="W104">
        <f>(SUMIFS('Payment Breakdown Current'!$S$15:$S$164,'Payment Breakdown Current'!$AE$15:$AE$164,$A104))-(SUMIFS('Payment Breakdown Prior'!$S$15:$S$164,'Payment Breakdown Prior'!$AE$15:$AE$164,$A104))</f>
        <v/>
      </c>
      <c r="X104">
        <f>(SUMIFS('Payment Breakdown Current'!$T$15:$T$164,'Payment Breakdown Current'!$AE$15:$AE$164,$A104))-(SUMIFS('Payment Breakdown Prior'!$T$15:$T$164,'Payment Breakdown Prior'!$AE$15:$AE$164,$A104))</f>
        <v/>
      </c>
      <c r="Y104">
        <f>(SUMIFS('Payment Breakdown Current'!$U$15:$U$164,'Payment Breakdown Current'!$AE$15:$AE$164,$A104))-(SUMIFS('Payment Breakdown Prior'!$U$15:$U$164,'Payment Breakdown Prior'!$AE$15:$AE$164,$A104))</f>
        <v/>
      </c>
      <c r="Z104">
        <f>(SUMIFS('Payment Breakdown Current'!$V$15:$V$164,'Payment Breakdown Current'!$AE$15:$AE$164,$A104))-(SUMIFS('Payment Breakdown Prior'!$V$15:$V$164,'Payment Breakdown Prior'!$AE$15:$AE$164,$A104))</f>
        <v/>
      </c>
      <c r="AA104">
        <f>(SUMIFS('Payment Breakdown Current'!$W$15:$W$164,'Payment Breakdown Current'!$AE$15:$AE$164,$A104))-(SUMIFS('Payment Breakdown Prior'!$W$15:$W$164,'Payment Breakdown Prior'!$AE$15:$AE$164,$A104))</f>
        <v/>
      </c>
      <c r="AB104">
        <f>(SUMIFS('Payment Breakdown Current'!$X$15:$X$164,'Payment Breakdown Current'!$AE$15:$AE$164,$A104))-(SUMIFS('Payment Breakdown Prior'!$X$15:$X$164,'Payment Breakdown Prior'!$AE$15:$AE$164,$A104))</f>
        <v/>
      </c>
      <c r="AC104">
        <f>(SUMIFS('Payment Breakdown Current'!$Y$15:$Y$164,'Payment Breakdown Current'!$AE$15:$AE$164,$A104))-(SUMIFS('Payment Breakdown Prior'!$Y$15:$Y$164,'Payment Breakdown Prior'!$AE$15:$AE$164,$A104))</f>
        <v/>
      </c>
      <c r="AD104">
        <f>(SUMIFS('Payment Breakdown Current'!$Z$15:$Z$164,'Payment Breakdown Current'!$AE$15:$AE$164,$A104))-(SUMIFS('Payment Breakdown Prior'!$Z$15:$Z$164,'Payment Breakdown Prior'!$AE$15:$AE$164,$A104))</f>
        <v/>
      </c>
      <c r="AE104">
        <f>(SUMIFS('Payment Breakdown Current'!$AA$15:$AA$164,'Payment Breakdown Current'!$AE$15:$AE$164,$A104))-(SUMIFS('Payment Breakdown Prior'!$AA$15:$AA$164,'Payment Breakdown Prior'!$AE$15:$AE$164,$A104))</f>
        <v/>
      </c>
      <c r="AF104">
        <f>(SUMIFS('Payment Breakdown Current'!$AB$15:$AB$164,'Payment Breakdown Current'!$AE$15:$AE$164,$A104))-(SUMIFS('Payment Breakdown Prior'!$AB$15:$AB$164,'Payment Breakdown Prior'!$AE$15:$AE$164,$A104))</f>
        <v/>
      </c>
      <c r="AG104">
        <f>(SUMIFS('Payment Breakdown Current'!$AC$15:$AC$164,'Payment Breakdown Current'!$AE$15:$AE$164,$A104))-(SUMIFS('Payment Breakdown Prior'!$AC$15:$AC$164,'Payment Breakdown Prior'!$AE$15:$AE$164,$A104))</f>
        <v/>
      </c>
      <c r="AH104">
        <f>(SUMIFS('Payment Breakdown Current'!$AD$15:$AD$164,'Payment Breakdown Current'!$AE$15:$AE$164,$A104))-(SUMIFS('Payment Breakdown Prior'!$AD$15:$AD$164,'Payment Breakdown Prior'!$AE$15:$AE$164,$A104))</f>
        <v/>
      </c>
      <c r="AI104">
        <f t="array" ref="AI104">MAX(ABS(W104:AH104))</f>
        <v/>
      </c>
      <c r="AJ104">
        <f t="array" ref="AJ104">IF(AI104&lt;0.005,"",IFERROR(INDEX($W$1:$AH$1,MATCH(AI104,ABS(W104:AH104),0)),""))</f>
        <v/>
      </c>
      <c r="AK104">
        <f t="array" ref="AK104">IF(AI104&lt;0.005,"",IFERROR(INDEX(W104:AH104,MATCH(AI104,ABS(W104:AH104),0)),""))</f>
        <v/>
      </c>
      <c r="AL104">
        <f>IF(R104=1,ABS(L104)-ROW()/100000000,"")</f>
        <v/>
      </c>
    </row>
    <row r="105">
      <c r="A105">
        <f>IF('NPV Comparison'!D118="","",'NPV Comparison'!D118)</f>
        <v/>
      </c>
      <c r="B105">
        <f>IF('NPV Comparison'!E118="","",'NPV Comparison'!E118)</f>
        <v/>
      </c>
      <c r="C105">
        <f>IF('NPV Comparison'!F118="","",'NPV Comparison'!F118)</f>
        <v/>
      </c>
      <c r="D105">
        <f>IF($A105="","",IFERROR(INDEX(Structure!$E$13:$E$312,MATCH($A105,Structure!$P$13:$P$312,0)),""))</f>
        <v/>
      </c>
      <c r="E105">
        <f>IF($A105="",0,IF(COUNTIF(Structure!$P$13:$P$312,$A105)=0,0,IF(COUNTIFS(Structure!$P$13:$P$312,$A105,Structure!$N$13:$N$312,"&lt;&gt;Zero Hours")=0,1,0)))</f>
        <v/>
      </c>
      <c r="F105">
        <f>IF($A105="",0,1-E105)</f>
        <v/>
      </c>
      <c r="G105">
        <f>IF($A105="",0,IF(COUNTIF('New Starters'!$D$14:$D$73,$A105)&gt;0,1,0))</f>
        <v/>
      </c>
      <c r="H105">
        <f>IF($A105="",0,IF(COUNTIF('Leavers'!$D$12:$D$71,$A105)&gt;0,1,0))</f>
        <v/>
      </c>
      <c r="I105">
        <f>IF($A105="","",IFERROR(INDEX('New Starters'!$K$14:$K$73,MATCH($A105,'New Starters'!$D$14:$D$73,0)),IFERROR(INDEX('Leavers'!$K$12:$K$71,MATCH($A105,'Leavers'!$D$12:$D$71,0)),"")))</f>
        <v/>
      </c>
      <c r="J105">
        <f>IF(AND(G105=1,I105&lt;&gt;"",COUNTIF('Leavers'!$K$12:$K$71,I105)&gt;0),1,IF(AND(H105=1,I105&lt;&gt;"",COUNTIF('New Starters'!$K$14:$K$73,I105)&gt;0),1,0))</f>
        <v/>
      </c>
      <c r="K105">
        <f>IF(ISNUMBER(SEARCH("Head Office",D105)),'Control Sheet'!$C$6,'Control Sheet'!$C$5)</f>
        <v/>
      </c>
      <c r="L105">
        <f>IF(OR($A105="",AND(B105="",C105="")),"",IF(B105="",C105,IF(C105="",-B105,C105-B105)))</f>
        <v/>
      </c>
      <c r="M105">
        <f>IFERROR(L105/B105,"")</f>
        <v/>
      </c>
      <c r="N105">
        <f>IF($A105="",0,IF(OR(B105="",C105="",C105=0,AND(ISNUMBER(M105),ABS(M105)&gt;K105)),1,0))</f>
        <v/>
      </c>
      <c r="O105">
        <f>IF(AND(N105=1,ABS(L105)&gt;='Control Sheet'!$C$7,F105=1),1,0)</f>
        <v/>
      </c>
      <c r="P105">
        <f>IF($A105="","",IF(F105=0,"Zero Hours",IF(J105=1,"Explained: Paired transfer",IF(AND(G105=1,H105=0,J105=0),"Explained: Starter",IF(AND(H105=1,G105=0,J105=0),"Explained: Leaver",IF(O105=1,"Review required","OK"))))))</f>
        <v/>
      </c>
      <c r="Q105">
        <f>IF(AND(F105=1,OR(C105="",C105=0),H105=0,J105=0),1,0)</f>
        <v/>
      </c>
      <c r="R105">
        <f>IF(F105=0,0,IF(P105="Review required",1,IF(AND(P105="Explained: Starter",ISNUMBER(C105),C105&gt;=1500),1,0)))</f>
        <v/>
      </c>
      <c r="S105">
        <f>IF(R105=0,"",IF(Q105=1,"High",IF(AND(P105="Explained: Starter",C105&gt;=1500),"High",IF(ABS(L105)&gt;=2000,"High",IF(ABS(L105)&gt;=500,"Medium","Low")))))</f>
        <v/>
      </c>
      <c r="T105">
        <f>SUMIFS('Payment Breakdown Prior'!$S$15:$S$164,'Payment Breakdown Prior'!$AE$15:$AE$164,$A105)</f>
        <v/>
      </c>
      <c r="U105">
        <f>SUMIFS('Payment Breakdown Current'!$S$15:$S$164,'Payment Breakdown Current'!$AE$15:$AE$164,$A105)</f>
        <v/>
      </c>
      <c r="V105">
        <f>IFERROR((U105-T105)/T105,"")</f>
        <v/>
      </c>
      <c r="W105">
        <f>(SUMIFS('Payment Breakdown Current'!$S$15:$S$164,'Payment Breakdown Current'!$AE$15:$AE$164,$A105))-(SUMIFS('Payment Breakdown Prior'!$S$15:$S$164,'Payment Breakdown Prior'!$AE$15:$AE$164,$A105))</f>
        <v/>
      </c>
      <c r="X105">
        <f>(SUMIFS('Payment Breakdown Current'!$T$15:$T$164,'Payment Breakdown Current'!$AE$15:$AE$164,$A105))-(SUMIFS('Payment Breakdown Prior'!$T$15:$T$164,'Payment Breakdown Prior'!$AE$15:$AE$164,$A105))</f>
        <v/>
      </c>
      <c r="Y105">
        <f>(SUMIFS('Payment Breakdown Current'!$U$15:$U$164,'Payment Breakdown Current'!$AE$15:$AE$164,$A105))-(SUMIFS('Payment Breakdown Prior'!$U$15:$U$164,'Payment Breakdown Prior'!$AE$15:$AE$164,$A105))</f>
        <v/>
      </c>
      <c r="Z105">
        <f>(SUMIFS('Payment Breakdown Current'!$V$15:$V$164,'Payment Breakdown Current'!$AE$15:$AE$164,$A105))-(SUMIFS('Payment Breakdown Prior'!$V$15:$V$164,'Payment Breakdown Prior'!$AE$15:$AE$164,$A105))</f>
        <v/>
      </c>
      <c r="AA105">
        <f>(SUMIFS('Payment Breakdown Current'!$W$15:$W$164,'Payment Breakdown Current'!$AE$15:$AE$164,$A105))-(SUMIFS('Payment Breakdown Prior'!$W$15:$W$164,'Payment Breakdown Prior'!$AE$15:$AE$164,$A105))</f>
        <v/>
      </c>
      <c r="AB105">
        <f>(SUMIFS('Payment Breakdown Current'!$X$15:$X$164,'Payment Breakdown Current'!$AE$15:$AE$164,$A105))-(SUMIFS('Payment Breakdown Prior'!$X$15:$X$164,'Payment Breakdown Prior'!$AE$15:$AE$164,$A105))</f>
        <v/>
      </c>
      <c r="AC105">
        <f>(SUMIFS('Payment Breakdown Current'!$Y$15:$Y$164,'Payment Breakdown Current'!$AE$15:$AE$164,$A105))-(SUMIFS('Payment Breakdown Prior'!$Y$15:$Y$164,'Payment Breakdown Prior'!$AE$15:$AE$164,$A105))</f>
        <v/>
      </c>
      <c r="AD105">
        <f>(SUMIFS('Payment Breakdown Current'!$Z$15:$Z$164,'Payment Breakdown Current'!$AE$15:$AE$164,$A105))-(SUMIFS('Payment Breakdown Prior'!$Z$15:$Z$164,'Payment Breakdown Prior'!$AE$15:$AE$164,$A105))</f>
        <v/>
      </c>
      <c r="AE105">
        <f>(SUMIFS('Payment Breakdown Current'!$AA$15:$AA$164,'Payment Breakdown Current'!$AE$15:$AE$164,$A105))-(SUMIFS('Payment Breakdown Prior'!$AA$15:$AA$164,'Payment Breakdown Prior'!$AE$15:$AE$164,$A105))</f>
        <v/>
      </c>
      <c r="AF105">
        <f>(SUMIFS('Payment Breakdown Current'!$AB$15:$AB$164,'Payment Breakdown Current'!$AE$15:$AE$164,$A105))-(SUMIFS('Payment Breakdown Prior'!$AB$15:$AB$164,'Payment Breakdown Prior'!$AE$15:$AE$164,$A105))</f>
        <v/>
      </c>
      <c r="AG105">
        <f>(SUMIFS('Payment Breakdown Current'!$AC$15:$AC$164,'Payment Breakdown Current'!$AE$15:$AE$164,$A105))-(SUMIFS('Payment Breakdown Prior'!$AC$15:$AC$164,'Payment Breakdown Prior'!$AE$15:$AE$164,$A105))</f>
        <v/>
      </c>
      <c r="AH105">
        <f>(SUMIFS('Payment Breakdown Current'!$AD$15:$AD$164,'Payment Breakdown Current'!$AE$15:$AE$164,$A105))-(SUMIFS('Payment Breakdown Prior'!$AD$15:$AD$164,'Payment Breakdown Prior'!$AE$15:$AE$164,$A105))</f>
        <v/>
      </c>
      <c r="AI105">
        <f t="array" ref="AI105">MAX(ABS(W105:AH105))</f>
        <v/>
      </c>
      <c r="AJ105">
        <f t="array" ref="AJ105">IF(AI105&lt;0.005,"",IFERROR(INDEX($W$1:$AH$1,MATCH(AI105,ABS(W105:AH105),0)),""))</f>
        <v/>
      </c>
      <c r="AK105">
        <f t="array" ref="AK105">IF(AI105&lt;0.005,"",IFERROR(INDEX(W105:AH105,MATCH(AI105,ABS(W105:AH105),0)),""))</f>
        <v/>
      </c>
      <c r="AL105">
        <f>IF(R105=1,ABS(L105)-ROW()/100000000,"")</f>
        <v/>
      </c>
    </row>
    <row r="106">
      <c r="A106">
        <f>IF('NPV Comparison'!D119="","",'NPV Comparison'!D119)</f>
        <v/>
      </c>
      <c r="B106">
        <f>IF('NPV Comparison'!E119="","",'NPV Comparison'!E119)</f>
        <v/>
      </c>
      <c r="C106">
        <f>IF('NPV Comparison'!F119="","",'NPV Comparison'!F119)</f>
        <v/>
      </c>
      <c r="D106">
        <f>IF($A106="","",IFERROR(INDEX(Structure!$E$13:$E$312,MATCH($A106,Structure!$P$13:$P$312,0)),""))</f>
        <v/>
      </c>
      <c r="E106">
        <f>IF($A106="",0,IF(COUNTIF(Structure!$P$13:$P$312,$A106)=0,0,IF(COUNTIFS(Structure!$P$13:$P$312,$A106,Structure!$N$13:$N$312,"&lt;&gt;Zero Hours")=0,1,0)))</f>
        <v/>
      </c>
      <c r="F106">
        <f>IF($A106="",0,1-E106)</f>
        <v/>
      </c>
      <c r="G106">
        <f>IF($A106="",0,IF(COUNTIF('New Starters'!$D$14:$D$73,$A106)&gt;0,1,0))</f>
        <v/>
      </c>
      <c r="H106">
        <f>IF($A106="",0,IF(COUNTIF('Leavers'!$D$12:$D$71,$A106)&gt;0,1,0))</f>
        <v/>
      </c>
      <c r="I106">
        <f>IF($A106="","",IFERROR(INDEX('New Starters'!$K$14:$K$73,MATCH($A106,'New Starters'!$D$14:$D$73,0)),IFERROR(INDEX('Leavers'!$K$12:$K$71,MATCH($A106,'Leavers'!$D$12:$D$71,0)),"")))</f>
        <v/>
      </c>
      <c r="J106">
        <f>IF(AND(G106=1,I106&lt;&gt;"",COUNTIF('Leavers'!$K$12:$K$71,I106)&gt;0),1,IF(AND(H106=1,I106&lt;&gt;"",COUNTIF('New Starters'!$K$14:$K$73,I106)&gt;0),1,0))</f>
        <v/>
      </c>
      <c r="K106">
        <f>IF(ISNUMBER(SEARCH("Head Office",D106)),'Control Sheet'!$C$6,'Control Sheet'!$C$5)</f>
        <v/>
      </c>
      <c r="L106">
        <f>IF(OR($A106="",AND(B106="",C106="")),"",IF(B106="",C106,IF(C106="",-B106,C106-B106)))</f>
        <v/>
      </c>
      <c r="M106">
        <f>IFERROR(L106/B106,"")</f>
        <v/>
      </c>
      <c r="N106">
        <f>IF($A106="",0,IF(OR(B106="",C106="",C106=0,AND(ISNUMBER(M106),ABS(M106)&gt;K106)),1,0))</f>
        <v/>
      </c>
      <c r="O106">
        <f>IF(AND(N106=1,ABS(L106)&gt;='Control Sheet'!$C$7,F106=1),1,0)</f>
        <v/>
      </c>
      <c r="P106">
        <f>IF($A106="","",IF(F106=0,"Zero Hours",IF(J106=1,"Explained: Paired transfer",IF(AND(G106=1,H106=0,J106=0),"Explained: Starter",IF(AND(H106=1,G106=0,J106=0),"Explained: Leaver",IF(O106=1,"Review required","OK"))))))</f>
        <v/>
      </c>
      <c r="Q106">
        <f>IF(AND(F106=1,OR(C106="",C106=0),H106=0,J106=0),1,0)</f>
        <v/>
      </c>
      <c r="R106">
        <f>IF(F106=0,0,IF(P106="Review required",1,IF(AND(P106="Explained: Starter",ISNUMBER(C106),C106&gt;=1500),1,0)))</f>
        <v/>
      </c>
      <c r="S106">
        <f>IF(R106=0,"",IF(Q106=1,"High",IF(AND(P106="Explained: Starter",C106&gt;=1500),"High",IF(ABS(L106)&gt;=2000,"High",IF(ABS(L106)&gt;=500,"Medium","Low")))))</f>
        <v/>
      </c>
      <c r="T106">
        <f>SUMIFS('Payment Breakdown Prior'!$S$15:$S$164,'Payment Breakdown Prior'!$AE$15:$AE$164,$A106)</f>
        <v/>
      </c>
      <c r="U106">
        <f>SUMIFS('Payment Breakdown Current'!$S$15:$S$164,'Payment Breakdown Current'!$AE$15:$AE$164,$A106)</f>
        <v/>
      </c>
      <c r="V106">
        <f>IFERROR((U106-T106)/T106,"")</f>
        <v/>
      </c>
      <c r="W106">
        <f>(SUMIFS('Payment Breakdown Current'!$S$15:$S$164,'Payment Breakdown Current'!$AE$15:$AE$164,$A106))-(SUMIFS('Payment Breakdown Prior'!$S$15:$S$164,'Payment Breakdown Prior'!$AE$15:$AE$164,$A106))</f>
        <v/>
      </c>
      <c r="X106">
        <f>(SUMIFS('Payment Breakdown Current'!$T$15:$T$164,'Payment Breakdown Current'!$AE$15:$AE$164,$A106))-(SUMIFS('Payment Breakdown Prior'!$T$15:$T$164,'Payment Breakdown Prior'!$AE$15:$AE$164,$A106))</f>
        <v/>
      </c>
      <c r="Y106">
        <f>(SUMIFS('Payment Breakdown Current'!$U$15:$U$164,'Payment Breakdown Current'!$AE$15:$AE$164,$A106))-(SUMIFS('Payment Breakdown Prior'!$U$15:$U$164,'Payment Breakdown Prior'!$AE$15:$AE$164,$A106))</f>
        <v/>
      </c>
      <c r="Z106">
        <f>(SUMIFS('Payment Breakdown Current'!$V$15:$V$164,'Payment Breakdown Current'!$AE$15:$AE$164,$A106))-(SUMIFS('Payment Breakdown Prior'!$V$15:$V$164,'Payment Breakdown Prior'!$AE$15:$AE$164,$A106))</f>
        <v/>
      </c>
      <c r="AA106">
        <f>(SUMIFS('Payment Breakdown Current'!$W$15:$W$164,'Payment Breakdown Current'!$AE$15:$AE$164,$A106))-(SUMIFS('Payment Breakdown Prior'!$W$15:$W$164,'Payment Breakdown Prior'!$AE$15:$AE$164,$A106))</f>
        <v/>
      </c>
      <c r="AB106">
        <f>(SUMIFS('Payment Breakdown Current'!$X$15:$X$164,'Payment Breakdown Current'!$AE$15:$AE$164,$A106))-(SUMIFS('Payment Breakdown Prior'!$X$15:$X$164,'Payment Breakdown Prior'!$AE$15:$AE$164,$A106))</f>
        <v/>
      </c>
      <c r="AC106">
        <f>(SUMIFS('Payment Breakdown Current'!$Y$15:$Y$164,'Payment Breakdown Current'!$AE$15:$AE$164,$A106))-(SUMIFS('Payment Breakdown Prior'!$Y$15:$Y$164,'Payment Breakdown Prior'!$AE$15:$AE$164,$A106))</f>
        <v/>
      </c>
      <c r="AD106">
        <f>(SUMIFS('Payment Breakdown Current'!$Z$15:$Z$164,'Payment Breakdown Current'!$AE$15:$AE$164,$A106))-(SUMIFS('Payment Breakdown Prior'!$Z$15:$Z$164,'Payment Breakdown Prior'!$AE$15:$AE$164,$A106))</f>
        <v/>
      </c>
      <c r="AE106">
        <f>(SUMIFS('Payment Breakdown Current'!$AA$15:$AA$164,'Payment Breakdown Current'!$AE$15:$AE$164,$A106))-(SUMIFS('Payment Breakdown Prior'!$AA$15:$AA$164,'Payment Breakdown Prior'!$AE$15:$AE$164,$A106))</f>
        <v/>
      </c>
      <c r="AF106">
        <f>(SUMIFS('Payment Breakdown Current'!$AB$15:$AB$164,'Payment Breakdown Current'!$AE$15:$AE$164,$A106))-(SUMIFS('Payment Breakdown Prior'!$AB$15:$AB$164,'Payment Breakdown Prior'!$AE$15:$AE$164,$A106))</f>
        <v/>
      </c>
      <c r="AG106">
        <f>(SUMIFS('Payment Breakdown Current'!$AC$15:$AC$164,'Payment Breakdown Current'!$AE$15:$AE$164,$A106))-(SUMIFS('Payment Breakdown Prior'!$AC$15:$AC$164,'Payment Breakdown Prior'!$AE$15:$AE$164,$A106))</f>
        <v/>
      </c>
      <c r="AH106">
        <f>(SUMIFS('Payment Breakdown Current'!$AD$15:$AD$164,'Payment Breakdown Current'!$AE$15:$AE$164,$A106))-(SUMIFS('Payment Breakdown Prior'!$AD$15:$AD$164,'Payment Breakdown Prior'!$AE$15:$AE$164,$A106))</f>
        <v/>
      </c>
      <c r="AI106">
        <f t="array" ref="AI106">MAX(ABS(W106:AH106))</f>
        <v/>
      </c>
      <c r="AJ106">
        <f t="array" ref="AJ106">IF(AI106&lt;0.005,"",IFERROR(INDEX($W$1:$AH$1,MATCH(AI106,ABS(W106:AH106),0)),""))</f>
        <v/>
      </c>
      <c r="AK106">
        <f t="array" ref="AK106">IF(AI106&lt;0.005,"",IFERROR(INDEX(W106:AH106,MATCH(AI106,ABS(W106:AH106),0)),""))</f>
        <v/>
      </c>
      <c r="AL106">
        <f>IF(R106=1,ABS(L106)-ROW()/100000000,"")</f>
        <v/>
      </c>
    </row>
    <row r="107">
      <c r="A107">
        <f>IF('NPV Comparison'!D120="","",'NPV Comparison'!D120)</f>
        <v/>
      </c>
      <c r="B107">
        <f>IF('NPV Comparison'!E120="","",'NPV Comparison'!E120)</f>
        <v/>
      </c>
      <c r="C107">
        <f>IF('NPV Comparison'!F120="","",'NPV Comparison'!F120)</f>
        <v/>
      </c>
      <c r="D107">
        <f>IF($A107="","",IFERROR(INDEX(Structure!$E$13:$E$312,MATCH($A107,Structure!$P$13:$P$312,0)),""))</f>
        <v/>
      </c>
      <c r="E107">
        <f>IF($A107="",0,IF(COUNTIF(Structure!$P$13:$P$312,$A107)=0,0,IF(COUNTIFS(Structure!$P$13:$P$312,$A107,Structure!$N$13:$N$312,"&lt;&gt;Zero Hours")=0,1,0)))</f>
        <v/>
      </c>
      <c r="F107">
        <f>IF($A107="",0,1-E107)</f>
        <v/>
      </c>
      <c r="G107">
        <f>IF($A107="",0,IF(COUNTIF('New Starters'!$D$14:$D$73,$A107)&gt;0,1,0))</f>
        <v/>
      </c>
      <c r="H107">
        <f>IF($A107="",0,IF(COUNTIF('Leavers'!$D$12:$D$71,$A107)&gt;0,1,0))</f>
        <v/>
      </c>
      <c r="I107">
        <f>IF($A107="","",IFERROR(INDEX('New Starters'!$K$14:$K$73,MATCH($A107,'New Starters'!$D$14:$D$73,0)),IFERROR(INDEX('Leavers'!$K$12:$K$71,MATCH($A107,'Leavers'!$D$12:$D$71,0)),"")))</f>
        <v/>
      </c>
      <c r="J107">
        <f>IF(AND(G107=1,I107&lt;&gt;"",COUNTIF('Leavers'!$K$12:$K$71,I107)&gt;0),1,IF(AND(H107=1,I107&lt;&gt;"",COUNTIF('New Starters'!$K$14:$K$73,I107)&gt;0),1,0))</f>
        <v/>
      </c>
      <c r="K107">
        <f>IF(ISNUMBER(SEARCH("Head Office",D107)),'Control Sheet'!$C$6,'Control Sheet'!$C$5)</f>
        <v/>
      </c>
      <c r="L107">
        <f>IF(OR($A107="",AND(B107="",C107="")),"",IF(B107="",C107,IF(C107="",-B107,C107-B107)))</f>
        <v/>
      </c>
      <c r="M107">
        <f>IFERROR(L107/B107,"")</f>
        <v/>
      </c>
      <c r="N107">
        <f>IF($A107="",0,IF(OR(B107="",C107="",C107=0,AND(ISNUMBER(M107),ABS(M107)&gt;K107)),1,0))</f>
        <v/>
      </c>
      <c r="O107">
        <f>IF(AND(N107=1,ABS(L107)&gt;='Control Sheet'!$C$7,F107=1),1,0)</f>
        <v/>
      </c>
      <c r="P107">
        <f>IF($A107="","",IF(F107=0,"Zero Hours",IF(J107=1,"Explained: Paired transfer",IF(AND(G107=1,H107=0,J107=0),"Explained: Starter",IF(AND(H107=1,G107=0,J107=0),"Explained: Leaver",IF(O107=1,"Review required","OK"))))))</f>
        <v/>
      </c>
      <c r="Q107">
        <f>IF(AND(F107=1,OR(C107="",C107=0),H107=0,J107=0),1,0)</f>
        <v/>
      </c>
      <c r="R107">
        <f>IF(F107=0,0,IF(P107="Review required",1,IF(AND(P107="Explained: Starter",ISNUMBER(C107),C107&gt;=1500),1,0)))</f>
        <v/>
      </c>
      <c r="S107">
        <f>IF(R107=0,"",IF(Q107=1,"High",IF(AND(P107="Explained: Starter",C107&gt;=1500),"High",IF(ABS(L107)&gt;=2000,"High",IF(ABS(L107)&gt;=500,"Medium","Low")))))</f>
        <v/>
      </c>
      <c r="T107">
        <f>SUMIFS('Payment Breakdown Prior'!$S$15:$S$164,'Payment Breakdown Prior'!$AE$15:$AE$164,$A107)</f>
        <v/>
      </c>
      <c r="U107">
        <f>SUMIFS('Payment Breakdown Current'!$S$15:$S$164,'Payment Breakdown Current'!$AE$15:$AE$164,$A107)</f>
        <v/>
      </c>
      <c r="V107">
        <f>IFERROR((U107-T107)/T107,"")</f>
        <v/>
      </c>
      <c r="W107">
        <f>(SUMIFS('Payment Breakdown Current'!$S$15:$S$164,'Payment Breakdown Current'!$AE$15:$AE$164,$A107))-(SUMIFS('Payment Breakdown Prior'!$S$15:$S$164,'Payment Breakdown Prior'!$AE$15:$AE$164,$A107))</f>
        <v/>
      </c>
      <c r="X107">
        <f>(SUMIFS('Payment Breakdown Current'!$T$15:$T$164,'Payment Breakdown Current'!$AE$15:$AE$164,$A107))-(SUMIFS('Payment Breakdown Prior'!$T$15:$T$164,'Payment Breakdown Prior'!$AE$15:$AE$164,$A107))</f>
        <v/>
      </c>
      <c r="Y107">
        <f>(SUMIFS('Payment Breakdown Current'!$U$15:$U$164,'Payment Breakdown Current'!$AE$15:$AE$164,$A107))-(SUMIFS('Payment Breakdown Prior'!$U$15:$U$164,'Payment Breakdown Prior'!$AE$15:$AE$164,$A107))</f>
        <v/>
      </c>
      <c r="Z107">
        <f>(SUMIFS('Payment Breakdown Current'!$V$15:$V$164,'Payment Breakdown Current'!$AE$15:$AE$164,$A107))-(SUMIFS('Payment Breakdown Prior'!$V$15:$V$164,'Payment Breakdown Prior'!$AE$15:$AE$164,$A107))</f>
        <v/>
      </c>
      <c r="AA107">
        <f>(SUMIFS('Payment Breakdown Current'!$W$15:$W$164,'Payment Breakdown Current'!$AE$15:$AE$164,$A107))-(SUMIFS('Payment Breakdown Prior'!$W$15:$W$164,'Payment Breakdown Prior'!$AE$15:$AE$164,$A107))</f>
        <v/>
      </c>
      <c r="AB107">
        <f>(SUMIFS('Payment Breakdown Current'!$X$15:$X$164,'Payment Breakdown Current'!$AE$15:$AE$164,$A107))-(SUMIFS('Payment Breakdown Prior'!$X$15:$X$164,'Payment Breakdown Prior'!$AE$15:$AE$164,$A107))</f>
        <v/>
      </c>
      <c r="AC107">
        <f>(SUMIFS('Payment Breakdown Current'!$Y$15:$Y$164,'Payment Breakdown Current'!$AE$15:$AE$164,$A107))-(SUMIFS('Payment Breakdown Prior'!$Y$15:$Y$164,'Payment Breakdown Prior'!$AE$15:$AE$164,$A107))</f>
        <v/>
      </c>
      <c r="AD107">
        <f>(SUMIFS('Payment Breakdown Current'!$Z$15:$Z$164,'Payment Breakdown Current'!$AE$15:$AE$164,$A107))-(SUMIFS('Payment Breakdown Prior'!$Z$15:$Z$164,'Payment Breakdown Prior'!$AE$15:$AE$164,$A107))</f>
        <v/>
      </c>
      <c r="AE107">
        <f>(SUMIFS('Payment Breakdown Current'!$AA$15:$AA$164,'Payment Breakdown Current'!$AE$15:$AE$164,$A107))-(SUMIFS('Payment Breakdown Prior'!$AA$15:$AA$164,'Payment Breakdown Prior'!$AE$15:$AE$164,$A107))</f>
        <v/>
      </c>
      <c r="AF107">
        <f>(SUMIFS('Payment Breakdown Current'!$AB$15:$AB$164,'Payment Breakdown Current'!$AE$15:$AE$164,$A107))-(SUMIFS('Payment Breakdown Prior'!$AB$15:$AB$164,'Payment Breakdown Prior'!$AE$15:$AE$164,$A107))</f>
        <v/>
      </c>
      <c r="AG107">
        <f>(SUMIFS('Payment Breakdown Current'!$AC$15:$AC$164,'Payment Breakdown Current'!$AE$15:$AE$164,$A107))-(SUMIFS('Payment Breakdown Prior'!$AC$15:$AC$164,'Payment Breakdown Prior'!$AE$15:$AE$164,$A107))</f>
        <v/>
      </c>
      <c r="AH107">
        <f>(SUMIFS('Payment Breakdown Current'!$AD$15:$AD$164,'Payment Breakdown Current'!$AE$15:$AE$164,$A107))-(SUMIFS('Payment Breakdown Prior'!$AD$15:$AD$164,'Payment Breakdown Prior'!$AE$15:$AE$164,$A107))</f>
        <v/>
      </c>
      <c r="AI107">
        <f t="array" ref="AI107">MAX(ABS(W107:AH107))</f>
        <v/>
      </c>
      <c r="AJ107">
        <f t="array" ref="AJ107">IF(AI107&lt;0.005,"",IFERROR(INDEX($W$1:$AH$1,MATCH(AI107,ABS(W107:AH107),0)),""))</f>
        <v/>
      </c>
      <c r="AK107">
        <f t="array" ref="AK107">IF(AI107&lt;0.005,"",IFERROR(INDEX(W107:AH107,MATCH(AI107,ABS(W107:AH107),0)),""))</f>
        <v/>
      </c>
      <c r="AL107">
        <f>IF(R107=1,ABS(L107)-ROW()/100000000,"")</f>
        <v/>
      </c>
    </row>
    <row r="108">
      <c r="A108">
        <f>IF('NPV Comparison'!D121="","",'NPV Comparison'!D121)</f>
        <v/>
      </c>
      <c r="B108">
        <f>IF('NPV Comparison'!E121="","",'NPV Comparison'!E121)</f>
        <v/>
      </c>
      <c r="C108">
        <f>IF('NPV Comparison'!F121="","",'NPV Comparison'!F121)</f>
        <v/>
      </c>
      <c r="D108">
        <f>IF($A108="","",IFERROR(INDEX(Structure!$E$13:$E$312,MATCH($A108,Structure!$P$13:$P$312,0)),""))</f>
        <v/>
      </c>
      <c r="E108">
        <f>IF($A108="",0,IF(COUNTIF(Structure!$P$13:$P$312,$A108)=0,0,IF(COUNTIFS(Structure!$P$13:$P$312,$A108,Structure!$N$13:$N$312,"&lt;&gt;Zero Hours")=0,1,0)))</f>
        <v/>
      </c>
      <c r="F108">
        <f>IF($A108="",0,1-E108)</f>
        <v/>
      </c>
      <c r="G108">
        <f>IF($A108="",0,IF(COUNTIF('New Starters'!$D$14:$D$73,$A108)&gt;0,1,0))</f>
        <v/>
      </c>
      <c r="H108">
        <f>IF($A108="",0,IF(COUNTIF('Leavers'!$D$12:$D$71,$A108)&gt;0,1,0))</f>
        <v/>
      </c>
      <c r="I108">
        <f>IF($A108="","",IFERROR(INDEX('New Starters'!$K$14:$K$73,MATCH($A108,'New Starters'!$D$14:$D$73,0)),IFERROR(INDEX('Leavers'!$K$12:$K$71,MATCH($A108,'Leavers'!$D$12:$D$71,0)),"")))</f>
        <v/>
      </c>
      <c r="J108">
        <f>IF(AND(G108=1,I108&lt;&gt;"",COUNTIF('Leavers'!$K$12:$K$71,I108)&gt;0),1,IF(AND(H108=1,I108&lt;&gt;"",COUNTIF('New Starters'!$K$14:$K$73,I108)&gt;0),1,0))</f>
        <v/>
      </c>
      <c r="K108">
        <f>IF(ISNUMBER(SEARCH("Head Office",D108)),'Control Sheet'!$C$6,'Control Sheet'!$C$5)</f>
        <v/>
      </c>
      <c r="L108">
        <f>IF(OR($A108="",AND(B108="",C108="")),"",IF(B108="",C108,IF(C108="",-B108,C108-B108)))</f>
        <v/>
      </c>
      <c r="M108">
        <f>IFERROR(L108/B108,"")</f>
        <v/>
      </c>
      <c r="N108">
        <f>IF($A108="",0,IF(OR(B108="",C108="",C108=0,AND(ISNUMBER(M108),ABS(M108)&gt;K108)),1,0))</f>
        <v/>
      </c>
      <c r="O108">
        <f>IF(AND(N108=1,ABS(L108)&gt;='Control Sheet'!$C$7,F108=1),1,0)</f>
        <v/>
      </c>
      <c r="P108">
        <f>IF($A108="","",IF(F108=0,"Zero Hours",IF(J108=1,"Explained: Paired transfer",IF(AND(G108=1,H108=0,J108=0),"Explained: Starter",IF(AND(H108=1,G108=0,J108=0),"Explained: Leaver",IF(O108=1,"Review required","OK"))))))</f>
        <v/>
      </c>
      <c r="Q108">
        <f>IF(AND(F108=1,OR(C108="",C108=0),H108=0,J108=0),1,0)</f>
        <v/>
      </c>
      <c r="R108">
        <f>IF(F108=0,0,IF(P108="Review required",1,IF(AND(P108="Explained: Starter",ISNUMBER(C108),C108&gt;=1500),1,0)))</f>
        <v/>
      </c>
      <c r="S108">
        <f>IF(R108=0,"",IF(Q108=1,"High",IF(AND(P108="Explained: Starter",C108&gt;=1500),"High",IF(ABS(L108)&gt;=2000,"High",IF(ABS(L108)&gt;=500,"Medium","Low")))))</f>
        <v/>
      </c>
      <c r="T108">
        <f>SUMIFS('Payment Breakdown Prior'!$S$15:$S$164,'Payment Breakdown Prior'!$AE$15:$AE$164,$A108)</f>
        <v/>
      </c>
      <c r="U108">
        <f>SUMIFS('Payment Breakdown Current'!$S$15:$S$164,'Payment Breakdown Current'!$AE$15:$AE$164,$A108)</f>
        <v/>
      </c>
      <c r="V108">
        <f>IFERROR((U108-T108)/T108,"")</f>
        <v/>
      </c>
      <c r="W108">
        <f>(SUMIFS('Payment Breakdown Current'!$S$15:$S$164,'Payment Breakdown Current'!$AE$15:$AE$164,$A108))-(SUMIFS('Payment Breakdown Prior'!$S$15:$S$164,'Payment Breakdown Prior'!$AE$15:$AE$164,$A108))</f>
        <v/>
      </c>
      <c r="X108">
        <f>(SUMIFS('Payment Breakdown Current'!$T$15:$T$164,'Payment Breakdown Current'!$AE$15:$AE$164,$A108))-(SUMIFS('Payment Breakdown Prior'!$T$15:$T$164,'Payment Breakdown Prior'!$AE$15:$AE$164,$A108))</f>
        <v/>
      </c>
      <c r="Y108">
        <f>(SUMIFS('Payment Breakdown Current'!$U$15:$U$164,'Payment Breakdown Current'!$AE$15:$AE$164,$A108))-(SUMIFS('Payment Breakdown Prior'!$U$15:$U$164,'Payment Breakdown Prior'!$AE$15:$AE$164,$A108))</f>
        <v/>
      </c>
      <c r="Z108">
        <f>(SUMIFS('Payment Breakdown Current'!$V$15:$V$164,'Payment Breakdown Current'!$AE$15:$AE$164,$A108))-(SUMIFS('Payment Breakdown Prior'!$V$15:$V$164,'Payment Breakdown Prior'!$AE$15:$AE$164,$A108))</f>
        <v/>
      </c>
      <c r="AA108">
        <f>(SUMIFS('Payment Breakdown Current'!$W$15:$W$164,'Payment Breakdown Current'!$AE$15:$AE$164,$A108))-(SUMIFS('Payment Breakdown Prior'!$W$15:$W$164,'Payment Breakdown Prior'!$AE$15:$AE$164,$A108))</f>
        <v/>
      </c>
      <c r="AB108">
        <f>(SUMIFS('Payment Breakdown Current'!$X$15:$X$164,'Payment Breakdown Current'!$AE$15:$AE$164,$A108))-(SUMIFS('Payment Breakdown Prior'!$X$15:$X$164,'Payment Breakdown Prior'!$AE$15:$AE$164,$A108))</f>
        <v/>
      </c>
      <c r="AC108">
        <f>(SUMIFS('Payment Breakdown Current'!$Y$15:$Y$164,'Payment Breakdown Current'!$AE$15:$AE$164,$A108))-(SUMIFS('Payment Breakdown Prior'!$Y$15:$Y$164,'Payment Breakdown Prior'!$AE$15:$AE$164,$A108))</f>
        <v/>
      </c>
      <c r="AD108">
        <f>(SUMIFS('Payment Breakdown Current'!$Z$15:$Z$164,'Payment Breakdown Current'!$AE$15:$AE$164,$A108))-(SUMIFS('Payment Breakdown Prior'!$Z$15:$Z$164,'Payment Breakdown Prior'!$AE$15:$AE$164,$A108))</f>
        <v/>
      </c>
      <c r="AE108">
        <f>(SUMIFS('Payment Breakdown Current'!$AA$15:$AA$164,'Payment Breakdown Current'!$AE$15:$AE$164,$A108))-(SUMIFS('Payment Breakdown Prior'!$AA$15:$AA$164,'Payment Breakdown Prior'!$AE$15:$AE$164,$A108))</f>
        <v/>
      </c>
      <c r="AF108">
        <f>(SUMIFS('Payment Breakdown Current'!$AB$15:$AB$164,'Payment Breakdown Current'!$AE$15:$AE$164,$A108))-(SUMIFS('Payment Breakdown Prior'!$AB$15:$AB$164,'Payment Breakdown Prior'!$AE$15:$AE$164,$A108))</f>
        <v/>
      </c>
      <c r="AG108">
        <f>(SUMIFS('Payment Breakdown Current'!$AC$15:$AC$164,'Payment Breakdown Current'!$AE$15:$AE$164,$A108))-(SUMIFS('Payment Breakdown Prior'!$AC$15:$AC$164,'Payment Breakdown Prior'!$AE$15:$AE$164,$A108))</f>
        <v/>
      </c>
      <c r="AH108">
        <f>(SUMIFS('Payment Breakdown Current'!$AD$15:$AD$164,'Payment Breakdown Current'!$AE$15:$AE$164,$A108))-(SUMIFS('Payment Breakdown Prior'!$AD$15:$AD$164,'Payment Breakdown Prior'!$AE$15:$AE$164,$A108))</f>
        <v/>
      </c>
      <c r="AI108">
        <f t="array" ref="AI108">MAX(ABS(W108:AH108))</f>
        <v/>
      </c>
      <c r="AJ108">
        <f t="array" ref="AJ108">IF(AI108&lt;0.005,"",IFERROR(INDEX($W$1:$AH$1,MATCH(AI108,ABS(W108:AH108),0)),""))</f>
        <v/>
      </c>
      <c r="AK108">
        <f t="array" ref="AK108">IF(AI108&lt;0.005,"",IFERROR(INDEX(W108:AH108,MATCH(AI108,ABS(W108:AH108),0)),""))</f>
        <v/>
      </c>
      <c r="AL108">
        <f>IF(R108=1,ABS(L108)-ROW()/100000000,"")</f>
        <v/>
      </c>
    </row>
    <row r="109">
      <c r="A109">
        <f>IF('NPV Comparison'!D122="","",'NPV Comparison'!D122)</f>
        <v/>
      </c>
      <c r="B109">
        <f>IF('NPV Comparison'!E122="","",'NPV Comparison'!E122)</f>
        <v/>
      </c>
      <c r="C109">
        <f>IF('NPV Comparison'!F122="","",'NPV Comparison'!F122)</f>
        <v/>
      </c>
      <c r="D109">
        <f>IF($A109="","",IFERROR(INDEX(Structure!$E$13:$E$312,MATCH($A109,Structure!$P$13:$P$312,0)),""))</f>
        <v/>
      </c>
      <c r="E109">
        <f>IF($A109="",0,IF(COUNTIF(Structure!$P$13:$P$312,$A109)=0,0,IF(COUNTIFS(Structure!$P$13:$P$312,$A109,Structure!$N$13:$N$312,"&lt;&gt;Zero Hours")=0,1,0)))</f>
        <v/>
      </c>
      <c r="F109">
        <f>IF($A109="",0,1-E109)</f>
        <v/>
      </c>
      <c r="G109">
        <f>IF($A109="",0,IF(COUNTIF('New Starters'!$D$14:$D$73,$A109)&gt;0,1,0))</f>
        <v/>
      </c>
      <c r="H109">
        <f>IF($A109="",0,IF(COUNTIF('Leavers'!$D$12:$D$71,$A109)&gt;0,1,0))</f>
        <v/>
      </c>
      <c r="I109">
        <f>IF($A109="","",IFERROR(INDEX('New Starters'!$K$14:$K$73,MATCH($A109,'New Starters'!$D$14:$D$73,0)),IFERROR(INDEX('Leavers'!$K$12:$K$71,MATCH($A109,'Leavers'!$D$12:$D$71,0)),"")))</f>
        <v/>
      </c>
      <c r="J109">
        <f>IF(AND(G109=1,I109&lt;&gt;"",COUNTIF('Leavers'!$K$12:$K$71,I109)&gt;0),1,IF(AND(H109=1,I109&lt;&gt;"",COUNTIF('New Starters'!$K$14:$K$73,I109)&gt;0),1,0))</f>
        <v/>
      </c>
      <c r="K109">
        <f>IF(ISNUMBER(SEARCH("Head Office",D109)),'Control Sheet'!$C$6,'Control Sheet'!$C$5)</f>
        <v/>
      </c>
      <c r="L109">
        <f>IF(OR($A109="",AND(B109="",C109="")),"",IF(B109="",C109,IF(C109="",-B109,C109-B109)))</f>
        <v/>
      </c>
      <c r="M109">
        <f>IFERROR(L109/B109,"")</f>
        <v/>
      </c>
      <c r="N109">
        <f>IF($A109="",0,IF(OR(B109="",C109="",C109=0,AND(ISNUMBER(M109),ABS(M109)&gt;K109)),1,0))</f>
        <v/>
      </c>
      <c r="O109">
        <f>IF(AND(N109=1,ABS(L109)&gt;='Control Sheet'!$C$7,F109=1),1,0)</f>
        <v/>
      </c>
      <c r="P109">
        <f>IF($A109="","",IF(F109=0,"Zero Hours",IF(J109=1,"Explained: Paired transfer",IF(AND(G109=1,H109=0,J109=0),"Explained: Starter",IF(AND(H109=1,G109=0,J109=0),"Explained: Leaver",IF(O109=1,"Review required","OK"))))))</f>
        <v/>
      </c>
      <c r="Q109">
        <f>IF(AND(F109=1,OR(C109="",C109=0),H109=0,J109=0),1,0)</f>
        <v/>
      </c>
      <c r="R109">
        <f>IF(F109=0,0,IF(P109="Review required",1,IF(AND(P109="Explained: Starter",ISNUMBER(C109),C109&gt;=1500),1,0)))</f>
        <v/>
      </c>
      <c r="S109">
        <f>IF(R109=0,"",IF(Q109=1,"High",IF(AND(P109="Explained: Starter",C109&gt;=1500),"High",IF(ABS(L109)&gt;=2000,"High",IF(ABS(L109)&gt;=500,"Medium","Low")))))</f>
        <v/>
      </c>
      <c r="T109">
        <f>SUMIFS('Payment Breakdown Prior'!$S$15:$S$164,'Payment Breakdown Prior'!$AE$15:$AE$164,$A109)</f>
        <v/>
      </c>
      <c r="U109">
        <f>SUMIFS('Payment Breakdown Current'!$S$15:$S$164,'Payment Breakdown Current'!$AE$15:$AE$164,$A109)</f>
        <v/>
      </c>
      <c r="V109">
        <f>IFERROR((U109-T109)/T109,"")</f>
        <v/>
      </c>
      <c r="W109">
        <f>(SUMIFS('Payment Breakdown Current'!$S$15:$S$164,'Payment Breakdown Current'!$AE$15:$AE$164,$A109))-(SUMIFS('Payment Breakdown Prior'!$S$15:$S$164,'Payment Breakdown Prior'!$AE$15:$AE$164,$A109))</f>
        <v/>
      </c>
      <c r="X109">
        <f>(SUMIFS('Payment Breakdown Current'!$T$15:$T$164,'Payment Breakdown Current'!$AE$15:$AE$164,$A109))-(SUMIFS('Payment Breakdown Prior'!$T$15:$T$164,'Payment Breakdown Prior'!$AE$15:$AE$164,$A109))</f>
        <v/>
      </c>
      <c r="Y109">
        <f>(SUMIFS('Payment Breakdown Current'!$U$15:$U$164,'Payment Breakdown Current'!$AE$15:$AE$164,$A109))-(SUMIFS('Payment Breakdown Prior'!$U$15:$U$164,'Payment Breakdown Prior'!$AE$15:$AE$164,$A109))</f>
        <v/>
      </c>
      <c r="Z109">
        <f>(SUMIFS('Payment Breakdown Current'!$V$15:$V$164,'Payment Breakdown Current'!$AE$15:$AE$164,$A109))-(SUMIFS('Payment Breakdown Prior'!$V$15:$V$164,'Payment Breakdown Prior'!$AE$15:$AE$164,$A109))</f>
        <v/>
      </c>
      <c r="AA109">
        <f>(SUMIFS('Payment Breakdown Current'!$W$15:$W$164,'Payment Breakdown Current'!$AE$15:$AE$164,$A109))-(SUMIFS('Payment Breakdown Prior'!$W$15:$W$164,'Payment Breakdown Prior'!$AE$15:$AE$164,$A109))</f>
        <v/>
      </c>
      <c r="AB109">
        <f>(SUMIFS('Payment Breakdown Current'!$X$15:$X$164,'Payment Breakdown Current'!$AE$15:$AE$164,$A109))-(SUMIFS('Payment Breakdown Prior'!$X$15:$X$164,'Payment Breakdown Prior'!$AE$15:$AE$164,$A109))</f>
        <v/>
      </c>
      <c r="AC109">
        <f>(SUMIFS('Payment Breakdown Current'!$Y$15:$Y$164,'Payment Breakdown Current'!$AE$15:$AE$164,$A109))-(SUMIFS('Payment Breakdown Prior'!$Y$15:$Y$164,'Payment Breakdown Prior'!$AE$15:$AE$164,$A109))</f>
        <v/>
      </c>
      <c r="AD109">
        <f>(SUMIFS('Payment Breakdown Current'!$Z$15:$Z$164,'Payment Breakdown Current'!$AE$15:$AE$164,$A109))-(SUMIFS('Payment Breakdown Prior'!$Z$15:$Z$164,'Payment Breakdown Prior'!$AE$15:$AE$164,$A109))</f>
        <v/>
      </c>
      <c r="AE109">
        <f>(SUMIFS('Payment Breakdown Current'!$AA$15:$AA$164,'Payment Breakdown Current'!$AE$15:$AE$164,$A109))-(SUMIFS('Payment Breakdown Prior'!$AA$15:$AA$164,'Payment Breakdown Prior'!$AE$15:$AE$164,$A109))</f>
        <v/>
      </c>
      <c r="AF109">
        <f>(SUMIFS('Payment Breakdown Current'!$AB$15:$AB$164,'Payment Breakdown Current'!$AE$15:$AE$164,$A109))-(SUMIFS('Payment Breakdown Prior'!$AB$15:$AB$164,'Payment Breakdown Prior'!$AE$15:$AE$164,$A109))</f>
        <v/>
      </c>
      <c r="AG109">
        <f>(SUMIFS('Payment Breakdown Current'!$AC$15:$AC$164,'Payment Breakdown Current'!$AE$15:$AE$164,$A109))-(SUMIFS('Payment Breakdown Prior'!$AC$15:$AC$164,'Payment Breakdown Prior'!$AE$15:$AE$164,$A109))</f>
        <v/>
      </c>
      <c r="AH109">
        <f>(SUMIFS('Payment Breakdown Current'!$AD$15:$AD$164,'Payment Breakdown Current'!$AE$15:$AE$164,$A109))-(SUMIFS('Payment Breakdown Prior'!$AD$15:$AD$164,'Payment Breakdown Prior'!$AE$15:$AE$164,$A109))</f>
        <v/>
      </c>
      <c r="AI109">
        <f t="array" ref="AI109">MAX(ABS(W109:AH109))</f>
        <v/>
      </c>
      <c r="AJ109">
        <f t="array" ref="AJ109">IF(AI109&lt;0.005,"",IFERROR(INDEX($W$1:$AH$1,MATCH(AI109,ABS(W109:AH109),0)),""))</f>
        <v/>
      </c>
      <c r="AK109">
        <f t="array" ref="AK109">IF(AI109&lt;0.005,"",IFERROR(INDEX(W109:AH109,MATCH(AI109,ABS(W109:AH109),0)),""))</f>
        <v/>
      </c>
      <c r="AL109">
        <f>IF(R109=1,ABS(L109)-ROW()/100000000,"")</f>
        <v/>
      </c>
    </row>
    <row r="110">
      <c r="A110">
        <f>IF('NPV Comparison'!D123="","",'NPV Comparison'!D123)</f>
        <v/>
      </c>
      <c r="B110">
        <f>IF('NPV Comparison'!E123="","",'NPV Comparison'!E123)</f>
        <v/>
      </c>
      <c r="C110">
        <f>IF('NPV Comparison'!F123="","",'NPV Comparison'!F123)</f>
        <v/>
      </c>
      <c r="D110">
        <f>IF($A110="","",IFERROR(INDEX(Structure!$E$13:$E$312,MATCH($A110,Structure!$P$13:$P$312,0)),""))</f>
        <v/>
      </c>
      <c r="E110">
        <f>IF($A110="",0,IF(COUNTIF(Structure!$P$13:$P$312,$A110)=0,0,IF(COUNTIFS(Structure!$P$13:$P$312,$A110,Structure!$N$13:$N$312,"&lt;&gt;Zero Hours")=0,1,0)))</f>
        <v/>
      </c>
      <c r="F110">
        <f>IF($A110="",0,1-E110)</f>
        <v/>
      </c>
      <c r="G110">
        <f>IF($A110="",0,IF(COUNTIF('New Starters'!$D$14:$D$73,$A110)&gt;0,1,0))</f>
        <v/>
      </c>
      <c r="H110">
        <f>IF($A110="",0,IF(COUNTIF('Leavers'!$D$12:$D$71,$A110)&gt;0,1,0))</f>
        <v/>
      </c>
      <c r="I110">
        <f>IF($A110="","",IFERROR(INDEX('New Starters'!$K$14:$K$73,MATCH($A110,'New Starters'!$D$14:$D$73,0)),IFERROR(INDEX('Leavers'!$K$12:$K$71,MATCH($A110,'Leavers'!$D$12:$D$71,0)),"")))</f>
        <v/>
      </c>
      <c r="J110">
        <f>IF(AND(G110=1,I110&lt;&gt;"",COUNTIF('Leavers'!$K$12:$K$71,I110)&gt;0),1,IF(AND(H110=1,I110&lt;&gt;"",COUNTIF('New Starters'!$K$14:$K$73,I110)&gt;0),1,0))</f>
        <v/>
      </c>
      <c r="K110">
        <f>IF(ISNUMBER(SEARCH("Head Office",D110)),'Control Sheet'!$C$6,'Control Sheet'!$C$5)</f>
        <v/>
      </c>
      <c r="L110">
        <f>IF(OR($A110="",AND(B110="",C110="")),"",IF(B110="",C110,IF(C110="",-B110,C110-B110)))</f>
        <v/>
      </c>
      <c r="M110">
        <f>IFERROR(L110/B110,"")</f>
        <v/>
      </c>
      <c r="N110">
        <f>IF($A110="",0,IF(OR(B110="",C110="",C110=0,AND(ISNUMBER(M110),ABS(M110)&gt;K110)),1,0))</f>
        <v/>
      </c>
      <c r="O110">
        <f>IF(AND(N110=1,ABS(L110)&gt;='Control Sheet'!$C$7,F110=1),1,0)</f>
        <v/>
      </c>
      <c r="P110">
        <f>IF($A110="","",IF(F110=0,"Zero Hours",IF(J110=1,"Explained: Paired transfer",IF(AND(G110=1,H110=0,J110=0),"Explained: Starter",IF(AND(H110=1,G110=0,J110=0),"Explained: Leaver",IF(O110=1,"Review required","OK"))))))</f>
        <v/>
      </c>
      <c r="Q110">
        <f>IF(AND(F110=1,OR(C110="",C110=0),H110=0,J110=0),1,0)</f>
        <v/>
      </c>
      <c r="R110">
        <f>IF(F110=0,0,IF(P110="Review required",1,IF(AND(P110="Explained: Starter",ISNUMBER(C110),C110&gt;=1500),1,0)))</f>
        <v/>
      </c>
      <c r="S110">
        <f>IF(R110=0,"",IF(Q110=1,"High",IF(AND(P110="Explained: Starter",C110&gt;=1500),"High",IF(ABS(L110)&gt;=2000,"High",IF(ABS(L110)&gt;=500,"Medium","Low")))))</f>
        <v/>
      </c>
      <c r="T110">
        <f>SUMIFS('Payment Breakdown Prior'!$S$15:$S$164,'Payment Breakdown Prior'!$AE$15:$AE$164,$A110)</f>
        <v/>
      </c>
      <c r="U110">
        <f>SUMIFS('Payment Breakdown Current'!$S$15:$S$164,'Payment Breakdown Current'!$AE$15:$AE$164,$A110)</f>
        <v/>
      </c>
      <c r="V110">
        <f>IFERROR((U110-T110)/T110,"")</f>
        <v/>
      </c>
      <c r="W110">
        <f>(SUMIFS('Payment Breakdown Current'!$S$15:$S$164,'Payment Breakdown Current'!$AE$15:$AE$164,$A110))-(SUMIFS('Payment Breakdown Prior'!$S$15:$S$164,'Payment Breakdown Prior'!$AE$15:$AE$164,$A110))</f>
        <v/>
      </c>
      <c r="X110">
        <f>(SUMIFS('Payment Breakdown Current'!$T$15:$T$164,'Payment Breakdown Current'!$AE$15:$AE$164,$A110))-(SUMIFS('Payment Breakdown Prior'!$T$15:$T$164,'Payment Breakdown Prior'!$AE$15:$AE$164,$A110))</f>
        <v/>
      </c>
      <c r="Y110">
        <f>(SUMIFS('Payment Breakdown Current'!$U$15:$U$164,'Payment Breakdown Current'!$AE$15:$AE$164,$A110))-(SUMIFS('Payment Breakdown Prior'!$U$15:$U$164,'Payment Breakdown Prior'!$AE$15:$AE$164,$A110))</f>
        <v/>
      </c>
      <c r="Z110">
        <f>(SUMIFS('Payment Breakdown Current'!$V$15:$V$164,'Payment Breakdown Current'!$AE$15:$AE$164,$A110))-(SUMIFS('Payment Breakdown Prior'!$V$15:$V$164,'Payment Breakdown Prior'!$AE$15:$AE$164,$A110))</f>
        <v/>
      </c>
      <c r="AA110">
        <f>(SUMIFS('Payment Breakdown Current'!$W$15:$W$164,'Payment Breakdown Current'!$AE$15:$AE$164,$A110))-(SUMIFS('Payment Breakdown Prior'!$W$15:$W$164,'Payment Breakdown Prior'!$AE$15:$AE$164,$A110))</f>
        <v/>
      </c>
      <c r="AB110">
        <f>(SUMIFS('Payment Breakdown Current'!$X$15:$X$164,'Payment Breakdown Current'!$AE$15:$AE$164,$A110))-(SUMIFS('Payment Breakdown Prior'!$X$15:$X$164,'Payment Breakdown Prior'!$AE$15:$AE$164,$A110))</f>
        <v/>
      </c>
      <c r="AC110">
        <f>(SUMIFS('Payment Breakdown Current'!$Y$15:$Y$164,'Payment Breakdown Current'!$AE$15:$AE$164,$A110))-(SUMIFS('Payment Breakdown Prior'!$Y$15:$Y$164,'Payment Breakdown Prior'!$AE$15:$AE$164,$A110))</f>
        <v/>
      </c>
      <c r="AD110">
        <f>(SUMIFS('Payment Breakdown Current'!$Z$15:$Z$164,'Payment Breakdown Current'!$AE$15:$AE$164,$A110))-(SUMIFS('Payment Breakdown Prior'!$Z$15:$Z$164,'Payment Breakdown Prior'!$AE$15:$AE$164,$A110))</f>
        <v/>
      </c>
      <c r="AE110">
        <f>(SUMIFS('Payment Breakdown Current'!$AA$15:$AA$164,'Payment Breakdown Current'!$AE$15:$AE$164,$A110))-(SUMIFS('Payment Breakdown Prior'!$AA$15:$AA$164,'Payment Breakdown Prior'!$AE$15:$AE$164,$A110))</f>
        <v/>
      </c>
      <c r="AF110">
        <f>(SUMIFS('Payment Breakdown Current'!$AB$15:$AB$164,'Payment Breakdown Current'!$AE$15:$AE$164,$A110))-(SUMIFS('Payment Breakdown Prior'!$AB$15:$AB$164,'Payment Breakdown Prior'!$AE$15:$AE$164,$A110))</f>
        <v/>
      </c>
      <c r="AG110">
        <f>(SUMIFS('Payment Breakdown Current'!$AC$15:$AC$164,'Payment Breakdown Current'!$AE$15:$AE$164,$A110))-(SUMIFS('Payment Breakdown Prior'!$AC$15:$AC$164,'Payment Breakdown Prior'!$AE$15:$AE$164,$A110))</f>
        <v/>
      </c>
      <c r="AH110">
        <f>(SUMIFS('Payment Breakdown Current'!$AD$15:$AD$164,'Payment Breakdown Current'!$AE$15:$AE$164,$A110))-(SUMIFS('Payment Breakdown Prior'!$AD$15:$AD$164,'Payment Breakdown Prior'!$AE$15:$AE$164,$A110))</f>
        <v/>
      </c>
      <c r="AI110">
        <f t="array" ref="AI110">MAX(ABS(W110:AH110))</f>
        <v/>
      </c>
      <c r="AJ110">
        <f t="array" ref="AJ110">IF(AI110&lt;0.005,"",IFERROR(INDEX($W$1:$AH$1,MATCH(AI110,ABS(W110:AH110),0)),""))</f>
        <v/>
      </c>
      <c r="AK110">
        <f t="array" ref="AK110">IF(AI110&lt;0.005,"",IFERROR(INDEX(W110:AH110,MATCH(AI110,ABS(W110:AH110),0)),""))</f>
        <v/>
      </c>
      <c r="AL110">
        <f>IF(R110=1,ABS(L110)-ROW()/100000000,"")</f>
        <v/>
      </c>
    </row>
    <row r="111">
      <c r="A111">
        <f>IF('NPV Comparison'!D124="","",'NPV Comparison'!D124)</f>
        <v/>
      </c>
      <c r="B111">
        <f>IF('NPV Comparison'!E124="","",'NPV Comparison'!E124)</f>
        <v/>
      </c>
      <c r="C111">
        <f>IF('NPV Comparison'!F124="","",'NPV Comparison'!F124)</f>
        <v/>
      </c>
      <c r="D111">
        <f>IF($A111="","",IFERROR(INDEX(Structure!$E$13:$E$312,MATCH($A111,Structure!$P$13:$P$312,0)),""))</f>
        <v/>
      </c>
      <c r="E111">
        <f>IF($A111="",0,IF(COUNTIF(Structure!$P$13:$P$312,$A111)=0,0,IF(COUNTIFS(Structure!$P$13:$P$312,$A111,Structure!$N$13:$N$312,"&lt;&gt;Zero Hours")=0,1,0)))</f>
        <v/>
      </c>
      <c r="F111">
        <f>IF($A111="",0,1-E111)</f>
        <v/>
      </c>
      <c r="G111">
        <f>IF($A111="",0,IF(COUNTIF('New Starters'!$D$14:$D$73,$A111)&gt;0,1,0))</f>
        <v/>
      </c>
      <c r="H111">
        <f>IF($A111="",0,IF(COUNTIF('Leavers'!$D$12:$D$71,$A111)&gt;0,1,0))</f>
        <v/>
      </c>
      <c r="I111">
        <f>IF($A111="","",IFERROR(INDEX('New Starters'!$K$14:$K$73,MATCH($A111,'New Starters'!$D$14:$D$73,0)),IFERROR(INDEX('Leavers'!$K$12:$K$71,MATCH($A111,'Leavers'!$D$12:$D$71,0)),"")))</f>
        <v/>
      </c>
      <c r="J111">
        <f>IF(AND(G111=1,I111&lt;&gt;"",COUNTIF('Leavers'!$K$12:$K$71,I111)&gt;0),1,IF(AND(H111=1,I111&lt;&gt;"",COUNTIF('New Starters'!$K$14:$K$73,I111)&gt;0),1,0))</f>
        <v/>
      </c>
      <c r="K111">
        <f>IF(ISNUMBER(SEARCH("Head Office",D111)),'Control Sheet'!$C$6,'Control Sheet'!$C$5)</f>
        <v/>
      </c>
      <c r="L111">
        <f>IF(OR($A111="",AND(B111="",C111="")),"",IF(B111="",C111,IF(C111="",-B111,C111-B111)))</f>
        <v/>
      </c>
      <c r="M111">
        <f>IFERROR(L111/B111,"")</f>
        <v/>
      </c>
      <c r="N111">
        <f>IF($A111="",0,IF(OR(B111="",C111="",C111=0,AND(ISNUMBER(M111),ABS(M111)&gt;K111)),1,0))</f>
        <v/>
      </c>
      <c r="O111">
        <f>IF(AND(N111=1,ABS(L111)&gt;='Control Sheet'!$C$7,F111=1),1,0)</f>
        <v/>
      </c>
      <c r="P111">
        <f>IF($A111="","",IF(F111=0,"Zero Hours",IF(J111=1,"Explained: Paired transfer",IF(AND(G111=1,H111=0,J111=0),"Explained: Starter",IF(AND(H111=1,G111=0,J111=0),"Explained: Leaver",IF(O111=1,"Review required","OK"))))))</f>
        <v/>
      </c>
      <c r="Q111">
        <f>IF(AND(F111=1,OR(C111="",C111=0),H111=0,J111=0),1,0)</f>
        <v/>
      </c>
      <c r="R111">
        <f>IF(F111=0,0,IF(P111="Review required",1,IF(AND(P111="Explained: Starter",ISNUMBER(C111),C111&gt;=1500),1,0)))</f>
        <v/>
      </c>
      <c r="S111">
        <f>IF(R111=0,"",IF(Q111=1,"High",IF(AND(P111="Explained: Starter",C111&gt;=1500),"High",IF(ABS(L111)&gt;=2000,"High",IF(ABS(L111)&gt;=500,"Medium","Low")))))</f>
        <v/>
      </c>
      <c r="T111">
        <f>SUMIFS('Payment Breakdown Prior'!$S$15:$S$164,'Payment Breakdown Prior'!$AE$15:$AE$164,$A111)</f>
        <v/>
      </c>
      <c r="U111">
        <f>SUMIFS('Payment Breakdown Current'!$S$15:$S$164,'Payment Breakdown Current'!$AE$15:$AE$164,$A111)</f>
        <v/>
      </c>
      <c r="V111">
        <f>IFERROR((U111-T111)/T111,"")</f>
        <v/>
      </c>
      <c r="W111">
        <f>(SUMIFS('Payment Breakdown Current'!$S$15:$S$164,'Payment Breakdown Current'!$AE$15:$AE$164,$A111))-(SUMIFS('Payment Breakdown Prior'!$S$15:$S$164,'Payment Breakdown Prior'!$AE$15:$AE$164,$A111))</f>
        <v/>
      </c>
      <c r="X111">
        <f>(SUMIFS('Payment Breakdown Current'!$T$15:$T$164,'Payment Breakdown Current'!$AE$15:$AE$164,$A111))-(SUMIFS('Payment Breakdown Prior'!$T$15:$T$164,'Payment Breakdown Prior'!$AE$15:$AE$164,$A111))</f>
        <v/>
      </c>
      <c r="Y111">
        <f>(SUMIFS('Payment Breakdown Current'!$U$15:$U$164,'Payment Breakdown Current'!$AE$15:$AE$164,$A111))-(SUMIFS('Payment Breakdown Prior'!$U$15:$U$164,'Payment Breakdown Prior'!$AE$15:$AE$164,$A111))</f>
        <v/>
      </c>
      <c r="Z111">
        <f>(SUMIFS('Payment Breakdown Current'!$V$15:$V$164,'Payment Breakdown Current'!$AE$15:$AE$164,$A111))-(SUMIFS('Payment Breakdown Prior'!$V$15:$V$164,'Payment Breakdown Prior'!$AE$15:$AE$164,$A111))</f>
        <v/>
      </c>
      <c r="AA111">
        <f>(SUMIFS('Payment Breakdown Current'!$W$15:$W$164,'Payment Breakdown Current'!$AE$15:$AE$164,$A111))-(SUMIFS('Payment Breakdown Prior'!$W$15:$W$164,'Payment Breakdown Prior'!$AE$15:$AE$164,$A111))</f>
        <v/>
      </c>
      <c r="AB111">
        <f>(SUMIFS('Payment Breakdown Current'!$X$15:$X$164,'Payment Breakdown Current'!$AE$15:$AE$164,$A111))-(SUMIFS('Payment Breakdown Prior'!$X$15:$X$164,'Payment Breakdown Prior'!$AE$15:$AE$164,$A111))</f>
        <v/>
      </c>
      <c r="AC111">
        <f>(SUMIFS('Payment Breakdown Current'!$Y$15:$Y$164,'Payment Breakdown Current'!$AE$15:$AE$164,$A111))-(SUMIFS('Payment Breakdown Prior'!$Y$15:$Y$164,'Payment Breakdown Prior'!$AE$15:$AE$164,$A111))</f>
        <v/>
      </c>
      <c r="AD111">
        <f>(SUMIFS('Payment Breakdown Current'!$Z$15:$Z$164,'Payment Breakdown Current'!$AE$15:$AE$164,$A111))-(SUMIFS('Payment Breakdown Prior'!$Z$15:$Z$164,'Payment Breakdown Prior'!$AE$15:$AE$164,$A111))</f>
        <v/>
      </c>
      <c r="AE111">
        <f>(SUMIFS('Payment Breakdown Current'!$AA$15:$AA$164,'Payment Breakdown Current'!$AE$15:$AE$164,$A111))-(SUMIFS('Payment Breakdown Prior'!$AA$15:$AA$164,'Payment Breakdown Prior'!$AE$15:$AE$164,$A111))</f>
        <v/>
      </c>
      <c r="AF111">
        <f>(SUMIFS('Payment Breakdown Current'!$AB$15:$AB$164,'Payment Breakdown Current'!$AE$15:$AE$164,$A111))-(SUMIFS('Payment Breakdown Prior'!$AB$15:$AB$164,'Payment Breakdown Prior'!$AE$15:$AE$164,$A111))</f>
        <v/>
      </c>
      <c r="AG111">
        <f>(SUMIFS('Payment Breakdown Current'!$AC$15:$AC$164,'Payment Breakdown Current'!$AE$15:$AE$164,$A111))-(SUMIFS('Payment Breakdown Prior'!$AC$15:$AC$164,'Payment Breakdown Prior'!$AE$15:$AE$164,$A111))</f>
        <v/>
      </c>
      <c r="AH111">
        <f>(SUMIFS('Payment Breakdown Current'!$AD$15:$AD$164,'Payment Breakdown Current'!$AE$15:$AE$164,$A111))-(SUMIFS('Payment Breakdown Prior'!$AD$15:$AD$164,'Payment Breakdown Prior'!$AE$15:$AE$164,$A111))</f>
        <v/>
      </c>
      <c r="AI111">
        <f t="array" ref="AI111">MAX(ABS(W111:AH111))</f>
        <v/>
      </c>
      <c r="AJ111">
        <f t="array" ref="AJ111">IF(AI111&lt;0.005,"",IFERROR(INDEX($W$1:$AH$1,MATCH(AI111,ABS(W111:AH111),0)),""))</f>
        <v/>
      </c>
      <c r="AK111">
        <f t="array" ref="AK111">IF(AI111&lt;0.005,"",IFERROR(INDEX(W111:AH111,MATCH(AI111,ABS(W111:AH111),0)),""))</f>
        <v/>
      </c>
      <c r="AL111">
        <f>IF(R111=1,ABS(L111)-ROW()/100000000,"")</f>
        <v/>
      </c>
    </row>
    <row r="112">
      <c r="A112">
        <f>IF('NPV Comparison'!D125="","",'NPV Comparison'!D125)</f>
        <v/>
      </c>
      <c r="B112">
        <f>IF('NPV Comparison'!E125="","",'NPV Comparison'!E125)</f>
        <v/>
      </c>
      <c r="C112">
        <f>IF('NPV Comparison'!F125="","",'NPV Comparison'!F125)</f>
        <v/>
      </c>
      <c r="D112">
        <f>IF($A112="","",IFERROR(INDEX(Structure!$E$13:$E$312,MATCH($A112,Structure!$P$13:$P$312,0)),""))</f>
        <v/>
      </c>
      <c r="E112">
        <f>IF($A112="",0,IF(COUNTIF(Structure!$P$13:$P$312,$A112)=0,0,IF(COUNTIFS(Structure!$P$13:$P$312,$A112,Structure!$N$13:$N$312,"&lt;&gt;Zero Hours")=0,1,0)))</f>
        <v/>
      </c>
      <c r="F112">
        <f>IF($A112="",0,1-E112)</f>
        <v/>
      </c>
      <c r="G112">
        <f>IF($A112="",0,IF(COUNTIF('New Starters'!$D$14:$D$73,$A112)&gt;0,1,0))</f>
        <v/>
      </c>
      <c r="H112">
        <f>IF($A112="",0,IF(COUNTIF('Leavers'!$D$12:$D$71,$A112)&gt;0,1,0))</f>
        <v/>
      </c>
      <c r="I112">
        <f>IF($A112="","",IFERROR(INDEX('New Starters'!$K$14:$K$73,MATCH($A112,'New Starters'!$D$14:$D$73,0)),IFERROR(INDEX('Leavers'!$K$12:$K$71,MATCH($A112,'Leavers'!$D$12:$D$71,0)),"")))</f>
        <v/>
      </c>
      <c r="J112">
        <f>IF(AND(G112=1,I112&lt;&gt;"",COUNTIF('Leavers'!$K$12:$K$71,I112)&gt;0),1,IF(AND(H112=1,I112&lt;&gt;"",COUNTIF('New Starters'!$K$14:$K$73,I112)&gt;0),1,0))</f>
        <v/>
      </c>
      <c r="K112">
        <f>IF(ISNUMBER(SEARCH("Head Office",D112)),'Control Sheet'!$C$6,'Control Sheet'!$C$5)</f>
        <v/>
      </c>
      <c r="L112">
        <f>IF(OR($A112="",AND(B112="",C112="")),"",IF(B112="",C112,IF(C112="",-B112,C112-B112)))</f>
        <v/>
      </c>
      <c r="M112">
        <f>IFERROR(L112/B112,"")</f>
        <v/>
      </c>
      <c r="N112">
        <f>IF($A112="",0,IF(OR(B112="",C112="",C112=0,AND(ISNUMBER(M112),ABS(M112)&gt;K112)),1,0))</f>
        <v/>
      </c>
      <c r="O112">
        <f>IF(AND(N112=1,ABS(L112)&gt;='Control Sheet'!$C$7,F112=1),1,0)</f>
        <v/>
      </c>
      <c r="P112">
        <f>IF($A112="","",IF(F112=0,"Zero Hours",IF(J112=1,"Explained: Paired transfer",IF(AND(G112=1,H112=0,J112=0),"Explained: Starter",IF(AND(H112=1,G112=0,J112=0),"Explained: Leaver",IF(O112=1,"Review required","OK"))))))</f>
        <v/>
      </c>
      <c r="Q112">
        <f>IF(AND(F112=1,OR(C112="",C112=0),H112=0,J112=0),1,0)</f>
        <v/>
      </c>
      <c r="R112">
        <f>IF(F112=0,0,IF(P112="Review required",1,IF(AND(P112="Explained: Starter",ISNUMBER(C112),C112&gt;=1500),1,0)))</f>
        <v/>
      </c>
      <c r="S112">
        <f>IF(R112=0,"",IF(Q112=1,"High",IF(AND(P112="Explained: Starter",C112&gt;=1500),"High",IF(ABS(L112)&gt;=2000,"High",IF(ABS(L112)&gt;=500,"Medium","Low")))))</f>
        <v/>
      </c>
      <c r="T112">
        <f>SUMIFS('Payment Breakdown Prior'!$S$15:$S$164,'Payment Breakdown Prior'!$AE$15:$AE$164,$A112)</f>
        <v/>
      </c>
      <c r="U112">
        <f>SUMIFS('Payment Breakdown Current'!$S$15:$S$164,'Payment Breakdown Current'!$AE$15:$AE$164,$A112)</f>
        <v/>
      </c>
      <c r="V112">
        <f>IFERROR((U112-T112)/T112,"")</f>
        <v/>
      </c>
      <c r="W112">
        <f>(SUMIFS('Payment Breakdown Current'!$S$15:$S$164,'Payment Breakdown Current'!$AE$15:$AE$164,$A112))-(SUMIFS('Payment Breakdown Prior'!$S$15:$S$164,'Payment Breakdown Prior'!$AE$15:$AE$164,$A112))</f>
        <v/>
      </c>
      <c r="X112">
        <f>(SUMIFS('Payment Breakdown Current'!$T$15:$T$164,'Payment Breakdown Current'!$AE$15:$AE$164,$A112))-(SUMIFS('Payment Breakdown Prior'!$T$15:$T$164,'Payment Breakdown Prior'!$AE$15:$AE$164,$A112))</f>
        <v/>
      </c>
      <c r="Y112">
        <f>(SUMIFS('Payment Breakdown Current'!$U$15:$U$164,'Payment Breakdown Current'!$AE$15:$AE$164,$A112))-(SUMIFS('Payment Breakdown Prior'!$U$15:$U$164,'Payment Breakdown Prior'!$AE$15:$AE$164,$A112))</f>
        <v/>
      </c>
      <c r="Z112">
        <f>(SUMIFS('Payment Breakdown Current'!$V$15:$V$164,'Payment Breakdown Current'!$AE$15:$AE$164,$A112))-(SUMIFS('Payment Breakdown Prior'!$V$15:$V$164,'Payment Breakdown Prior'!$AE$15:$AE$164,$A112))</f>
        <v/>
      </c>
      <c r="AA112">
        <f>(SUMIFS('Payment Breakdown Current'!$W$15:$W$164,'Payment Breakdown Current'!$AE$15:$AE$164,$A112))-(SUMIFS('Payment Breakdown Prior'!$W$15:$W$164,'Payment Breakdown Prior'!$AE$15:$AE$164,$A112))</f>
        <v/>
      </c>
      <c r="AB112">
        <f>(SUMIFS('Payment Breakdown Current'!$X$15:$X$164,'Payment Breakdown Current'!$AE$15:$AE$164,$A112))-(SUMIFS('Payment Breakdown Prior'!$X$15:$X$164,'Payment Breakdown Prior'!$AE$15:$AE$164,$A112))</f>
        <v/>
      </c>
      <c r="AC112">
        <f>(SUMIFS('Payment Breakdown Current'!$Y$15:$Y$164,'Payment Breakdown Current'!$AE$15:$AE$164,$A112))-(SUMIFS('Payment Breakdown Prior'!$Y$15:$Y$164,'Payment Breakdown Prior'!$AE$15:$AE$164,$A112))</f>
        <v/>
      </c>
      <c r="AD112">
        <f>(SUMIFS('Payment Breakdown Current'!$Z$15:$Z$164,'Payment Breakdown Current'!$AE$15:$AE$164,$A112))-(SUMIFS('Payment Breakdown Prior'!$Z$15:$Z$164,'Payment Breakdown Prior'!$AE$15:$AE$164,$A112))</f>
        <v/>
      </c>
      <c r="AE112">
        <f>(SUMIFS('Payment Breakdown Current'!$AA$15:$AA$164,'Payment Breakdown Current'!$AE$15:$AE$164,$A112))-(SUMIFS('Payment Breakdown Prior'!$AA$15:$AA$164,'Payment Breakdown Prior'!$AE$15:$AE$164,$A112))</f>
        <v/>
      </c>
      <c r="AF112">
        <f>(SUMIFS('Payment Breakdown Current'!$AB$15:$AB$164,'Payment Breakdown Current'!$AE$15:$AE$164,$A112))-(SUMIFS('Payment Breakdown Prior'!$AB$15:$AB$164,'Payment Breakdown Prior'!$AE$15:$AE$164,$A112))</f>
        <v/>
      </c>
      <c r="AG112">
        <f>(SUMIFS('Payment Breakdown Current'!$AC$15:$AC$164,'Payment Breakdown Current'!$AE$15:$AE$164,$A112))-(SUMIFS('Payment Breakdown Prior'!$AC$15:$AC$164,'Payment Breakdown Prior'!$AE$15:$AE$164,$A112))</f>
        <v/>
      </c>
      <c r="AH112">
        <f>(SUMIFS('Payment Breakdown Current'!$AD$15:$AD$164,'Payment Breakdown Current'!$AE$15:$AE$164,$A112))-(SUMIFS('Payment Breakdown Prior'!$AD$15:$AD$164,'Payment Breakdown Prior'!$AE$15:$AE$164,$A112))</f>
        <v/>
      </c>
      <c r="AI112">
        <f t="array" ref="AI112">MAX(ABS(W112:AH112))</f>
        <v/>
      </c>
      <c r="AJ112">
        <f t="array" ref="AJ112">IF(AI112&lt;0.005,"",IFERROR(INDEX($W$1:$AH$1,MATCH(AI112,ABS(W112:AH112),0)),""))</f>
        <v/>
      </c>
      <c r="AK112">
        <f t="array" ref="AK112">IF(AI112&lt;0.005,"",IFERROR(INDEX(W112:AH112,MATCH(AI112,ABS(W112:AH112),0)),""))</f>
        <v/>
      </c>
      <c r="AL112">
        <f>IF(R112=1,ABS(L112)-ROW()/100000000,"")</f>
        <v/>
      </c>
    </row>
    <row r="113">
      <c r="A113">
        <f>IF('NPV Comparison'!D126="","",'NPV Comparison'!D126)</f>
        <v/>
      </c>
      <c r="B113">
        <f>IF('NPV Comparison'!E126="","",'NPV Comparison'!E126)</f>
        <v/>
      </c>
      <c r="C113">
        <f>IF('NPV Comparison'!F126="","",'NPV Comparison'!F126)</f>
        <v/>
      </c>
      <c r="D113">
        <f>IF($A113="","",IFERROR(INDEX(Structure!$E$13:$E$312,MATCH($A113,Structure!$P$13:$P$312,0)),""))</f>
        <v/>
      </c>
      <c r="E113">
        <f>IF($A113="",0,IF(COUNTIF(Structure!$P$13:$P$312,$A113)=0,0,IF(COUNTIFS(Structure!$P$13:$P$312,$A113,Structure!$N$13:$N$312,"&lt;&gt;Zero Hours")=0,1,0)))</f>
        <v/>
      </c>
      <c r="F113">
        <f>IF($A113="",0,1-E113)</f>
        <v/>
      </c>
      <c r="G113">
        <f>IF($A113="",0,IF(COUNTIF('New Starters'!$D$14:$D$73,$A113)&gt;0,1,0))</f>
        <v/>
      </c>
      <c r="H113">
        <f>IF($A113="",0,IF(COUNTIF('Leavers'!$D$12:$D$71,$A113)&gt;0,1,0))</f>
        <v/>
      </c>
      <c r="I113">
        <f>IF($A113="","",IFERROR(INDEX('New Starters'!$K$14:$K$73,MATCH($A113,'New Starters'!$D$14:$D$73,0)),IFERROR(INDEX('Leavers'!$K$12:$K$71,MATCH($A113,'Leavers'!$D$12:$D$71,0)),"")))</f>
        <v/>
      </c>
      <c r="J113">
        <f>IF(AND(G113=1,I113&lt;&gt;"",COUNTIF('Leavers'!$K$12:$K$71,I113)&gt;0),1,IF(AND(H113=1,I113&lt;&gt;"",COUNTIF('New Starters'!$K$14:$K$73,I113)&gt;0),1,0))</f>
        <v/>
      </c>
      <c r="K113">
        <f>IF(ISNUMBER(SEARCH("Head Office",D113)),'Control Sheet'!$C$6,'Control Sheet'!$C$5)</f>
        <v/>
      </c>
      <c r="L113">
        <f>IF(OR($A113="",AND(B113="",C113="")),"",IF(B113="",C113,IF(C113="",-B113,C113-B113)))</f>
        <v/>
      </c>
      <c r="M113">
        <f>IFERROR(L113/B113,"")</f>
        <v/>
      </c>
      <c r="N113">
        <f>IF($A113="",0,IF(OR(B113="",C113="",C113=0,AND(ISNUMBER(M113),ABS(M113)&gt;K113)),1,0))</f>
        <v/>
      </c>
      <c r="O113">
        <f>IF(AND(N113=1,ABS(L113)&gt;='Control Sheet'!$C$7,F113=1),1,0)</f>
        <v/>
      </c>
      <c r="P113">
        <f>IF($A113="","",IF(F113=0,"Zero Hours",IF(J113=1,"Explained: Paired transfer",IF(AND(G113=1,H113=0,J113=0),"Explained: Starter",IF(AND(H113=1,G113=0,J113=0),"Explained: Leaver",IF(O113=1,"Review required","OK"))))))</f>
        <v/>
      </c>
      <c r="Q113">
        <f>IF(AND(F113=1,OR(C113="",C113=0),H113=0,J113=0),1,0)</f>
        <v/>
      </c>
      <c r="R113">
        <f>IF(F113=0,0,IF(P113="Review required",1,IF(AND(P113="Explained: Starter",ISNUMBER(C113),C113&gt;=1500),1,0)))</f>
        <v/>
      </c>
      <c r="S113">
        <f>IF(R113=0,"",IF(Q113=1,"High",IF(AND(P113="Explained: Starter",C113&gt;=1500),"High",IF(ABS(L113)&gt;=2000,"High",IF(ABS(L113)&gt;=500,"Medium","Low")))))</f>
        <v/>
      </c>
      <c r="T113">
        <f>SUMIFS('Payment Breakdown Prior'!$S$15:$S$164,'Payment Breakdown Prior'!$AE$15:$AE$164,$A113)</f>
        <v/>
      </c>
      <c r="U113">
        <f>SUMIFS('Payment Breakdown Current'!$S$15:$S$164,'Payment Breakdown Current'!$AE$15:$AE$164,$A113)</f>
        <v/>
      </c>
      <c r="V113">
        <f>IFERROR((U113-T113)/T113,"")</f>
        <v/>
      </c>
      <c r="W113">
        <f>(SUMIFS('Payment Breakdown Current'!$S$15:$S$164,'Payment Breakdown Current'!$AE$15:$AE$164,$A113))-(SUMIFS('Payment Breakdown Prior'!$S$15:$S$164,'Payment Breakdown Prior'!$AE$15:$AE$164,$A113))</f>
        <v/>
      </c>
      <c r="X113">
        <f>(SUMIFS('Payment Breakdown Current'!$T$15:$T$164,'Payment Breakdown Current'!$AE$15:$AE$164,$A113))-(SUMIFS('Payment Breakdown Prior'!$T$15:$T$164,'Payment Breakdown Prior'!$AE$15:$AE$164,$A113))</f>
        <v/>
      </c>
      <c r="Y113">
        <f>(SUMIFS('Payment Breakdown Current'!$U$15:$U$164,'Payment Breakdown Current'!$AE$15:$AE$164,$A113))-(SUMIFS('Payment Breakdown Prior'!$U$15:$U$164,'Payment Breakdown Prior'!$AE$15:$AE$164,$A113))</f>
        <v/>
      </c>
      <c r="Z113">
        <f>(SUMIFS('Payment Breakdown Current'!$V$15:$V$164,'Payment Breakdown Current'!$AE$15:$AE$164,$A113))-(SUMIFS('Payment Breakdown Prior'!$V$15:$V$164,'Payment Breakdown Prior'!$AE$15:$AE$164,$A113))</f>
        <v/>
      </c>
      <c r="AA113">
        <f>(SUMIFS('Payment Breakdown Current'!$W$15:$W$164,'Payment Breakdown Current'!$AE$15:$AE$164,$A113))-(SUMIFS('Payment Breakdown Prior'!$W$15:$W$164,'Payment Breakdown Prior'!$AE$15:$AE$164,$A113))</f>
        <v/>
      </c>
      <c r="AB113">
        <f>(SUMIFS('Payment Breakdown Current'!$X$15:$X$164,'Payment Breakdown Current'!$AE$15:$AE$164,$A113))-(SUMIFS('Payment Breakdown Prior'!$X$15:$X$164,'Payment Breakdown Prior'!$AE$15:$AE$164,$A113))</f>
        <v/>
      </c>
      <c r="AC113">
        <f>(SUMIFS('Payment Breakdown Current'!$Y$15:$Y$164,'Payment Breakdown Current'!$AE$15:$AE$164,$A113))-(SUMIFS('Payment Breakdown Prior'!$Y$15:$Y$164,'Payment Breakdown Prior'!$AE$15:$AE$164,$A113))</f>
        <v/>
      </c>
      <c r="AD113">
        <f>(SUMIFS('Payment Breakdown Current'!$Z$15:$Z$164,'Payment Breakdown Current'!$AE$15:$AE$164,$A113))-(SUMIFS('Payment Breakdown Prior'!$Z$15:$Z$164,'Payment Breakdown Prior'!$AE$15:$AE$164,$A113))</f>
        <v/>
      </c>
      <c r="AE113">
        <f>(SUMIFS('Payment Breakdown Current'!$AA$15:$AA$164,'Payment Breakdown Current'!$AE$15:$AE$164,$A113))-(SUMIFS('Payment Breakdown Prior'!$AA$15:$AA$164,'Payment Breakdown Prior'!$AE$15:$AE$164,$A113))</f>
        <v/>
      </c>
      <c r="AF113">
        <f>(SUMIFS('Payment Breakdown Current'!$AB$15:$AB$164,'Payment Breakdown Current'!$AE$15:$AE$164,$A113))-(SUMIFS('Payment Breakdown Prior'!$AB$15:$AB$164,'Payment Breakdown Prior'!$AE$15:$AE$164,$A113))</f>
        <v/>
      </c>
      <c r="AG113">
        <f>(SUMIFS('Payment Breakdown Current'!$AC$15:$AC$164,'Payment Breakdown Current'!$AE$15:$AE$164,$A113))-(SUMIFS('Payment Breakdown Prior'!$AC$15:$AC$164,'Payment Breakdown Prior'!$AE$15:$AE$164,$A113))</f>
        <v/>
      </c>
      <c r="AH113">
        <f>(SUMIFS('Payment Breakdown Current'!$AD$15:$AD$164,'Payment Breakdown Current'!$AE$15:$AE$164,$A113))-(SUMIFS('Payment Breakdown Prior'!$AD$15:$AD$164,'Payment Breakdown Prior'!$AE$15:$AE$164,$A113))</f>
        <v/>
      </c>
      <c r="AI113">
        <f t="array" ref="AI113">MAX(ABS(W113:AH113))</f>
        <v/>
      </c>
      <c r="AJ113">
        <f t="array" ref="AJ113">IF(AI113&lt;0.005,"",IFERROR(INDEX($W$1:$AH$1,MATCH(AI113,ABS(W113:AH113),0)),""))</f>
        <v/>
      </c>
      <c r="AK113">
        <f t="array" ref="AK113">IF(AI113&lt;0.005,"",IFERROR(INDEX(W113:AH113,MATCH(AI113,ABS(W113:AH113),0)),""))</f>
        <v/>
      </c>
      <c r="AL113">
        <f>IF(R113=1,ABS(L113)-ROW()/100000000,"")</f>
        <v/>
      </c>
    </row>
    <row r="114">
      <c r="A114">
        <f>IF('NPV Comparison'!D127="","",'NPV Comparison'!D127)</f>
        <v/>
      </c>
      <c r="B114">
        <f>IF('NPV Comparison'!E127="","",'NPV Comparison'!E127)</f>
        <v/>
      </c>
      <c r="C114">
        <f>IF('NPV Comparison'!F127="","",'NPV Comparison'!F127)</f>
        <v/>
      </c>
      <c r="D114">
        <f>IF($A114="","",IFERROR(INDEX(Structure!$E$13:$E$312,MATCH($A114,Structure!$P$13:$P$312,0)),""))</f>
        <v/>
      </c>
      <c r="E114">
        <f>IF($A114="",0,IF(COUNTIF(Structure!$P$13:$P$312,$A114)=0,0,IF(COUNTIFS(Structure!$P$13:$P$312,$A114,Structure!$N$13:$N$312,"&lt;&gt;Zero Hours")=0,1,0)))</f>
        <v/>
      </c>
      <c r="F114">
        <f>IF($A114="",0,1-E114)</f>
        <v/>
      </c>
      <c r="G114">
        <f>IF($A114="",0,IF(COUNTIF('New Starters'!$D$14:$D$73,$A114)&gt;0,1,0))</f>
        <v/>
      </c>
      <c r="H114">
        <f>IF($A114="",0,IF(COUNTIF('Leavers'!$D$12:$D$71,$A114)&gt;0,1,0))</f>
        <v/>
      </c>
      <c r="I114">
        <f>IF($A114="","",IFERROR(INDEX('New Starters'!$K$14:$K$73,MATCH($A114,'New Starters'!$D$14:$D$73,0)),IFERROR(INDEX('Leavers'!$K$12:$K$71,MATCH($A114,'Leavers'!$D$12:$D$71,0)),"")))</f>
        <v/>
      </c>
      <c r="J114">
        <f>IF(AND(G114=1,I114&lt;&gt;"",COUNTIF('Leavers'!$K$12:$K$71,I114)&gt;0),1,IF(AND(H114=1,I114&lt;&gt;"",COUNTIF('New Starters'!$K$14:$K$73,I114)&gt;0),1,0))</f>
        <v/>
      </c>
      <c r="K114">
        <f>IF(ISNUMBER(SEARCH("Head Office",D114)),'Control Sheet'!$C$6,'Control Sheet'!$C$5)</f>
        <v/>
      </c>
      <c r="L114">
        <f>IF(OR($A114="",AND(B114="",C114="")),"",IF(B114="",C114,IF(C114="",-B114,C114-B114)))</f>
        <v/>
      </c>
      <c r="M114">
        <f>IFERROR(L114/B114,"")</f>
        <v/>
      </c>
      <c r="N114">
        <f>IF($A114="",0,IF(OR(B114="",C114="",C114=0,AND(ISNUMBER(M114),ABS(M114)&gt;K114)),1,0))</f>
        <v/>
      </c>
      <c r="O114">
        <f>IF(AND(N114=1,ABS(L114)&gt;='Control Sheet'!$C$7,F114=1),1,0)</f>
        <v/>
      </c>
      <c r="P114">
        <f>IF($A114="","",IF(F114=0,"Zero Hours",IF(J114=1,"Explained: Paired transfer",IF(AND(G114=1,H114=0,J114=0),"Explained: Starter",IF(AND(H114=1,G114=0,J114=0),"Explained: Leaver",IF(O114=1,"Review required","OK"))))))</f>
        <v/>
      </c>
      <c r="Q114">
        <f>IF(AND(F114=1,OR(C114="",C114=0),H114=0,J114=0),1,0)</f>
        <v/>
      </c>
      <c r="R114">
        <f>IF(F114=0,0,IF(P114="Review required",1,IF(AND(P114="Explained: Starter",ISNUMBER(C114),C114&gt;=1500),1,0)))</f>
        <v/>
      </c>
      <c r="S114">
        <f>IF(R114=0,"",IF(Q114=1,"High",IF(AND(P114="Explained: Starter",C114&gt;=1500),"High",IF(ABS(L114)&gt;=2000,"High",IF(ABS(L114)&gt;=500,"Medium","Low")))))</f>
        <v/>
      </c>
      <c r="T114">
        <f>SUMIFS('Payment Breakdown Prior'!$S$15:$S$164,'Payment Breakdown Prior'!$AE$15:$AE$164,$A114)</f>
        <v/>
      </c>
      <c r="U114">
        <f>SUMIFS('Payment Breakdown Current'!$S$15:$S$164,'Payment Breakdown Current'!$AE$15:$AE$164,$A114)</f>
        <v/>
      </c>
      <c r="V114">
        <f>IFERROR((U114-T114)/T114,"")</f>
        <v/>
      </c>
      <c r="W114">
        <f>(SUMIFS('Payment Breakdown Current'!$S$15:$S$164,'Payment Breakdown Current'!$AE$15:$AE$164,$A114))-(SUMIFS('Payment Breakdown Prior'!$S$15:$S$164,'Payment Breakdown Prior'!$AE$15:$AE$164,$A114))</f>
        <v/>
      </c>
      <c r="X114">
        <f>(SUMIFS('Payment Breakdown Current'!$T$15:$T$164,'Payment Breakdown Current'!$AE$15:$AE$164,$A114))-(SUMIFS('Payment Breakdown Prior'!$T$15:$T$164,'Payment Breakdown Prior'!$AE$15:$AE$164,$A114))</f>
        <v/>
      </c>
      <c r="Y114">
        <f>(SUMIFS('Payment Breakdown Current'!$U$15:$U$164,'Payment Breakdown Current'!$AE$15:$AE$164,$A114))-(SUMIFS('Payment Breakdown Prior'!$U$15:$U$164,'Payment Breakdown Prior'!$AE$15:$AE$164,$A114))</f>
        <v/>
      </c>
      <c r="Z114">
        <f>(SUMIFS('Payment Breakdown Current'!$V$15:$V$164,'Payment Breakdown Current'!$AE$15:$AE$164,$A114))-(SUMIFS('Payment Breakdown Prior'!$V$15:$V$164,'Payment Breakdown Prior'!$AE$15:$AE$164,$A114))</f>
        <v/>
      </c>
      <c r="AA114">
        <f>(SUMIFS('Payment Breakdown Current'!$W$15:$W$164,'Payment Breakdown Current'!$AE$15:$AE$164,$A114))-(SUMIFS('Payment Breakdown Prior'!$W$15:$W$164,'Payment Breakdown Prior'!$AE$15:$AE$164,$A114))</f>
        <v/>
      </c>
      <c r="AB114">
        <f>(SUMIFS('Payment Breakdown Current'!$X$15:$X$164,'Payment Breakdown Current'!$AE$15:$AE$164,$A114))-(SUMIFS('Payment Breakdown Prior'!$X$15:$X$164,'Payment Breakdown Prior'!$AE$15:$AE$164,$A114))</f>
        <v/>
      </c>
      <c r="AC114">
        <f>(SUMIFS('Payment Breakdown Current'!$Y$15:$Y$164,'Payment Breakdown Current'!$AE$15:$AE$164,$A114))-(SUMIFS('Payment Breakdown Prior'!$Y$15:$Y$164,'Payment Breakdown Prior'!$AE$15:$AE$164,$A114))</f>
        <v/>
      </c>
      <c r="AD114">
        <f>(SUMIFS('Payment Breakdown Current'!$Z$15:$Z$164,'Payment Breakdown Current'!$AE$15:$AE$164,$A114))-(SUMIFS('Payment Breakdown Prior'!$Z$15:$Z$164,'Payment Breakdown Prior'!$AE$15:$AE$164,$A114))</f>
        <v/>
      </c>
      <c r="AE114">
        <f>(SUMIFS('Payment Breakdown Current'!$AA$15:$AA$164,'Payment Breakdown Current'!$AE$15:$AE$164,$A114))-(SUMIFS('Payment Breakdown Prior'!$AA$15:$AA$164,'Payment Breakdown Prior'!$AE$15:$AE$164,$A114))</f>
        <v/>
      </c>
      <c r="AF114">
        <f>(SUMIFS('Payment Breakdown Current'!$AB$15:$AB$164,'Payment Breakdown Current'!$AE$15:$AE$164,$A114))-(SUMIFS('Payment Breakdown Prior'!$AB$15:$AB$164,'Payment Breakdown Prior'!$AE$15:$AE$164,$A114))</f>
        <v/>
      </c>
      <c r="AG114">
        <f>(SUMIFS('Payment Breakdown Current'!$AC$15:$AC$164,'Payment Breakdown Current'!$AE$15:$AE$164,$A114))-(SUMIFS('Payment Breakdown Prior'!$AC$15:$AC$164,'Payment Breakdown Prior'!$AE$15:$AE$164,$A114))</f>
        <v/>
      </c>
      <c r="AH114">
        <f>(SUMIFS('Payment Breakdown Current'!$AD$15:$AD$164,'Payment Breakdown Current'!$AE$15:$AE$164,$A114))-(SUMIFS('Payment Breakdown Prior'!$AD$15:$AD$164,'Payment Breakdown Prior'!$AE$15:$AE$164,$A114))</f>
        <v/>
      </c>
      <c r="AI114">
        <f t="array" ref="AI114">MAX(ABS(W114:AH114))</f>
        <v/>
      </c>
      <c r="AJ114">
        <f t="array" ref="AJ114">IF(AI114&lt;0.005,"",IFERROR(INDEX($W$1:$AH$1,MATCH(AI114,ABS(W114:AH114),0)),""))</f>
        <v/>
      </c>
      <c r="AK114">
        <f t="array" ref="AK114">IF(AI114&lt;0.005,"",IFERROR(INDEX(W114:AH114,MATCH(AI114,ABS(W114:AH114),0)),""))</f>
        <v/>
      </c>
      <c r="AL114">
        <f>IF(R114=1,ABS(L114)-ROW()/100000000,"")</f>
        <v/>
      </c>
    </row>
    <row r="115">
      <c r="A115">
        <f>IF('NPV Comparison'!D128="","",'NPV Comparison'!D128)</f>
        <v/>
      </c>
      <c r="B115">
        <f>IF('NPV Comparison'!E128="","",'NPV Comparison'!E128)</f>
        <v/>
      </c>
      <c r="C115">
        <f>IF('NPV Comparison'!F128="","",'NPV Comparison'!F128)</f>
        <v/>
      </c>
      <c r="D115">
        <f>IF($A115="","",IFERROR(INDEX(Structure!$E$13:$E$312,MATCH($A115,Structure!$P$13:$P$312,0)),""))</f>
        <v/>
      </c>
      <c r="E115">
        <f>IF($A115="",0,IF(COUNTIF(Structure!$P$13:$P$312,$A115)=0,0,IF(COUNTIFS(Structure!$P$13:$P$312,$A115,Structure!$N$13:$N$312,"&lt;&gt;Zero Hours")=0,1,0)))</f>
        <v/>
      </c>
      <c r="F115">
        <f>IF($A115="",0,1-E115)</f>
        <v/>
      </c>
      <c r="G115">
        <f>IF($A115="",0,IF(COUNTIF('New Starters'!$D$14:$D$73,$A115)&gt;0,1,0))</f>
        <v/>
      </c>
      <c r="H115">
        <f>IF($A115="",0,IF(COUNTIF('Leavers'!$D$12:$D$71,$A115)&gt;0,1,0))</f>
        <v/>
      </c>
      <c r="I115">
        <f>IF($A115="","",IFERROR(INDEX('New Starters'!$K$14:$K$73,MATCH($A115,'New Starters'!$D$14:$D$73,0)),IFERROR(INDEX('Leavers'!$K$12:$K$71,MATCH($A115,'Leavers'!$D$12:$D$71,0)),"")))</f>
        <v/>
      </c>
      <c r="J115">
        <f>IF(AND(G115=1,I115&lt;&gt;"",COUNTIF('Leavers'!$K$12:$K$71,I115)&gt;0),1,IF(AND(H115=1,I115&lt;&gt;"",COUNTIF('New Starters'!$K$14:$K$73,I115)&gt;0),1,0))</f>
        <v/>
      </c>
      <c r="K115">
        <f>IF(ISNUMBER(SEARCH("Head Office",D115)),'Control Sheet'!$C$6,'Control Sheet'!$C$5)</f>
        <v/>
      </c>
      <c r="L115">
        <f>IF(OR($A115="",AND(B115="",C115="")),"",IF(B115="",C115,IF(C115="",-B115,C115-B115)))</f>
        <v/>
      </c>
      <c r="M115">
        <f>IFERROR(L115/B115,"")</f>
        <v/>
      </c>
      <c r="N115">
        <f>IF($A115="",0,IF(OR(B115="",C115="",C115=0,AND(ISNUMBER(M115),ABS(M115)&gt;K115)),1,0))</f>
        <v/>
      </c>
      <c r="O115">
        <f>IF(AND(N115=1,ABS(L115)&gt;='Control Sheet'!$C$7,F115=1),1,0)</f>
        <v/>
      </c>
      <c r="P115">
        <f>IF($A115="","",IF(F115=0,"Zero Hours",IF(J115=1,"Explained: Paired transfer",IF(AND(G115=1,H115=0,J115=0),"Explained: Starter",IF(AND(H115=1,G115=0,J115=0),"Explained: Leaver",IF(O115=1,"Review required","OK"))))))</f>
        <v/>
      </c>
      <c r="Q115">
        <f>IF(AND(F115=1,OR(C115="",C115=0),H115=0,J115=0),1,0)</f>
        <v/>
      </c>
      <c r="R115">
        <f>IF(F115=0,0,IF(P115="Review required",1,IF(AND(P115="Explained: Starter",ISNUMBER(C115),C115&gt;=1500),1,0)))</f>
        <v/>
      </c>
      <c r="S115">
        <f>IF(R115=0,"",IF(Q115=1,"High",IF(AND(P115="Explained: Starter",C115&gt;=1500),"High",IF(ABS(L115)&gt;=2000,"High",IF(ABS(L115)&gt;=500,"Medium","Low")))))</f>
        <v/>
      </c>
      <c r="T115">
        <f>SUMIFS('Payment Breakdown Prior'!$S$15:$S$164,'Payment Breakdown Prior'!$AE$15:$AE$164,$A115)</f>
        <v/>
      </c>
      <c r="U115">
        <f>SUMIFS('Payment Breakdown Current'!$S$15:$S$164,'Payment Breakdown Current'!$AE$15:$AE$164,$A115)</f>
        <v/>
      </c>
      <c r="V115">
        <f>IFERROR((U115-T115)/T115,"")</f>
        <v/>
      </c>
      <c r="W115">
        <f>(SUMIFS('Payment Breakdown Current'!$S$15:$S$164,'Payment Breakdown Current'!$AE$15:$AE$164,$A115))-(SUMIFS('Payment Breakdown Prior'!$S$15:$S$164,'Payment Breakdown Prior'!$AE$15:$AE$164,$A115))</f>
        <v/>
      </c>
      <c r="X115">
        <f>(SUMIFS('Payment Breakdown Current'!$T$15:$T$164,'Payment Breakdown Current'!$AE$15:$AE$164,$A115))-(SUMIFS('Payment Breakdown Prior'!$T$15:$T$164,'Payment Breakdown Prior'!$AE$15:$AE$164,$A115))</f>
        <v/>
      </c>
      <c r="Y115">
        <f>(SUMIFS('Payment Breakdown Current'!$U$15:$U$164,'Payment Breakdown Current'!$AE$15:$AE$164,$A115))-(SUMIFS('Payment Breakdown Prior'!$U$15:$U$164,'Payment Breakdown Prior'!$AE$15:$AE$164,$A115))</f>
        <v/>
      </c>
      <c r="Z115">
        <f>(SUMIFS('Payment Breakdown Current'!$V$15:$V$164,'Payment Breakdown Current'!$AE$15:$AE$164,$A115))-(SUMIFS('Payment Breakdown Prior'!$V$15:$V$164,'Payment Breakdown Prior'!$AE$15:$AE$164,$A115))</f>
        <v/>
      </c>
      <c r="AA115">
        <f>(SUMIFS('Payment Breakdown Current'!$W$15:$W$164,'Payment Breakdown Current'!$AE$15:$AE$164,$A115))-(SUMIFS('Payment Breakdown Prior'!$W$15:$W$164,'Payment Breakdown Prior'!$AE$15:$AE$164,$A115))</f>
        <v/>
      </c>
      <c r="AB115">
        <f>(SUMIFS('Payment Breakdown Current'!$X$15:$X$164,'Payment Breakdown Current'!$AE$15:$AE$164,$A115))-(SUMIFS('Payment Breakdown Prior'!$X$15:$X$164,'Payment Breakdown Prior'!$AE$15:$AE$164,$A115))</f>
        <v/>
      </c>
      <c r="AC115">
        <f>(SUMIFS('Payment Breakdown Current'!$Y$15:$Y$164,'Payment Breakdown Current'!$AE$15:$AE$164,$A115))-(SUMIFS('Payment Breakdown Prior'!$Y$15:$Y$164,'Payment Breakdown Prior'!$AE$15:$AE$164,$A115))</f>
        <v/>
      </c>
      <c r="AD115">
        <f>(SUMIFS('Payment Breakdown Current'!$Z$15:$Z$164,'Payment Breakdown Current'!$AE$15:$AE$164,$A115))-(SUMIFS('Payment Breakdown Prior'!$Z$15:$Z$164,'Payment Breakdown Prior'!$AE$15:$AE$164,$A115))</f>
        <v/>
      </c>
      <c r="AE115">
        <f>(SUMIFS('Payment Breakdown Current'!$AA$15:$AA$164,'Payment Breakdown Current'!$AE$15:$AE$164,$A115))-(SUMIFS('Payment Breakdown Prior'!$AA$15:$AA$164,'Payment Breakdown Prior'!$AE$15:$AE$164,$A115))</f>
        <v/>
      </c>
      <c r="AF115">
        <f>(SUMIFS('Payment Breakdown Current'!$AB$15:$AB$164,'Payment Breakdown Current'!$AE$15:$AE$164,$A115))-(SUMIFS('Payment Breakdown Prior'!$AB$15:$AB$164,'Payment Breakdown Prior'!$AE$15:$AE$164,$A115))</f>
        <v/>
      </c>
      <c r="AG115">
        <f>(SUMIFS('Payment Breakdown Current'!$AC$15:$AC$164,'Payment Breakdown Current'!$AE$15:$AE$164,$A115))-(SUMIFS('Payment Breakdown Prior'!$AC$15:$AC$164,'Payment Breakdown Prior'!$AE$15:$AE$164,$A115))</f>
        <v/>
      </c>
      <c r="AH115">
        <f>(SUMIFS('Payment Breakdown Current'!$AD$15:$AD$164,'Payment Breakdown Current'!$AE$15:$AE$164,$A115))-(SUMIFS('Payment Breakdown Prior'!$AD$15:$AD$164,'Payment Breakdown Prior'!$AE$15:$AE$164,$A115))</f>
        <v/>
      </c>
      <c r="AI115">
        <f t="array" ref="AI115">MAX(ABS(W115:AH115))</f>
        <v/>
      </c>
      <c r="AJ115">
        <f t="array" ref="AJ115">IF(AI115&lt;0.005,"",IFERROR(INDEX($W$1:$AH$1,MATCH(AI115,ABS(W115:AH115),0)),""))</f>
        <v/>
      </c>
      <c r="AK115">
        <f t="array" ref="AK115">IF(AI115&lt;0.005,"",IFERROR(INDEX(W115:AH115,MATCH(AI115,ABS(W115:AH115),0)),""))</f>
        <v/>
      </c>
      <c r="AL115">
        <f>IF(R115=1,ABS(L115)-ROW()/100000000,"")</f>
        <v/>
      </c>
    </row>
    <row r="116">
      <c r="A116">
        <f>IF('NPV Comparison'!D129="","",'NPV Comparison'!D129)</f>
        <v/>
      </c>
      <c r="B116">
        <f>IF('NPV Comparison'!E129="","",'NPV Comparison'!E129)</f>
        <v/>
      </c>
      <c r="C116">
        <f>IF('NPV Comparison'!F129="","",'NPV Comparison'!F129)</f>
        <v/>
      </c>
      <c r="D116">
        <f>IF($A116="","",IFERROR(INDEX(Structure!$E$13:$E$312,MATCH($A116,Structure!$P$13:$P$312,0)),""))</f>
        <v/>
      </c>
      <c r="E116">
        <f>IF($A116="",0,IF(COUNTIF(Structure!$P$13:$P$312,$A116)=0,0,IF(COUNTIFS(Structure!$P$13:$P$312,$A116,Structure!$N$13:$N$312,"&lt;&gt;Zero Hours")=0,1,0)))</f>
        <v/>
      </c>
      <c r="F116">
        <f>IF($A116="",0,1-E116)</f>
        <v/>
      </c>
      <c r="G116">
        <f>IF($A116="",0,IF(COUNTIF('New Starters'!$D$14:$D$73,$A116)&gt;0,1,0))</f>
        <v/>
      </c>
      <c r="H116">
        <f>IF($A116="",0,IF(COUNTIF('Leavers'!$D$12:$D$71,$A116)&gt;0,1,0))</f>
        <v/>
      </c>
      <c r="I116">
        <f>IF($A116="","",IFERROR(INDEX('New Starters'!$K$14:$K$73,MATCH($A116,'New Starters'!$D$14:$D$73,0)),IFERROR(INDEX('Leavers'!$K$12:$K$71,MATCH($A116,'Leavers'!$D$12:$D$71,0)),"")))</f>
        <v/>
      </c>
      <c r="J116">
        <f>IF(AND(G116=1,I116&lt;&gt;"",COUNTIF('Leavers'!$K$12:$K$71,I116)&gt;0),1,IF(AND(H116=1,I116&lt;&gt;"",COUNTIF('New Starters'!$K$14:$K$73,I116)&gt;0),1,0))</f>
        <v/>
      </c>
      <c r="K116">
        <f>IF(ISNUMBER(SEARCH("Head Office",D116)),'Control Sheet'!$C$6,'Control Sheet'!$C$5)</f>
        <v/>
      </c>
      <c r="L116">
        <f>IF(OR($A116="",AND(B116="",C116="")),"",IF(B116="",C116,IF(C116="",-B116,C116-B116)))</f>
        <v/>
      </c>
      <c r="M116">
        <f>IFERROR(L116/B116,"")</f>
        <v/>
      </c>
      <c r="N116">
        <f>IF($A116="",0,IF(OR(B116="",C116="",C116=0,AND(ISNUMBER(M116),ABS(M116)&gt;K116)),1,0))</f>
        <v/>
      </c>
      <c r="O116">
        <f>IF(AND(N116=1,ABS(L116)&gt;='Control Sheet'!$C$7,F116=1),1,0)</f>
        <v/>
      </c>
      <c r="P116">
        <f>IF($A116="","",IF(F116=0,"Zero Hours",IF(J116=1,"Explained: Paired transfer",IF(AND(G116=1,H116=0,J116=0),"Explained: Starter",IF(AND(H116=1,G116=0,J116=0),"Explained: Leaver",IF(O116=1,"Review required","OK"))))))</f>
        <v/>
      </c>
      <c r="Q116">
        <f>IF(AND(F116=1,OR(C116="",C116=0),H116=0,J116=0),1,0)</f>
        <v/>
      </c>
      <c r="R116">
        <f>IF(F116=0,0,IF(P116="Review required",1,IF(AND(P116="Explained: Starter",ISNUMBER(C116),C116&gt;=1500),1,0)))</f>
        <v/>
      </c>
      <c r="S116">
        <f>IF(R116=0,"",IF(Q116=1,"High",IF(AND(P116="Explained: Starter",C116&gt;=1500),"High",IF(ABS(L116)&gt;=2000,"High",IF(ABS(L116)&gt;=500,"Medium","Low")))))</f>
        <v/>
      </c>
      <c r="T116">
        <f>SUMIFS('Payment Breakdown Prior'!$S$15:$S$164,'Payment Breakdown Prior'!$AE$15:$AE$164,$A116)</f>
        <v/>
      </c>
      <c r="U116">
        <f>SUMIFS('Payment Breakdown Current'!$S$15:$S$164,'Payment Breakdown Current'!$AE$15:$AE$164,$A116)</f>
        <v/>
      </c>
      <c r="V116">
        <f>IFERROR((U116-T116)/T116,"")</f>
        <v/>
      </c>
      <c r="W116">
        <f>(SUMIFS('Payment Breakdown Current'!$S$15:$S$164,'Payment Breakdown Current'!$AE$15:$AE$164,$A116))-(SUMIFS('Payment Breakdown Prior'!$S$15:$S$164,'Payment Breakdown Prior'!$AE$15:$AE$164,$A116))</f>
        <v/>
      </c>
      <c r="X116">
        <f>(SUMIFS('Payment Breakdown Current'!$T$15:$T$164,'Payment Breakdown Current'!$AE$15:$AE$164,$A116))-(SUMIFS('Payment Breakdown Prior'!$T$15:$T$164,'Payment Breakdown Prior'!$AE$15:$AE$164,$A116))</f>
        <v/>
      </c>
      <c r="Y116">
        <f>(SUMIFS('Payment Breakdown Current'!$U$15:$U$164,'Payment Breakdown Current'!$AE$15:$AE$164,$A116))-(SUMIFS('Payment Breakdown Prior'!$U$15:$U$164,'Payment Breakdown Prior'!$AE$15:$AE$164,$A116))</f>
        <v/>
      </c>
      <c r="Z116">
        <f>(SUMIFS('Payment Breakdown Current'!$V$15:$V$164,'Payment Breakdown Current'!$AE$15:$AE$164,$A116))-(SUMIFS('Payment Breakdown Prior'!$V$15:$V$164,'Payment Breakdown Prior'!$AE$15:$AE$164,$A116))</f>
        <v/>
      </c>
      <c r="AA116">
        <f>(SUMIFS('Payment Breakdown Current'!$W$15:$W$164,'Payment Breakdown Current'!$AE$15:$AE$164,$A116))-(SUMIFS('Payment Breakdown Prior'!$W$15:$W$164,'Payment Breakdown Prior'!$AE$15:$AE$164,$A116))</f>
        <v/>
      </c>
      <c r="AB116">
        <f>(SUMIFS('Payment Breakdown Current'!$X$15:$X$164,'Payment Breakdown Current'!$AE$15:$AE$164,$A116))-(SUMIFS('Payment Breakdown Prior'!$X$15:$X$164,'Payment Breakdown Prior'!$AE$15:$AE$164,$A116))</f>
        <v/>
      </c>
      <c r="AC116">
        <f>(SUMIFS('Payment Breakdown Current'!$Y$15:$Y$164,'Payment Breakdown Current'!$AE$15:$AE$164,$A116))-(SUMIFS('Payment Breakdown Prior'!$Y$15:$Y$164,'Payment Breakdown Prior'!$AE$15:$AE$164,$A116))</f>
        <v/>
      </c>
      <c r="AD116">
        <f>(SUMIFS('Payment Breakdown Current'!$Z$15:$Z$164,'Payment Breakdown Current'!$AE$15:$AE$164,$A116))-(SUMIFS('Payment Breakdown Prior'!$Z$15:$Z$164,'Payment Breakdown Prior'!$AE$15:$AE$164,$A116))</f>
        <v/>
      </c>
      <c r="AE116">
        <f>(SUMIFS('Payment Breakdown Current'!$AA$15:$AA$164,'Payment Breakdown Current'!$AE$15:$AE$164,$A116))-(SUMIFS('Payment Breakdown Prior'!$AA$15:$AA$164,'Payment Breakdown Prior'!$AE$15:$AE$164,$A116))</f>
        <v/>
      </c>
      <c r="AF116">
        <f>(SUMIFS('Payment Breakdown Current'!$AB$15:$AB$164,'Payment Breakdown Current'!$AE$15:$AE$164,$A116))-(SUMIFS('Payment Breakdown Prior'!$AB$15:$AB$164,'Payment Breakdown Prior'!$AE$15:$AE$164,$A116))</f>
        <v/>
      </c>
      <c r="AG116">
        <f>(SUMIFS('Payment Breakdown Current'!$AC$15:$AC$164,'Payment Breakdown Current'!$AE$15:$AE$164,$A116))-(SUMIFS('Payment Breakdown Prior'!$AC$15:$AC$164,'Payment Breakdown Prior'!$AE$15:$AE$164,$A116))</f>
        <v/>
      </c>
      <c r="AH116">
        <f>(SUMIFS('Payment Breakdown Current'!$AD$15:$AD$164,'Payment Breakdown Current'!$AE$15:$AE$164,$A116))-(SUMIFS('Payment Breakdown Prior'!$AD$15:$AD$164,'Payment Breakdown Prior'!$AE$15:$AE$164,$A116))</f>
        <v/>
      </c>
      <c r="AI116">
        <f t="array" ref="AI116">MAX(ABS(W116:AH116))</f>
        <v/>
      </c>
      <c r="AJ116">
        <f t="array" ref="AJ116">IF(AI116&lt;0.005,"",IFERROR(INDEX($W$1:$AH$1,MATCH(AI116,ABS(W116:AH116),0)),""))</f>
        <v/>
      </c>
      <c r="AK116">
        <f t="array" ref="AK116">IF(AI116&lt;0.005,"",IFERROR(INDEX(W116:AH116,MATCH(AI116,ABS(W116:AH116),0)),""))</f>
        <v/>
      </c>
      <c r="AL116">
        <f>IF(R116=1,ABS(L116)-ROW()/100000000,"")</f>
        <v/>
      </c>
    </row>
    <row r="117">
      <c r="A117">
        <f>IF('NPV Comparison'!D130="","",'NPV Comparison'!D130)</f>
        <v/>
      </c>
      <c r="B117">
        <f>IF('NPV Comparison'!E130="","",'NPV Comparison'!E130)</f>
        <v/>
      </c>
      <c r="C117">
        <f>IF('NPV Comparison'!F130="","",'NPV Comparison'!F130)</f>
        <v/>
      </c>
      <c r="D117">
        <f>IF($A117="","",IFERROR(INDEX(Structure!$E$13:$E$312,MATCH($A117,Structure!$P$13:$P$312,0)),""))</f>
        <v/>
      </c>
      <c r="E117">
        <f>IF($A117="",0,IF(COUNTIF(Structure!$P$13:$P$312,$A117)=0,0,IF(COUNTIFS(Structure!$P$13:$P$312,$A117,Structure!$N$13:$N$312,"&lt;&gt;Zero Hours")=0,1,0)))</f>
        <v/>
      </c>
      <c r="F117">
        <f>IF($A117="",0,1-E117)</f>
        <v/>
      </c>
      <c r="G117">
        <f>IF($A117="",0,IF(COUNTIF('New Starters'!$D$14:$D$73,$A117)&gt;0,1,0))</f>
        <v/>
      </c>
      <c r="H117">
        <f>IF($A117="",0,IF(COUNTIF('Leavers'!$D$12:$D$71,$A117)&gt;0,1,0))</f>
        <v/>
      </c>
      <c r="I117">
        <f>IF($A117="","",IFERROR(INDEX('New Starters'!$K$14:$K$73,MATCH($A117,'New Starters'!$D$14:$D$73,0)),IFERROR(INDEX('Leavers'!$K$12:$K$71,MATCH($A117,'Leavers'!$D$12:$D$71,0)),"")))</f>
        <v/>
      </c>
      <c r="J117">
        <f>IF(AND(G117=1,I117&lt;&gt;"",COUNTIF('Leavers'!$K$12:$K$71,I117)&gt;0),1,IF(AND(H117=1,I117&lt;&gt;"",COUNTIF('New Starters'!$K$14:$K$73,I117)&gt;0),1,0))</f>
        <v/>
      </c>
      <c r="K117">
        <f>IF(ISNUMBER(SEARCH("Head Office",D117)),'Control Sheet'!$C$6,'Control Sheet'!$C$5)</f>
        <v/>
      </c>
      <c r="L117">
        <f>IF(OR($A117="",AND(B117="",C117="")),"",IF(B117="",C117,IF(C117="",-B117,C117-B117)))</f>
        <v/>
      </c>
      <c r="M117">
        <f>IFERROR(L117/B117,"")</f>
        <v/>
      </c>
      <c r="N117">
        <f>IF($A117="",0,IF(OR(B117="",C117="",C117=0,AND(ISNUMBER(M117),ABS(M117)&gt;K117)),1,0))</f>
        <v/>
      </c>
      <c r="O117">
        <f>IF(AND(N117=1,ABS(L117)&gt;='Control Sheet'!$C$7,F117=1),1,0)</f>
        <v/>
      </c>
      <c r="P117">
        <f>IF($A117="","",IF(F117=0,"Zero Hours",IF(J117=1,"Explained: Paired transfer",IF(AND(G117=1,H117=0,J117=0),"Explained: Starter",IF(AND(H117=1,G117=0,J117=0),"Explained: Leaver",IF(O117=1,"Review required","OK"))))))</f>
        <v/>
      </c>
      <c r="Q117">
        <f>IF(AND(F117=1,OR(C117="",C117=0),H117=0,J117=0),1,0)</f>
        <v/>
      </c>
      <c r="R117">
        <f>IF(F117=0,0,IF(P117="Review required",1,IF(AND(P117="Explained: Starter",ISNUMBER(C117),C117&gt;=1500),1,0)))</f>
        <v/>
      </c>
      <c r="S117">
        <f>IF(R117=0,"",IF(Q117=1,"High",IF(AND(P117="Explained: Starter",C117&gt;=1500),"High",IF(ABS(L117)&gt;=2000,"High",IF(ABS(L117)&gt;=500,"Medium","Low")))))</f>
        <v/>
      </c>
      <c r="T117">
        <f>SUMIFS('Payment Breakdown Prior'!$S$15:$S$164,'Payment Breakdown Prior'!$AE$15:$AE$164,$A117)</f>
        <v/>
      </c>
      <c r="U117">
        <f>SUMIFS('Payment Breakdown Current'!$S$15:$S$164,'Payment Breakdown Current'!$AE$15:$AE$164,$A117)</f>
        <v/>
      </c>
      <c r="V117">
        <f>IFERROR((U117-T117)/T117,"")</f>
        <v/>
      </c>
      <c r="W117">
        <f>(SUMIFS('Payment Breakdown Current'!$S$15:$S$164,'Payment Breakdown Current'!$AE$15:$AE$164,$A117))-(SUMIFS('Payment Breakdown Prior'!$S$15:$S$164,'Payment Breakdown Prior'!$AE$15:$AE$164,$A117))</f>
        <v/>
      </c>
      <c r="X117">
        <f>(SUMIFS('Payment Breakdown Current'!$T$15:$T$164,'Payment Breakdown Current'!$AE$15:$AE$164,$A117))-(SUMIFS('Payment Breakdown Prior'!$T$15:$T$164,'Payment Breakdown Prior'!$AE$15:$AE$164,$A117))</f>
        <v/>
      </c>
      <c r="Y117">
        <f>(SUMIFS('Payment Breakdown Current'!$U$15:$U$164,'Payment Breakdown Current'!$AE$15:$AE$164,$A117))-(SUMIFS('Payment Breakdown Prior'!$U$15:$U$164,'Payment Breakdown Prior'!$AE$15:$AE$164,$A117))</f>
        <v/>
      </c>
      <c r="Z117">
        <f>(SUMIFS('Payment Breakdown Current'!$V$15:$V$164,'Payment Breakdown Current'!$AE$15:$AE$164,$A117))-(SUMIFS('Payment Breakdown Prior'!$V$15:$V$164,'Payment Breakdown Prior'!$AE$15:$AE$164,$A117))</f>
        <v/>
      </c>
      <c r="AA117">
        <f>(SUMIFS('Payment Breakdown Current'!$W$15:$W$164,'Payment Breakdown Current'!$AE$15:$AE$164,$A117))-(SUMIFS('Payment Breakdown Prior'!$W$15:$W$164,'Payment Breakdown Prior'!$AE$15:$AE$164,$A117))</f>
        <v/>
      </c>
      <c r="AB117">
        <f>(SUMIFS('Payment Breakdown Current'!$X$15:$X$164,'Payment Breakdown Current'!$AE$15:$AE$164,$A117))-(SUMIFS('Payment Breakdown Prior'!$X$15:$X$164,'Payment Breakdown Prior'!$AE$15:$AE$164,$A117))</f>
        <v/>
      </c>
      <c r="AC117">
        <f>(SUMIFS('Payment Breakdown Current'!$Y$15:$Y$164,'Payment Breakdown Current'!$AE$15:$AE$164,$A117))-(SUMIFS('Payment Breakdown Prior'!$Y$15:$Y$164,'Payment Breakdown Prior'!$AE$15:$AE$164,$A117))</f>
        <v/>
      </c>
      <c r="AD117">
        <f>(SUMIFS('Payment Breakdown Current'!$Z$15:$Z$164,'Payment Breakdown Current'!$AE$15:$AE$164,$A117))-(SUMIFS('Payment Breakdown Prior'!$Z$15:$Z$164,'Payment Breakdown Prior'!$AE$15:$AE$164,$A117))</f>
        <v/>
      </c>
      <c r="AE117">
        <f>(SUMIFS('Payment Breakdown Current'!$AA$15:$AA$164,'Payment Breakdown Current'!$AE$15:$AE$164,$A117))-(SUMIFS('Payment Breakdown Prior'!$AA$15:$AA$164,'Payment Breakdown Prior'!$AE$15:$AE$164,$A117))</f>
        <v/>
      </c>
      <c r="AF117">
        <f>(SUMIFS('Payment Breakdown Current'!$AB$15:$AB$164,'Payment Breakdown Current'!$AE$15:$AE$164,$A117))-(SUMIFS('Payment Breakdown Prior'!$AB$15:$AB$164,'Payment Breakdown Prior'!$AE$15:$AE$164,$A117))</f>
        <v/>
      </c>
      <c r="AG117">
        <f>(SUMIFS('Payment Breakdown Current'!$AC$15:$AC$164,'Payment Breakdown Current'!$AE$15:$AE$164,$A117))-(SUMIFS('Payment Breakdown Prior'!$AC$15:$AC$164,'Payment Breakdown Prior'!$AE$15:$AE$164,$A117))</f>
        <v/>
      </c>
      <c r="AH117">
        <f>(SUMIFS('Payment Breakdown Current'!$AD$15:$AD$164,'Payment Breakdown Current'!$AE$15:$AE$164,$A117))-(SUMIFS('Payment Breakdown Prior'!$AD$15:$AD$164,'Payment Breakdown Prior'!$AE$15:$AE$164,$A117))</f>
        <v/>
      </c>
      <c r="AI117">
        <f t="array" ref="AI117">MAX(ABS(W117:AH117))</f>
        <v/>
      </c>
      <c r="AJ117">
        <f t="array" ref="AJ117">IF(AI117&lt;0.005,"",IFERROR(INDEX($W$1:$AH$1,MATCH(AI117,ABS(W117:AH117),0)),""))</f>
        <v/>
      </c>
      <c r="AK117">
        <f t="array" ref="AK117">IF(AI117&lt;0.005,"",IFERROR(INDEX(W117:AH117,MATCH(AI117,ABS(W117:AH117),0)),""))</f>
        <v/>
      </c>
      <c r="AL117">
        <f>IF(R117=1,ABS(L117)-ROW()/100000000,"")</f>
        <v/>
      </c>
    </row>
    <row r="118">
      <c r="A118">
        <f>IF('NPV Comparison'!D131="","",'NPV Comparison'!D131)</f>
        <v/>
      </c>
      <c r="B118">
        <f>IF('NPV Comparison'!E131="","",'NPV Comparison'!E131)</f>
        <v/>
      </c>
      <c r="C118">
        <f>IF('NPV Comparison'!F131="","",'NPV Comparison'!F131)</f>
        <v/>
      </c>
      <c r="D118">
        <f>IF($A118="","",IFERROR(INDEX(Structure!$E$13:$E$312,MATCH($A118,Structure!$P$13:$P$312,0)),""))</f>
        <v/>
      </c>
      <c r="E118">
        <f>IF($A118="",0,IF(COUNTIF(Structure!$P$13:$P$312,$A118)=0,0,IF(COUNTIFS(Structure!$P$13:$P$312,$A118,Structure!$N$13:$N$312,"&lt;&gt;Zero Hours")=0,1,0)))</f>
        <v/>
      </c>
      <c r="F118">
        <f>IF($A118="",0,1-E118)</f>
        <v/>
      </c>
      <c r="G118">
        <f>IF($A118="",0,IF(COUNTIF('New Starters'!$D$14:$D$73,$A118)&gt;0,1,0))</f>
        <v/>
      </c>
      <c r="H118">
        <f>IF($A118="",0,IF(COUNTIF('Leavers'!$D$12:$D$71,$A118)&gt;0,1,0))</f>
        <v/>
      </c>
      <c r="I118">
        <f>IF($A118="","",IFERROR(INDEX('New Starters'!$K$14:$K$73,MATCH($A118,'New Starters'!$D$14:$D$73,0)),IFERROR(INDEX('Leavers'!$K$12:$K$71,MATCH($A118,'Leavers'!$D$12:$D$71,0)),"")))</f>
        <v/>
      </c>
      <c r="J118">
        <f>IF(AND(G118=1,I118&lt;&gt;"",COUNTIF('Leavers'!$K$12:$K$71,I118)&gt;0),1,IF(AND(H118=1,I118&lt;&gt;"",COUNTIF('New Starters'!$K$14:$K$73,I118)&gt;0),1,0))</f>
        <v/>
      </c>
      <c r="K118">
        <f>IF(ISNUMBER(SEARCH("Head Office",D118)),'Control Sheet'!$C$6,'Control Sheet'!$C$5)</f>
        <v/>
      </c>
      <c r="L118">
        <f>IF(OR($A118="",AND(B118="",C118="")),"",IF(B118="",C118,IF(C118="",-B118,C118-B118)))</f>
        <v/>
      </c>
      <c r="M118">
        <f>IFERROR(L118/B118,"")</f>
        <v/>
      </c>
      <c r="N118">
        <f>IF($A118="",0,IF(OR(B118="",C118="",C118=0,AND(ISNUMBER(M118),ABS(M118)&gt;K118)),1,0))</f>
        <v/>
      </c>
      <c r="O118">
        <f>IF(AND(N118=1,ABS(L118)&gt;='Control Sheet'!$C$7,F118=1),1,0)</f>
        <v/>
      </c>
      <c r="P118">
        <f>IF($A118="","",IF(F118=0,"Zero Hours",IF(J118=1,"Explained: Paired transfer",IF(AND(G118=1,H118=0,J118=0),"Explained: Starter",IF(AND(H118=1,G118=0,J118=0),"Explained: Leaver",IF(O118=1,"Review required","OK"))))))</f>
        <v/>
      </c>
      <c r="Q118">
        <f>IF(AND(F118=1,OR(C118="",C118=0),H118=0,J118=0),1,0)</f>
        <v/>
      </c>
      <c r="R118">
        <f>IF(F118=0,0,IF(P118="Review required",1,IF(AND(P118="Explained: Starter",ISNUMBER(C118),C118&gt;=1500),1,0)))</f>
        <v/>
      </c>
      <c r="S118">
        <f>IF(R118=0,"",IF(Q118=1,"High",IF(AND(P118="Explained: Starter",C118&gt;=1500),"High",IF(ABS(L118)&gt;=2000,"High",IF(ABS(L118)&gt;=500,"Medium","Low")))))</f>
        <v/>
      </c>
      <c r="T118">
        <f>SUMIFS('Payment Breakdown Prior'!$S$15:$S$164,'Payment Breakdown Prior'!$AE$15:$AE$164,$A118)</f>
        <v/>
      </c>
      <c r="U118">
        <f>SUMIFS('Payment Breakdown Current'!$S$15:$S$164,'Payment Breakdown Current'!$AE$15:$AE$164,$A118)</f>
        <v/>
      </c>
      <c r="V118">
        <f>IFERROR((U118-T118)/T118,"")</f>
        <v/>
      </c>
      <c r="W118">
        <f>(SUMIFS('Payment Breakdown Current'!$S$15:$S$164,'Payment Breakdown Current'!$AE$15:$AE$164,$A118))-(SUMIFS('Payment Breakdown Prior'!$S$15:$S$164,'Payment Breakdown Prior'!$AE$15:$AE$164,$A118))</f>
        <v/>
      </c>
      <c r="X118">
        <f>(SUMIFS('Payment Breakdown Current'!$T$15:$T$164,'Payment Breakdown Current'!$AE$15:$AE$164,$A118))-(SUMIFS('Payment Breakdown Prior'!$T$15:$T$164,'Payment Breakdown Prior'!$AE$15:$AE$164,$A118))</f>
        <v/>
      </c>
      <c r="Y118">
        <f>(SUMIFS('Payment Breakdown Current'!$U$15:$U$164,'Payment Breakdown Current'!$AE$15:$AE$164,$A118))-(SUMIFS('Payment Breakdown Prior'!$U$15:$U$164,'Payment Breakdown Prior'!$AE$15:$AE$164,$A118))</f>
        <v/>
      </c>
      <c r="Z118">
        <f>(SUMIFS('Payment Breakdown Current'!$V$15:$V$164,'Payment Breakdown Current'!$AE$15:$AE$164,$A118))-(SUMIFS('Payment Breakdown Prior'!$V$15:$V$164,'Payment Breakdown Prior'!$AE$15:$AE$164,$A118))</f>
        <v/>
      </c>
      <c r="AA118">
        <f>(SUMIFS('Payment Breakdown Current'!$W$15:$W$164,'Payment Breakdown Current'!$AE$15:$AE$164,$A118))-(SUMIFS('Payment Breakdown Prior'!$W$15:$W$164,'Payment Breakdown Prior'!$AE$15:$AE$164,$A118))</f>
        <v/>
      </c>
      <c r="AB118">
        <f>(SUMIFS('Payment Breakdown Current'!$X$15:$X$164,'Payment Breakdown Current'!$AE$15:$AE$164,$A118))-(SUMIFS('Payment Breakdown Prior'!$X$15:$X$164,'Payment Breakdown Prior'!$AE$15:$AE$164,$A118))</f>
        <v/>
      </c>
      <c r="AC118">
        <f>(SUMIFS('Payment Breakdown Current'!$Y$15:$Y$164,'Payment Breakdown Current'!$AE$15:$AE$164,$A118))-(SUMIFS('Payment Breakdown Prior'!$Y$15:$Y$164,'Payment Breakdown Prior'!$AE$15:$AE$164,$A118))</f>
        <v/>
      </c>
      <c r="AD118">
        <f>(SUMIFS('Payment Breakdown Current'!$Z$15:$Z$164,'Payment Breakdown Current'!$AE$15:$AE$164,$A118))-(SUMIFS('Payment Breakdown Prior'!$Z$15:$Z$164,'Payment Breakdown Prior'!$AE$15:$AE$164,$A118))</f>
        <v/>
      </c>
      <c r="AE118">
        <f>(SUMIFS('Payment Breakdown Current'!$AA$15:$AA$164,'Payment Breakdown Current'!$AE$15:$AE$164,$A118))-(SUMIFS('Payment Breakdown Prior'!$AA$15:$AA$164,'Payment Breakdown Prior'!$AE$15:$AE$164,$A118))</f>
        <v/>
      </c>
      <c r="AF118">
        <f>(SUMIFS('Payment Breakdown Current'!$AB$15:$AB$164,'Payment Breakdown Current'!$AE$15:$AE$164,$A118))-(SUMIFS('Payment Breakdown Prior'!$AB$15:$AB$164,'Payment Breakdown Prior'!$AE$15:$AE$164,$A118))</f>
        <v/>
      </c>
      <c r="AG118">
        <f>(SUMIFS('Payment Breakdown Current'!$AC$15:$AC$164,'Payment Breakdown Current'!$AE$15:$AE$164,$A118))-(SUMIFS('Payment Breakdown Prior'!$AC$15:$AC$164,'Payment Breakdown Prior'!$AE$15:$AE$164,$A118))</f>
        <v/>
      </c>
      <c r="AH118">
        <f>(SUMIFS('Payment Breakdown Current'!$AD$15:$AD$164,'Payment Breakdown Current'!$AE$15:$AE$164,$A118))-(SUMIFS('Payment Breakdown Prior'!$AD$15:$AD$164,'Payment Breakdown Prior'!$AE$15:$AE$164,$A118))</f>
        <v/>
      </c>
      <c r="AI118">
        <f t="array" ref="AI118">MAX(ABS(W118:AH118))</f>
        <v/>
      </c>
      <c r="AJ118">
        <f t="array" ref="AJ118">IF(AI118&lt;0.005,"",IFERROR(INDEX($W$1:$AH$1,MATCH(AI118,ABS(W118:AH118),0)),""))</f>
        <v/>
      </c>
      <c r="AK118">
        <f t="array" ref="AK118">IF(AI118&lt;0.005,"",IFERROR(INDEX(W118:AH118,MATCH(AI118,ABS(W118:AH118),0)),""))</f>
        <v/>
      </c>
      <c r="AL118">
        <f>IF(R118=1,ABS(L118)-ROW()/100000000,"")</f>
        <v/>
      </c>
    </row>
    <row r="119">
      <c r="A119">
        <f>IF('NPV Comparison'!D132="","",'NPV Comparison'!D132)</f>
        <v/>
      </c>
      <c r="B119">
        <f>IF('NPV Comparison'!E132="","",'NPV Comparison'!E132)</f>
        <v/>
      </c>
      <c r="C119">
        <f>IF('NPV Comparison'!F132="","",'NPV Comparison'!F132)</f>
        <v/>
      </c>
      <c r="D119">
        <f>IF($A119="","",IFERROR(INDEX(Structure!$E$13:$E$312,MATCH($A119,Structure!$P$13:$P$312,0)),""))</f>
        <v/>
      </c>
      <c r="E119">
        <f>IF($A119="",0,IF(COUNTIF(Structure!$P$13:$P$312,$A119)=0,0,IF(COUNTIFS(Structure!$P$13:$P$312,$A119,Structure!$N$13:$N$312,"&lt;&gt;Zero Hours")=0,1,0)))</f>
        <v/>
      </c>
      <c r="F119">
        <f>IF($A119="",0,1-E119)</f>
        <v/>
      </c>
      <c r="G119">
        <f>IF($A119="",0,IF(COUNTIF('New Starters'!$D$14:$D$73,$A119)&gt;0,1,0))</f>
        <v/>
      </c>
      <c r="H119">
        <f>IF($A119="",0,IF(COUNTIF('Leavers'!$D$12:$D$71,$A119)&gt;0,1,0))</f>
        <v/>
      </c>
      <c r="I119">
        <f>IF($A119="","",IFERROR(INDEX('New Starters'!$K$14:$K$73,MATCH($A119,'New Starters'!$D$14:$D$73,0)),IFERROR(INDEX('Leavers'!$K$12:$K$71,MATCH($A119,'Leavers'!$D$12:$D$71,0)),"")))</f>
        <v/>
      </c>
      <c r="J119">
        <f>IF(AND(G119=1,I119&lt;&gt;"",COUNTIF('Leavers'!$K$12:$K$71,I119)&gt;0),1,IF(AND(H119=1,I119&lt;&gt;"",COUNTIF('New Starters'!$K$14:$K$73,I119)&gt;0),1,0))</f>
        <v/>
      </c>
      <c r="K119">
        <f>IF(ISNUMBER(SEARCH("Head Office",D119)),'Control Sheet'!$C$6,'Control Sheet'!$C$5)</f>
        <v/>
      </c>
      <c r="L119">
        <f>IF(OR($A119="",AND(B119="",C119="")),"",IF(B119="",C119,IF(C119="",-B119,C119-B119)))</f>
        <v/>
      </c>
      <c r="M119">
        <f>IFERROR(L119/B119,"")</f>
        <v/>
      </c>
      <c r="N119">
        <f>IF($A119="",0,IF(OR(B119="",C119="",C119=0,AND(ISNUMBER(M119),ABS(M119)&gt;K119)),1,0))</f>
        <v/>
      </c>
      <c r="O119">
        <f>IF(AND(N119=1,ABS(L119)&gt;='Control Sheet'!$C$7,F119=1),1,0)</f>
        <v/>
      </c>
      <c r="P119">
        <f>IF($A119="","",IF(F119=0,"Zero Hours",IF(J119=1,"Explained: Paired transfer",IF(AND(G119=1,H119=0,J119=0),"Explained: Starter",IF(AND(H119=1,G119=0,J119=0),"Explained: Leaver",IF(O119=1,"Review required","OK"))))))</f>
        <v/>
      </c>
      <c r="Q119">
        <f>IF(AND(F119=1,OR(C119="",C119=0),H119=0,J119=0),1,0)</f>
        <v/>
      </c>
      <c r="R119">
        <f>IF(F119=0,0,IF(P119="Review required",1,IF(AND(P119="Explained: Starter",ISNUMBER(C119),C119&gt;=1500),1,0)))</f>
        <v/>
      </c>
      <c r="S119">
        <f>IF(R119=0,"",IF(Q119=1,"High",IF(AND(P119="Explained: Starter",C119&gt;=1500),"High",IF(ABS(L119)&gt;=2000,"High",IF(ABS(L119)&gt;=500,"Medium","Low")))))</f>
        <v/>
      </c>
      <c r="T119">
        <f>SUMIFS('Payment Breakdown Prior'!$S$15:$S$164,'Payment Breakdown Prior'!$AE$15:$AE$164,$A119)</f>
        <v/>
      </c>
      <c r="U119">
        <f>SUMIFS('Payment Breakdown Current'!$S$15:$S$164,'Payment Breakdown Current'!$AE$15:$AE$164,$A119)</f>
        <v/>
      </c>
      <c r="V119">
        <f>IFERROR((U119-T119)/T119,"")</f>
        <v/>
      </c>
      <c r="W119">
        <f>(SUMIFS('Payment Breakdown Current'!$S$15:$S$164,'Payment Breakdown Current'!$AE$15:$AE$164,$A119))-(SUMIFS('Payment Breakdown Prior'!$S$15:$S$164,'Payment Breakdown Prior'!$AE$15:$AE$164,$A119))</f>
        <v/>
      </c>
      <c r="X119">
        <f>(SUMIFS('Payment Breakdown Current'!$T$15:$T$164,'Payment Breakdown Current'!$AE$15:$AE$164,$A119))-(SUMIFS('Payment Breakdown Prior'!$T$15:$T$164,'Payment Breakdown Prior'!$AE$15:$AE$164,$A119))</f>
        <v/>
      </c>
      <c r="Y119">
        <f>(SUMIFS('Payment Breakdown Current'!$U$15:$U$164,'Payment Breakdown Current'!$AE$15:$AE$164,$A119))-(SUMIFS('Payment Breakdown Prior'!$U$15:$U$164,'Payment Breakdown Prior'!$AE$15:$AE$164,$A119))</f>
        <v/>
      </c>
      <c r="Z119">
        <f>(SUMIFS('Payment Breakdown Current'!$V$15:$V$164,'Payment Breakdown Current'!$AE$15:$AE$164,$A119))-(SUMIFS('Payment Breakdown Prior'!$V$15:$V$164,'Payment Breakdown Prior'!$AE$15:$AE$164,$A119))</f>
        <v/>
      </c>
      <c r="AA119">
        <f>(SUMIFS('Payment Breakdown Current'!$W$15:$W$164,'Payment Breakdown Current'!$AE$15:$AE$164,$A119))-(SUMIFS('Payment Breakdown Prior'!$W$15:$W$164,'Payment Breakdown Prior'!$AE$15:$AE$164,$A119))</f>
        <v/>
      </c>
      <c r="AB119">
        <f>(SUMIFS('Payment Breakdown Current'!$X$15:$X$164,'Payment Breakdown Current'!$AE$15:$AE$164,$A119))-(SUMIFS('Payment Breakdown Prior'!$X$15:$X$164,'Payment Breakdown Prior'!$AE$15:$AE$164,$A119))</f>
        <v/>
      </c>
      <c r="AC119">
        <f>(SUMIFS('Payment Breakdown Current'!$Y$15:$Y$164,'Payment Breakdown Current'!$AE$15:$AE$164,$A119))-(SUMIFS('Payment Breakdown Prior'!$Y$15:$Y$164,'Payment Breakdown Prior'!$AE$15:$AE$164,$A119))</f>
        <v/>
      </c>
      <c r="AD119">
        <f>(SUMIFS('Payment Breakdown Current'!$Z$15:$Z$164,'Payment Breakdown Current'!$AE$15:$AE$164,$A119))-(SUMIFS('Payment Breakdown Prior'!$Z$15:$Z$164,'Payment Breakdown Prior'!$AE$15:$AE$164,$A119))</f>
        <v/>
      </c>
      <c r="AE119">
        <f>(SUMIFS('Payment Breakdown Current'!$AA$15:$AA$164,'Payment Breakdown Current'!$AE$15:$AE$164,$A119))-(SUMIFS('Payment Breakdown Prior'!$AA$15:$AA$164,'Payment Breakdown Prior'!$AE$15:$AE$164,$A119))</f>
        <v/>
      </c>
      <c r="AF119">
        <f>(SUMIFS('Payment Breakdown Current'!$AB$15:$AB$164,'Payment Breakdown Current'!$AE$15:$AE$164,$A119))-(SUMIFS('Payment Breakdown Prior'!$AB$15:$AB$164,'Payment Breakdown Prior'!$AE$15:$AE$164,$A119))</f>
        <v/>
      </c>
      <c r="AG119">
        <f>(SUMIFS('Payment Breakdown Current'!$AC$15:$AC$164,'Payment Breakdown Current'!$AE$15:$AE$164,$A119))-(SUMIFS('Payment Breakdown Prior'!$AC$15:$AC$164,'Payment Breakdown Prior'!$AE$15:$AE$164,$A119))</f>
        <v/>
      </c>
      <c r="AH119">
        <f>(SUMIFS('Payment Breakdown Current'!$AD$15:$AD$164,'Payment Breakdown Current'!$AE$15:$AE$164,$A119))-(SUMIFS('Payment Breakdown Prior'!$AD$15:$AD$164,'Payment Breakdown Prior'!$AE$15:$AE$164,$A119))</f>
        <v/>
      </c>
      <c r="AI119">
        <f t="array" ref="AI119">MAX(ABS(W119:AH119))</f>
        <v/>
      </c>
      <c r="AJ119">
        <f t="array" ref="AJ119">IF(AI119&lt;0.005,"",IFERROR(INDEX($W$1:$AH$1,MATCH(AI119,ABS(W119:AH119),0)),""))</f>
        <v/>
      </c>
      <c r="AK119">
        <f t="array" ref="AK119">IF(AI119&lt;0.005,"",IFERROR(INDEX(W119:AH119,MATCH(AI119,ABS(W119:AH119),0)),""))</f>
        <v/>
      </c>
      <c r="AL119">
        <f>IF(R119=1,ABS(L119)-ROW()/100000000,"")</f>
        <v/>
      </c>
    </row>
    <row r="120">
      <c r="A120">
        <f>IF('NPV Comparison'!D133="","",'NPV Comparison'!D133)</f>
        <v/>
      </c>
      <c r="B120">
        <f>IF('NPV Comparison'!E133="","",'NPV Comparison'!E133)</f>
        <v/>
      </c>
      <c r="C120">
        <f>IF('NPV Comparison'!F133="","",'NPV Comparison'!F133)</f>
        <v/>
      </c>
      <c r="D120">
        <f>IF($A120="","",IFERROR(INDEX(Structure!$E$13:$E$312,MATCH($A120,Structure!$P$13:$P$312,0)),""))</f>
        <v/>
      </c>
      <c r="E120">
        <f>IF($A120="",0,IF(COUNTIF(Structure!$P$13:$P$312,$A120)=0,0,IF(COUNTIFS(Structure!$P$13:$P$312,$A120,Structure!$N$13:$N$312,"&lt;&gt;Zero Hours")=0,1,0)))</f>
        <v/>
      </c>
      <c r="F120">
        <f>IF($A120="",0,1-E120)</f>
        <v/>
      </c>
      <c r="G120">
        <f>IF($A120="",0,IF(COUNTIF('New Starters'!$D$14:$D$73,$A120)&gt;0,1,0))</f>
        <v/>
      </c>
      <c r="H120">
        <f>IF($A120="",0,IF(COUNTIF('Leavers'!$D$12:$D$71,$A120)&gt;0,1,0))</f>
        <v/>
      </c>
      <c r="I120">
        <f>IF($A120="","",IFERROR(INDEX('New Starters'!$K$14:$K$73,MATCH($A120,'New Starters'!$D$14:$D$73,0)),IFERROR(INDEX('Leavers'!$K$12:$K$71,MATCH($A120,'Leavers'!$D$12:$D$71,0)),"")))</f>
        <v/>
      </c>
      <c r="J120">
        <f>IF(AND(G120=1,I120&lt;&gt;"",COUNTIF('Leavers'!$K$12:$K$71,I120)&gt;0),1,IF(AND(H120=1,I120&lt;&gt;"",COUNTIF('New Starters'!$K$14:$K$73,I120)&gt;0),1,0))</f>
        <v/>
      </c>
      <c r="K120">
        <f>IF(ISNUMBER(SEARCH("Head Office",D120)),'Control Sheet'!$C$6,'Control Sheet'!$C$5)</f>
        <v/>
      </c>
      <c r="L120">
        <f>IF(OR($A120="",AND(B120="",C120="")),"",IF(B120="",C120,IF(C120="",-B120,C120-B120)))</f>
        <v/>
      </c>
      <c r="M120">
        <f>IFERROR(L120/B120,"")</f>
        <v/>
      </c>
      <c r="N120">
        <f>IF($A120="",0,IF(OR(B120="",C120="",C120=0,AND(ISNUMBER(M120),ABS(M120)&gt;K120)),1,0))</f>
        <v/>
      </c>
      <c r="O120">
        <f>IF(AND(N120=1,ABS(L120)&gt;='Control Sheet'!$C$7,F120=1),1,0)</f>
        <v/>
      </c>
      <c r="P120">
        <f>IF($A120="","",IF(F120=0,"Zero Hours",IF(J120=1,"Explained: Paired transfer",IF(AND(G120=1,H120=0,J120=0),"Explained: Starter",IF(AND(H120=1,G120=0,J120=0),"Explained: Leaver",IF(O120=1,"Review required","OK"))))))</f>
        <v/>
      </c>
      <c r="Q120">
        <f>IF(AND(F120=1,OR(C120="",C120=0),H120=0,J120=0),1,0)</f>
        <v/>
      </c>
      <c r="R120">
        <f>IF(F120=0,0,IF(P120="Review required",1,IF(AND(P120="Explained: Starter",ISNUMBER(C120),C120&gt;=1500),1,0)))</f>
        <v/>
      </c>
      <c r="S120">
        <f>IF(R120=0,"",IF(Q120=1,"High",IF(AND(P120="Explained: Starter",C120&gt;=1500),"High",IF(ABS(L120)&gt;=2000,"High",IF(ABS(L120)&gt;=500,"Medium","Low")))))</f>
        <v/>
      </c>
      <c r="T120">
        <f>SUMIFS('Payment Breakdown Prior'!$S$15:$S$164,'Payment Breakdown Prior'!$AE$15:$AE$164,$A120)</f>
        <v/>
      </c>
      <c r="U120">
        <f>SUMIFS('Payment Breakdown Current'!$S$15:$S$164,'Payment Breakdown Current'!$AE$15:$AE$164,$A120)</f>
        <v/>
      </c>
      <c r="V120">
        <f>IFERROR((U120-T120)/T120,"")</f>
        <v/>
      </c>
      <c r="W120">
        <f>(SUMIFS('Payment Breakdown Current'!$S$15:$S$164,'Payment Breakdown Current'!$AE$15:$AE$164,$A120))-(SUMIFS('Payment Breakdown Prior'!$S$15:$S$164,'Payment Breakdown Prior'!$AE$15:$AE$164,$A120))</f>
        <v/>
      </c>
      <c r="X120">
        <f>(SUMIFS('Payment Breakdown Current'!$T$15:$T$164,'Payment Breakdown Current'!$AE$15:$AE$164,$A120))-(SUMIFS('Payment Breakdown Prior'!$T$15:$T$164,'Payment Breakdown Prior'!$AE$15:$AE$164,$A120))</f>
        <v/>
      </c>
      <c r="Y120">
        <f>(SUMIFS('Payment Breakdown Current'!$U$15:$U$164,'Payment Breakdown Current'!$AE$15:$AE$164,$A120))-(SUMIFS('Payment Breakdown Prior'!$U$15:$U$164,'Payment Breakdown Prior'!$AE$15:$AE$164,$A120))</f>
        <v/>
      </c>
      <c r="Z120">
        <f>(SUMIFS('Payment Breakdown Current'!$V$15:$V$164,'Payment Breakdown Current'!$AE$15:$AE$164,$A120))-(SUMIFS('Payment Breakdown Prior'!$V$15:$V$164,'Payment Breakdown Prior'!$AE$15:$AE$164,$A120))</f>
        <v/>
      </c>
      <c r="AA120">
        <f>(SUMIFS('Payment Breakdown Current'!$W$15:$W$164,'Payment Breakdown Current'!$AE$15:$AE$164,$A120))-(SUMIFS('Payment Breakdown Prior'!$W$15:$W$164,'Payment Breakdown Prior'!$AE$15:$AE$164,$A120))</f>
        <v/>
      </c>
      <c r="AB120">
        <f>(SUMIFS('Payment Breakdown Current'!$X$15:$X$164,'Payment Breakdown Current'!$AE$15:$AE$164,$A120))-(SUMIFS('Payment Breakdown Prior'!$X$15:$X$164,'Payment Breakdown Prior'!$AE$15:$AE$164,$A120))</f>
        <v/>
      </c>
      <c r="AC120">
        <f>(SUMIFS('Payment Breakdown Current'!$Y$15:$Y$164,'Payment Breakdown Current'!$AE$15:$AE$164,$A120))-(SUMIFS('Payment Breakdown Prior'!$Y$15:$Y$164,'Payment Breakdown Prior'!$AE$15:$AE$164,$A120))</f>
        <v/>
      </c>
      <c r="AD120">
        <f>(SUMIFS('Payment Breakdown Current'!$Z$15:$Z$164,'Payment Breakdown Current'!$AE$15:$AE$164,$A120))-(SUMIFS('Payment Breakdown Prior'!$Z$15:$Z$164,'Payment Breakdown Prior'!$AE$15:$AE$164,$A120))</f>
        <v/>
      </c>
      <c r="AE120">
        <f>(SUMIFS('Payment Breakdown Current'!$AA$15:$AA$164,'Payment Breakdown Current'!$AE$15:$AE$164,$A120))-(SUMIFS('Payment Breakdown Prior'!$AA$15:$AA$164,'Payment Breakdown Prior'!$AE$15:$AE$164,$A120))</f>
        <v/>
      </c>
      <c r="AF120">
        <f>(SUMIFS('Payment Breakdown Current'!$AB$15:$AB$164,'Payment Breakdown Current'!$AE$15:$AE$164,$A120))-(SUMIFS('Payment Breakdown Prior'!$AB$15:$AB$164,'Payment Breakdown Prior'!$AE$15:$AE$164,$A120))</f>
        <v/>
      </c>
      <c r="AG120">
        <f>(SUMIFS('Payment Breakdown Current'!$AC$15:$AC$164,'Payment Breakdown Current'!$AE$15:$AE$164,$A120))-(SUMIFS('Payment Breakdown Prior'!$AC$15:$AC$164,'Payment Breakdown Prior'!$AE$15:$AE$164,$A120))</f>
        <v/>
      </c>
      <c r="AH120">
        <f>(SUMIFS('Payment Breakdown Current'!$AD$15:$AD$164,'Payment Breakdown Current'!$AE$15:$AE$164,$A120))-(SUMIFS('Payment Breakdown Prior'!$AD$15:$AD$164,'Payment Breakdown Prior'!$AE$15:$AE$164,$A120))</f>
        <v/>
      </c>
      <c r="AI120">
        <f t="array" ref="AI120">MAX(ABS(W120:AH120))</f>
        <v/>
      </c>
      <c r="AJ120">
        <f t="array" ref="AJ120">IF(AI120&lt;0.005,"",IFERROR(INDEX($W$1:$AH$1,MATCH(AI120,ABS(W120:AH120),0)),""))</f>
        <v/>
      </c>
      <c r="AK120">
        <f t="array" ref="AK120">IF(AI120&lt;0.005,"",IFERROR(INDEX(W120:AH120,MATCH(AI120,ABS(W120:AH120),0)),""))</f>
        <v/>
      </c>
      <c r="AL120">
        <f>IF(R120=1,ABS(L120)-ROW()/100000000,"")</f>
        <v/>
      </c>
    </row>
    <row r="121">
      <c r="A121">
        <f>IF('NPV Comparison'!D134="","",'NPV Comparison'!D134)</f>
        <v/>
      </c>
      <c r="B121">
        <f>IF('NPV Comparison'!E134="","",'NPV Comparison'!E134)</f>
        <v/>
      </c>
      <c r="C121">
        <f>IF('NPV Comparison'!F134="","",'NPV Comparison'!F134)</f>
        <v/>
      </c>
      <c r="D121">
        <f>IF($A121="","",IFERROR(INDEX(Structure!$E$13:$E$312,MATCH($A121,Structure!$P$13:$P$312,0)),""))</f>
        <v/>
      </c>
      <c r="E121">
        <f>IF($A121="",0,IF(COUNTIF(Structure!$P$13:$P$312,$A121)=0,0,IF(COUNTIFS(Structure!$P$13:$P$312,$A121,Structure!$N$13:$N$312,"&lt;&gt;Zero Hours")=0,1,0)))</f>
        <v/>
      </c>
      <c r="F121">
        <f>IF($A121="",0,1-E121)</f>
        <v/>
      </c>
      <c r="G121">
        <f>IF($A121="",0,IF(COUNTIF('New Starters'!$D$14:$D$73,$A121)&gt;0,1,0))</f>
        <v/>
      </c>
      <c r="H121">
        <f>IF($A121="",0,IF(COUNTIF('Leavers'!$D$12:$D$71,$A121)&gt;0,1,0))</f>
        <v/>
      </c>
      <c r="I121">
        <f>IF($A121="","",IFERROR(INDEX('New Starters'!$K$14:$K$73,MATCH($A121,'New Starters'!$D$14:$D$73,0)),IFERROR(INDEX('Leavers'!$K$12:$K$71,MATCH($A121,'Leavers'!$D$12:$D$71,0)),"")))</f>
        <v/>
      </c>
      <c r="J121">
        <f>IF(AND(G121=1,I121&lt;&gt;"",COUNTIF('Leavers'!$K$12:$K$71,I121)&gt;0),1,IF(AND(H121=1,I121&lt;&gt;"",COUNTIF('New Starters'!$K$14:$K$73,I121)&gt;0),1,0))</f>
        <v/>
      </c>
      <c r="K121">
        <f>IF(ISNUMBER(SEARCH("Head Office",D121)),'Control Sheet'!$C$6,'Control Sheet'!$C$5)</f>
        <v/>
      </c>
      <c r="L121">
        <f>IF(OR($A121="",AND(B121="",C121="")),"",IF(B121="",C121,IF(C121="",-B121,C121-B121)))</f>
        <v/>
      </c>
      <c r="M121">
        <f>IFERROR(L121/B121,"")</f>
        <v/>
      </c>
      <c r="N121">
        <f>IF($A121="",0,IF(OR(B121="",C121="",C121=0,AND(ISNUMBER(M121),ABS(M121)&gt;K121)),1,0))</f>
        <v/>
      </c>
      <c r="O121">
        <f>IF(AND(N121=1,ABS(L121)&gt;='Control Sheet'!$C$7,F121=1),1,0)</f>
        <v/>
      </c>
      <c r="P121">
        <f>IF($A121="","",IF(F121=0,"Zero Hours",IF(J121=1,"Explained: Paired transfer",IF(AND(G121=1,H121=0,J121=0),"Explained: Starter",IF(AND(H121=1,G121=0,J121=0),"Explained: Leaver",IF(O121=1,"Review required","OK"))))))</f>
        <v/>
      </c>
      <c r="Q121">
        <f>IF(AND(F121=1,OR(C121="",C121=0),H121=0,J121=0),1,0)</f>
        <v/>
      </c>
      <c r="R121">
        <f>IF(F121=0,0,IF(P121="Review required",1,IF(AND(P121="Explained: Starter",ISNUMBER(C121),C121&gt;=1500),1,0)))</f>
        <v/>
      </c>
      <c r="S121">
        <f>IF(R121=0,"",IF(Q121=1,"High",IF(AND(P121="Explained: Starter",C121&gt;=1500),"High",IF(ABS(L121)&gt;=2000,"High",IF(ABS(L121)&gt;=500,"Medium","Low")))))</f>
        <v/>
      </c>
      <c r="T121">
        <f>SUMIFS('Payment Breakdown Prior'!$S$15:$S$164,'Payment Breakdown Prior'!$AE$15:$AE$164,$A121)</f>
        <v/>
      </c>
      <c r="U121">
        <f>SUMIFS('Payment Breakdown Current'!$S$15:$S$164,'Payment Breakdown Current'!$AE$15:$AE$164,$A121)</f>
        <v/>
      </c>
      <c r="V121">
        <f>IFERROR((U121-T121)/T121,"")</f>
        <v/>
      </c>
      <c r="W121">
        <f>(SUMIFS('Payment Breakdown Current'!$S$15:$S$164,'Payment Breakdown Current'!$AE$15:$AE$164,$A121))-(SUMIFS('Payment Breakdown Prior'!$S$15:$S$164,'Payment Breakdown Prior'!$AE$15:$AE$164,$A121))</f>
        <v/>
      </c>
      <c r="X121">
        <f>(SUMIFS('Payment Breakdown Current'!$T$15:$T$164,'Payment Breakdown Current'!$AE$15:$AE$164,$A121))-(SUMIFS('Payment Breakdown Prior'!$T$15:$T$164,'Payment Breakdown Prior'!$AE$15:$AE$164,$A121))</f>
        <v/>
      </c>
      <c r="Y121">
        <f>(SUMIFS('Payment Breakdown Current'!$U$15:$U$164,'Payment Breakdown Current'!$AE$15:$AE$164,$A121))-(SUMIFS('Payment Breakdown Prior'!$U$15:$U$164,'Payment Breakdown Prior'!$AE$15:$AE$164,$A121))</f>
        <v/>
      </c>
      <c r="Z121">
        <f>(SUMIFS('Payment Breakdown Current'!$V$15:$V$164,'Payment Breakdown Current'!$AE$15:$AE$164,$A121))-(SUMIFS('Payment Breakdown Prior'!$V$15:$V$164,'Payment Breakdown Prior'!$AE$15:$AE$164,$A121))</f>
        <v/>
      </c>
      <c r="AA121">
        <f>(SUMIFS('Payment Breakdown Current'!$W$15:$W$164,'Payment Breakdown Current'!$AE$15:$AE$164,$A121))-(SUMIFS('Payment Breakdown Prior'!$W$15:$W$164,'Payment Breakdown Prior'!$AE$15:$AE$164,$A121))</f>
        <v/>
      </c>
      <c r="AB121">
        <f>(SUMIFS('Payment Breakdown Current'!$X$15:$X$164,'Payment Breakdown Current'!$AE$15:$AE$164,$A121))-(SUMIFS('Payment Breakdown Prior'!$X$15:$X$164,'Payment Breakdown Prior'!$AE$15:$AE$164,$A121))</f>
        <v/>
      </c>
      <c r="AC121">
        <f>(SUMIFS('Payment Breakdown Current'!$Y$15:$Y$164,'Payment Breakdown Current'!$AE$15:$AE$164,$A121))-(SUMIFS('Payment Breakdown Prior'!$Y$15:$Y$164,'Payment Breakdown Prior'!$AE$15:$AE$164,$A121))</f>
        <v/>
      </c>
      <c r="AD121">
        <f>(SUMIFS('Payment Breakdown Current'!$Z$15:$Z$164,'Payment Breakdown Current'!$AE$15:$AE$164,$A121))-(SUMIFS('Payment Breakdown Prior'!$Z$15:$Z$164,'Payment Breakdown Prior'!$AE$15:$AE$164,$A121))</f>
        <v/>
      </c>
      <c r="AE121">
        <f>(SUMIFS('Payment Breakdown Current'!$AA$15:$AA$164,'Payment Breakdown Current'!$AE$15:$AE$164,$A121))-(SUMIFS('Payment Breakdown Prior'!$AA$15:$AA$164,'Payment Breakdown Prior'!$AE$15:$AE$164,$A121))</f>
        <v/>
      </c>
      <c r="AF121">
        <f>(SUMIFS('Payment Breakdown Current'!$AB$15:$AB$164,'Payment Breakdown Current'!$AE$15:$AE$164,$A121))-(SUMIFS('Payment Breakdown Prior'!$AB$15:$AB$164,'Payment Breakdown Prior'!$AE$15:$AE$164,$A121))</f>
        <v/>
      </c>
      <c r="AG121">
        <f>(SUMIFS('Payment Breakdown Current'!$AC$15:$AC$164,'Payment Breakdown Current'!$AE$15:$AE$164,$A121))-(SUMIFS('Payment Breakdown Prior'!$AC$15:$AC$164,'Payment Breakdown Prior'!$AE$15:$AE$164,$A121))</f>
        <v/>
      </c>
      <c r="AH121">
        <f>(SUMIFS('Payment Breakdown Current'!$AD$15:$AD$164,'Payment Breakdown Current'!$AE$15:$AE$164,$A121))-(SUMIFS('Payment Breakdown Prior'!$AD$15:$AD$164,'Payment Breakdown Prior'!$AE$15:$AE$164,$A121))</f>
        <v/>
      </c>
      <c r="AI121">
        <f t="array" ref="AI121">MAX(ABS(W121:AH121))</f>
        <v/>
      </c>
      <c r="AJ121">
        <f t="array" ref="AJ121">IF(AI121&lt;0.005,"",IFERROR(INDEX($W$1:$AH$1,MATCH(AI121,ABS(W121:AH121),0)),""))</f>
        <v/>
      </c>
      <c r="AK121">
        <f t="array" ref="AK121">IF(AI121&lt;0.005,"",IFERROR(INDEX(W121:AH121,MATCH(AI121,ABS(W121:AH121),0)),""))</f>
        <v/>
      </c>
      <c r="AL121">
        <f>IF(R121=1,ABS(L121)-ROW()/100000000,"")</f>
        <v/>
      </c>
    </row>
    <row r="122">
      <c r="A122">
        <f>IF('NPV Comparison'!D135="","",'NPV Comparison'!D135)</f>
        <v/>
      </c>
      <c r="B122">
        <f>IF('NPV Comparison'!E135="","",'NPV Comparison'!E135)</f>
        <v/>
      </c>
      <c r="C122">
        <f>IF('NPV Comparison'!F135="","",'NPV Comparison'!F135)</f>
        <v/>
      </c>
      <c r="D122">
        <f>IF($A122="","",IFERROR(INDEX(Structure!$E$13:$E$312,MATCH($A122,Structure!$P$13:$P$312,0)),""))</f>
        <v/>
      </c>
      <c r="E122">
        <f>IF($A122="",0,IF(COUNTIF(Structure!$P$13:$P$312,$A122)=0,0,IF(COUNTIFS(Structure!$P$13:$P$312,$A122,Structure!$N$13:$N$312,"&lt;&gt;Zero Hours")=0,1,0)))</f>
        <v/>
      </c>
      <c r="F122">
        <f>IF($A122="",0,1-E122)</f>
        <v/>
      </c>
      <c r="G122">
        <f>IF($A122="",0,IF(COUNTIF('New Starters'!$D$14:$D$73,$A122)&gt;0,1,0))</f>
        <v/>
      </c>
      <c r="H122">
        <f>IF($A122="",0,IF(COUNTIF('Leavers'!$D$12:$D$71,$A122)&gt;0,1,0))</f>
        <v/>
      </c>
      <c r="I122">
        <f>IF($A122="","",IFERROR(INDEX('New Starters'!$K$14:$K$73,MATCH($A122,'New Starters'!$D$14:$D$73,0)),IFERROR(INDEX('Leavers'!$K$12:$K$71,MATCH($A122,'Leavers'!$D$12:$D$71,0)),"")))</f>
        <v/>
      </c>
      <c r="J122">
        <f>IF(AND(G122=1,I122&lt;&gt;"",COUNTIF('Leavers'!$K$12:$K$71,I122)&gt;0),1,IF(AND(H122=1,I122&lt;&gt;"",COUNTIF('New Starters'!$K$14:$K$73,I122)&gt;0),1,0))</f>
        <v/>
      </c>
      <c r="K122">
        <f>IF(ISNUMBER(SEARCH("Head Office",D122)),'Control Sheet'!$C$6,'Control Sheet'!$C$5)</f>
        <v/>
      </c>
      <c r="L122">
        <f>IF(OR($A122="",AND(B122="",C122="")),"",IF(B122="",C122,IF(C122="",-B122,C122-B122)))</f>
        <v/>
      </c>
      <c r="M122">
        <f>IFERROR(L122/B122,"")</f>
        <v/>
      </c>
      <c r="N122">
        <f>IF($A122="",0,IF(OR(B122="",C122="",C122=0,AND(ISNUMBER(M122),ABS(M122)&gt;K122)),1,0))</f>
        <v/>
      </c>
      <c r="O122">
        <f>IF(AND(N122=1,ABS(L122)&gt;='Control Sheet'!$C$7,F122=1),1,0)</f>
        <v/>
      </c>
      <c r="P122">
        <f>IF($A122="","",IF(F122=0,"Zero Hours",IF(J122=1,"Explained: Paired transfer",IF(AND(G122=1,H122=0,J122=0),"Explained: Starter",IF(AND(H122=1,G122=0,J122=0),"Explained: Leaver",IF(O122=1,"Review required","OK"))))))</f>
        <v/>
      </c>
      <c r="Q122">
        <f>IF(AND(F122=1,OR(C122="",C122=0),H122=0,J122=0),1,0)</f>
        <v/>
      </c>
      <c r="R122">
        <f>IF(F122=0,0,IF(P122="Review required",1,IF(AND(P122="Explained: Starter",ISNUMBER(C122),C122&gt;=1500),1,0)))</f>
        <v/>
      </c>
      <c r="S122">
        <f>IF(R122=0,"",IF(Q122=1,"High",IF(AND(P122="Explained: Starter",C122&gt;=1500),"High",IF(ABS(L122)&gt;=2000,"High",IF(ABS(L122)&gt;=500,"Medium","Low")))))</f>
        <v/>
      </c>
      <c r="T122">
        <f>SUMIFS('Payment Breakdown Prior'!$S$15:$S$164,'Payment Breakdown Prior'!$AE$15:$AE$164,$A122)</f>
        <v/>
      </c>
      <c r="U122">
        <f>SUMIFS('Payment Breakdown Current'!$S$15:$S$164,'Payment Breakdown Current'!$AE$15:$AE$164,$A122)</f>
        <v/>
      </c>
      <c r="V122">
        <f>IFERROR((U122-T122)/T122,"")</f>
        <v/>
      </c>
      <c r="W122">
        <f>(SUMIFS('Payment Breakdown Current'!$S$15:$S$164,'Payment Breakdown Current'!$AE$15:$AE$164,$A122))-(SUMIFS('Payment Breakdown Prior'!$S$15:$S$164,'Payment Breakdown Prior'!$AE$15:$AE$164,$A122))</f>
        <v/>
      </c>
      <c r="X122">
        <f>(SUMIFS('Payment Breakdown Current'!$T$15:$T$164,'Payment Breakdown Current'!$AE$15:$AE$164,$A122))-(SUMIFS('Payment Breakdown Prior'!$T$15:$T$164,'Payment Breakdown Prior'!$AE$15:$AE$164,$A122))</f>
        <v/>
      </c>
      <c r="Y122">
        <f>(SUMIFS('Payment Breakdown Current'!$U$15:$U$164,'Payment Breakdown Current'!$AE$15:$AE$164,$A122))-(SUMIFS('Payment Breakdown Prior'!$U$15:$U$164,'Payment Breakdown Prior'!$AE$15:$AE$164,$A122))</f>
        <v/>
      </c>
      <c r="Z122">
        <f>(SUMIFS('Payment Breakdown Current'!$V$15:$V$164,'Payment Breakdown Current'!$AE$15:$AE$164,$A122))-(SUMIFS('Payment Breakdown Prior'!$V$15:$V$164,'Payment Breakdown Prior'!$AE$15:$AE$164,$A122))</f>
        <v/>
      </c>
      <c r="AA122">
        <f>(SUMIFS('Payment Breakdown Current'!$W$15:$W$164,'Payment Breakdown Current'!$AE$15:$AE$164,$A122))-(SUMIFS('Payment Breakdown Prior'!$W$15:$W$164,'Payment Breakdown Prior'!$AE$15:$AE$164,$A122))</f>
        <v/>
      </c>
      <c r="AB122">
        <f>(SUMIFS('Payment Breakdown Current'!$X$15:$X$164,'Payment Breakdown Current'!$AE$15:$AE$164,$A122))-(SUMIFS('Payment Breakdown Prior'!$X$15:$X$164,'Payment Breakdown Prior'!$AE$15:$AE$164,$A122))</f>
        <v/>
      </c>
      <c r="AC122">
        <f>(SUMIFS('Payment Breakdown Current'!$Y$15:$Y$164,'Payment Breakdown Current'!$AE$15:$AE$164,$A122))-(SUMIFS('Payment Breakdown Prior'!$Y$15:$Y$164,'Payment Breakdown Prior'!$AE$15:$AE$164,$A122))</f>
        <v/>
      </c>
      <c r="AD122">
        <f>(SUMIFS('Payment Breakdown Current'!$Z$15:$Z$164,'Payment Breakdown Current'!$AE$15:$AE$164,$A122))-(SUMIFS('Payment Breakdown Prior'!$Z$15:$Z$164,'Payment Breakdown Prior'!$AE$15:$AE$164,$A122))</f>
        <v/>
      </c>
      <c r="AE122">
        <f>(SUMIFS('Payment Breakdown Current'!$AA$15:$AA$164,'Payment Breakdown Current'!$AE$15:$AE$164,$A122))-(SUMIFS('Payment Breakdown Prior'!$AA$15:$AA$164,'Payment Breakdown Prior'!$AE$15:$AE$164,$A122))</f>
        <v/>
      </c>
      <c r="AF122">
        <f>(SUMIFS('Payment Breakdown Current'!$AB$15:$AB$164,'Payment Breakdown Current'!$AE$15:$AE$164,$A122))-(SUMIFS('Payment Breakdown Prior'!$AB$15:$AB$164,'Payment Breakdown Prior'!$AE$15:$AE$164,$A122))</f>
        <v/>
      </c>
      <c r="AG122">
        <f>(SUMIFS('Payment Breakdown Current'!$AC$15:$AC$164,'Payment Breakdown Current'!$AE$15:$AE$164,$A122))-(SUMIFS('Payment Breakdown Prior'!$AC$15:$AC$164,'Payment Breakdown Prior'!$AE$15:$AE$164,$A122))</f>
        <v/>
      </c>
      <c r="AH122">
        <f>(SUMIFS('Payment Breakdown Current'!$AD$15:$AD$164,'Payment Breakdown Current'!$AE$15:$AE$164,$A122))-(SUMIFS('Payment Breakdown Prior'!$AD$15:$AD$164,'Payment Breakdown Prior'!$AE$15:$AE$164,$A122))</f>
        <v/>
      </c>
      <c r="AI122">
        <f t="array" ref="AI122">MAX(ABS(W122:AH122))</f>
        <v/>
      </c>
      <c r="AJ122">
        <f t="array" ref="AJ122">IF(AI122&lt;0.005,"",IFERROR(INDEX($W$1:$AH$1,MATCH(AI122,ABS(W122:AH122),0)),""))</f>
        <v/>
      </c>
      <c r="AK122">
        <f t="array" ref="AK122">IF(AI122&lt;0.005,"",IFERROR(INDEX(W122:AH122,MATCH(AI122,ABS(W122:AH122),0)),""))</f>
        <v/>
      </c>
      <c r="AL122">
        <f>IF(R122=1,ABS(L122)-ROW()/100000000,"")</f>
        <v/>
      </c>
    </row>
    <row r="123">
      <c r="A123">
        <f>IF('NPV Comparison'!D136="","",'NPV Comparison'!D136)</f>
        <v/>
      </c>
      <c r="B123">
        <f>IF('NPV Comparison'!E136="","",'NPV Comparison'!E136)</f>
        <v/>
      </c>
      <c r="C123">
        <f>IF('NPV Comparison'!F136="","",'NPV Comparison'!F136)</f>
        <v/>
      </c>
      <c r="D123">
        <f>IF($A123="","",IFERROR(INDEX(Structure!$E$13:$E$312,MATCH($A123,Structure!$P$13:$P$312,0)),""))</f>
        <v/>
      </c>
      <c r="E123">
        <f>IF($A123="",0,IF(COUNTIF(Structure!$P$13:$P$312,$A123)=0,0,IF(COUNTIFS(Structure!$P$13:$P$312,$A123,Structure!$N$13:$N$312,"&lt;&gt;Zero Hours")=0,1,0)))</f>
        <v/>
      </c>
      <c r="F123">
        <f>IF($A123="",0,1-E123)</f>
        <v/>
      </c>
      <c r="G123">
        <f>IF($A123="",0,IF(COUNTIF('New Starters'!$D$14:$D$73,$A123)&gt;0,1,0))</f>
        <v/>
      </c>
      <c r="H123">
        <f>IF($A123="",0,IF(COUNTIF('Leavers'!$D$12:$D$71,$A123)&gt;0,1,0))</f>
        <v/>
      </c>
      <c r="I123">
        <f>IF($A123="","",IFERROR(INDEX('New Starters'!$K$14:$K$73,MATCH($A123,'New Starters'!$D$14:$D$73,0)),IFERROR(INDEX('Leavers'!$K$12:$K$71,MATCH($A123,'Leavers'!$D$12:$D$71,0)),"")))</f>
        <v/>
      </c>
      <c r="J123">
        <f>IF(AND(G123=1,I123&lt;&gt;"",COUNTIF('Leavers'!$K$12:$K$71,I123)&gt;0),1,IF(AND(H123=1,I123&lt;&gt;"",COUNTIF('New Starters'!$K$14:$K$73,I123)&gt;0),1,0))</f>
        <v/>
      </c>
      <c r="K123">
        <f>IF(ISNUMBER(SEARCH("Head Office",D123)),'Control Sheet'!$C$6,'Control Sheet'!$C$5)</f>
        <v/>
      </c>
      <c r="L123">
        <f>IF(OR($A123="",AND(B123="",C123="")),"",IF(B123="",C123,IF(C123="",-B123,C123-B123)))</f>
        <v/>
      </c>
      <c r="M123">
        <f>IFERROR(L123/B123,"")</f>
        <v/>
      </c>
      <c r="N123">
        <f>IF($A123="",0,IF(OR(B123="",C123="",C123=0,AND(ISNUMBER(M123),ABS(M123)&gt;K123)),1,0))</f>
        <v/>
      </c>
      <c r="O123">
        <f>IF(AND(N123=1,ABS(L123)&gt;='Control Sheet'!$C$7,F123=1),1,0)</f>
        <v/>
      </c>
      <c r="P123">
        <f>IF($A123="","",IF(F123=0,"Zero Hours",IF(J123=1,"Explained: Paired transfer",IF(AND(G123=1,H123=0,J123=0),"Explained: Starter",IF(AND(H123=1,G123=0,J123=0),"Explained: Leaver",IF(O123=1,"Review required","OK"))))))</f>
        <v/>
      </c>
      <c r="Q123">
        <f>IF(AND(F123=1,OR(C123="",C123=0),H123=0,J123=0),1,0)</f>
        <v/>
      </c>
      <c r="R123">
        <f>IF(F123=0,0,IF(P123="Review required",1,IF(AND(P123="Explained: Starter",ISNUMBER(C123),C123&gt;=1500),1,0)))</f>
        <v/>
      </c>
      <c r="S123">
        <f>IF(R123=0,"",IF(Q123=1,"High",IF(AND(P123="Explained: Starter",C123&gt;=1500),"High",IF(ABS(L123)&gt;=2000,"High",IF(ABS(L123)&gt;=500,"Medium","Low")))))</f>
        <v/>
      </c>
      <c r="T123">
        <f>SUMIFS('Payment Breakdown Prior'!$S$15:$S$164,'Payment Breakdown Prior'!$AE$15:$AE$164,$A123)</f>
        <v/>
      </c>
      <c r="U123">
        <f>SUMIFS('Payment Breakdown Current'!$S$15:$S$164,'Payment Breakdown Current'!$AE$15:$AE$164,$A123)</f>
        <v/>
      </c>
      <c r="V123">
        <f>IFERROR((U123-T123)/T123,"")</f>
        <v/>
      </c>
      <c r="W123">
        <f>(SUMIFS('Payment Breakdown Current'!$S$15:$S$164,'Payment Breakdown Current'!$AE$15:$AE$164,$A123))-(SUMIFS('Payment Breakdown Prior'!$S$15:$S$164,'Payment Breakdown Prior'!$AE$15:$AE$164,$A123))</f>
        <v/>
      </c>
      <c r="X123">
        <f>(SUMIFS('Payment Breakdown Current'!$T$15:$T$164,'Payment Breakdown Current'!$AE$15:$AE$164,$A123))-(SUMIFS('Payment Breakdown Prior'!$T$15:$T$164,'Payment Breakdown Prior'!$AE$15:$AE$164,$A123))</f>
        <v/>
      </c>
      <c r="Y123">
        <f>(SUMIFS('Payment Breakdown Current'!$U$15:$U$164,'Payment Breakdown Current'!$AE$15:$AE$164,$A123))-(SUMIFS('Payment Breakdown Prior'!$U$15:$U$164,'Payment Breakdown Prior'!$AE$15:$AE$164,$A123))</f>
        <v/>
      </c>
      <c r="Z123">
        <f>(SUMIFS('Payment Breakdown Current'!$V$15:$V$164,'Payment Breakdown Current'!$AE$15:$AE$164,$A123))-(SUMIFS('Payment Breakdown Prior'!$V$15:$V$164,'Payment Breakdown Prior'!$AE$15:$AE$164,$A123))</f>
        <v/>
      </c>
      <c r="AA123">
        <f>(SUMIFS('Payment Breakdown Current'!$W$15:$W$164,'Payment Breakdown Current'!$AE$15:$AE$164,$A123))-(SUMIFS('Payment Breakdown Prior'!$W$15:$W$164,'Payment Breakdown Prior'!$AE$15:$AE$164,$A123))</f>
        <v/>
      </c>
      <c r="AB123">
        <f>(SUMIFS('Payment Breakdown Current'!$X$15:$X$164,'Payment Breakdown Current'!$AE$15:$AE$164,$A123))-(SUMIFS('Payment Breakdown Prior'!$X$15:$X$164,'Payment Breakdown Prior'!$AE$15:$AE$164,$A123))</f>
        <v/>
      </c>
      <c r="AC123">
        <f>(SUMIFS('Payment Breakdown Current'!$Y$15:$Y$164,'Payment Breakdown Current'!$AE$15:$AE$164,$A123))-(SUMIFS('Payment Breakdown Prior'!$Y$15:$Y$164,'Payment Breakdown Prior'!$AE$15:$AE$164,$A123))</f>
        <v/>
      </c>
      <c r="AD123">
        <f>(SUMIFS('Payment Breakdown Current'!$Z$15:$Z$164,'Payment Breakdown Current'!$AE$15:$AE$164,$A123))-(SUMIFS('Payment Breakdown Prior'!$Z$15:$Z$164,'Payment Breakdown Prior'!$AE$15:$AE$164,$A123))</f>
        <v/>
      </c>
      <c r="AE123">
        <f>(SUMIFS('Payment Breakdown Current'!$AA$15:$AA$164,'Payment Breakdown Current'!$AE$15:$AE$164,$A123))-(SUMIFS('Payment Breakdown Prior'!$AA$15:$AA$164,'Payment Breakdown Prior'!$AE$15:$AE$164,$A123))</f>
        <v/>
      </c>
      <c r="AF123">
        <f>(SUMIFS('Payment Breakdown Current'!$AB$15:$AB$164,'Payment Breakdown Current'!$AE$15:$AE$164,$A123))-(SUMIFS('Payment Breakdown Prior'!$AB$15:$AB$164,'Payment Breakdown Prior'!$AE$15:$AE$164,$A123))</f>
        <v/>
      </c>
      <c r="AG123">
        <f>(SUMIFS('Payment Breakdown Current'!$AC$15:$AC$164,'Payment Breakdown Current'!$AE$15:$AE$164,$A123))-(SUMIFS('Payment Breakdown Prior'!$AC$15:$AC$164,'Payment Breakdown Prior'!$AE$15:$AE$164,$A123))</f>
        <v/>
      </c>
      <c r="AH123">
        <f>(SUMIFS('Payment Breakdown Current'!$AD$15:$AD$164,'Payment Breakdown Current'!$AE$15:$AE$164,$A123))-(SUMIFS('Payment Breakdown Prior'!$AD$15:$AD$164,'Payment Breakdown Prior'!$AE$15:$AE$164,$A123))</f>
        <v/>
      </c>
      <c r="AI123">
        <f t="array" ref="AI123">MAX(ABS(W123:AH123))</f>
        <v/>
      </c>
      <c r="AJ123">
        <f t="array" ref="AJ123">IF(AI123&lt;0.005,"",IFERROR(INDEX($W$1:$AH$1,MATCH(AI123,ABS(W123:AH123),0)),""))</f>
        <v/>
      </c>
      <c r="AK123">
        <f t="array" ref="AK123">IF(AI123&lt;0.005,"",IFERROR(INDEX(W123:AH123,MATCH(AI123,ABS(W123:AH123),0)),""))</f>
        <v/>
      </c>
      <c r="AL123">
        <f>IF(R123=1,ABS(L123)-ROW()/100000000,"")</f>
        <v/>
      </c>
    </row>
    <row r="124">
      <c r="A124">
        <f>IF('NPV Comparison'!D137="","",'NPV Comparison'!D137)</f>
        <v/>
      </c>
      <c r="B124">
        <f>IF('NPV Comparison'!E137="","",'NPV Comparison'!E137)</f>
        <v/>
      </c>
      <c r="C124">
        <f>IF('NPV Comparison'!F137="","",'NPV Comparison'!F137)</f>
        <v/>
      </c>
      <c r="D124">
        <f>IF($A124="","",IFERROR(INDEX(Structure!$E$13:$E$312,MATCH($A124,Structure!$P$13:$P$312,0)),""))</f>
        <v/>
      </c>
      <c r="E124">
        <f>IF($A124="",0,IF(COUNTIF(Structure!$P$13:$P$312,$A124)=0,0,IF(COUNTIFS(Structure!$P$13:$P$312,$A124,Structure!$N$13:$N$312,"&lt;&gt;Zero Hours")=0,1,0)))</f>
        <v/>
      </c>
      <c r="F124">
        <f>IF($A124="",0,1-E124)</f>
        <v/>
      </c>
      <c r="G124">
        <f>IF($A124="",0,IF(COUNTIF('New Starters'!$D$14:$D$73,$A124)&gt;0,1,0))</f>
        <v/>
      </c>
      <c r="H124">
        <f>IF($A124="",0,IF(COUNTIF('Leavers'!$D$12:$D$71,$A124)&gt;0,1,0))</f>
        <v/>
      </c>
      <c r="I124">
        <f>IF($A124="","",IFERROR(INDEX('New Starters'!$K$14:$K$73,MATCH($A124,'New Starters'!$D$14:$D$73,0)),IFERROR(INDEX('Leavers'!$K$12:$K$71,MATCH($A124,'Leavers'!$D$12:$D$71,0)),"")))</f>
        <v/>
      </c>
      <c r="J124">
        <f>IF(AND(G124=1,I124&lt;&gt;"",COUNTIF('Leavers'!$K$12:$K$71,I124)&gt;0),1,IF(AND(H124=1,I124&lt;&gt;"",COUNTIF('New Starters'!$K$14:$K$73,I124)&gt;0),1,0))</f>
        <v/>
      </c>
      <c r="K124">
        <f>IF(ISNUMBER(SEARCH("Head Office",D124)),'Control Sheet'!$C$6,'Control Sheet'!$C$5)</f>
        <v/>
      </c>
      <c r="L124">
        <f>IF(OR($A124="",AND(B124="",C124="")),"",IF(B124="",C124,IF(C124="",-B124,C124-B124)))</f>
        <v/>
      </c>
      <c r="M124">
        <f>IFERROR(L124/B124,"")</f>
        <v/>
      </c>
      <c r="N124">
        <f>IF($A124="",0,IF(OR(B124="",C124="",C124=0,AND(ISNUMBER(M124),ABS(M124)&gt;K124)),1,0))</f>
        <v/>
      </c>
      <c r="O124">
        <f>IF(AND(N124=1,ABS(L124)&gt;='Control Sheet'!$C$7,F124=1),1,0)</f>
        <v/>
      </c>
      <c r="P124">
        <f>IF($A124="","",IF(F124=0,"Zero Hours",IF(J124=1,"Explained: Paired transfer",IF(AND(G124=1,H124=0,J124=0),"Explained: Starter",IF(AND(H124=1,G124=0,J124=0),"Explained: Leaver",IF(O124=1,"Review required","OK"))))))</f>
        <v/>
      </c>
      <c r="Q124">
        <f>IF(AND(F124=1,OR(C124="",C124=0),H124=0,J124=0),1,0)</f>
        <v/>
      </c>
      <c r="R124">
        <f>IF(F124=0,0,IF(P124="Review required",1,IF(AND(P124="Explained: Starter",ISNUMBER(C124),C124&gt;=1500),1,0)))</f>
        <v/>
      </c>
      <c r="S124">
        <f>IF(R124=0,"",IF(Q124=1,"High",IF(AND(P124="Explained: Starter",C124&gt;=1500),"High",IF(ABS(L124)&gt;=2000,"High",IF(ABS(L124)&gt;=500,"Medium","Low")))))</f>
        <v/>
      </c>
      <c r="T124">
        <f>SUMIFS('Payment Breakdown Prior'!$S$15:$S$164,'Payment Breakdown Prior'!$AE$15:$AE$164,$A124)</f>
        <v/>
      </c>
      <c r="U124">
        <f>SUMIFS('Payment Breakdown Current'!$S$15:$S$164,'Payment Breakdown Current'!$AE$15:$AE$164,$A124)</f>
        <v/>
      </c>
      <c r="V124">
        <f>IFERROR((U124-T124)/T124,"")</f>
        <v/>
      </c>
      <c r="W124">
        <f>(SUMIFS('Payment Breakdown Current'!$S$15:$S$164,'Payment Breakdown Current'!$AE$15:$AE$164,$A124))-(SUMIFS('Payment Breakdown Prior'!$S$15:$S$164,'Payment Breakdown Prior'!$AE$15:$AE$164,$A124))</f>
        <v/>
      </c>
      <c r="X124">
        <f>(SUMIFS('Payment Breakdown Current'!$T$15:$T$164,'Payment Breakdown Current'!$AE$15:$AE$164,$A124))-(SUMIFS('Payment Breakdown Prior'!$T$15:$T$164,'Payment Breakdown Prior'!$AE$15:$AE$164,$A124))</f>
        <v/>
      </c>
      <c r="Y124">
        <f>(SUMIFS('Payment Breakdown Current'!$U$15:$U$164,'Payment Breakdown Current'!$AE$15:$AE$164,$A124))-(SUMIFS('Payment Breakdown Prior'!$U$15:$U$164,'Payment Breakdown Prior'!$AE$15:$AE$164,$A124))</f>
        <v/>
      </c>
      <c r="Z124">
        <f>(SUMIFS('Payment Breakdown Current'!$V$15:$V$164,'Payment Breakdown Current'!$AE$15:$AE$164,$A124))-(SUMIFS('Payment Breakdown Prior'!$V$15:$V$164,'Payment Breakdown Prior'!$AE$15:$AE$164,$A124))</f>
        <v/>
      </c>
      <c r="AA124">
        <f>(SUMIFS('Payment Breakdown Current'!$W$15:$W$164,'Payment Breakdown Current'!$AE$15:$AE$164,$A124))-(SUMIFS('Payment Breakdown Prior'!$W$15:$W$164,'Payment Breakdown Prior'!$AE$15:$AE$164,$A124))</f>
        <v/>
      </c>
      <c r="AB124">
        <f>(SUMIFS('Payment Breakdown Current'!$X$15:$X$164,'Payment Breakdown Current'!$AE$15:$AE$164,$A124))-(SUMIFS('Payment Breakdown Prior'!$X$15:$X$164,'Payment Breakdown Prior'!$AE$15:$AE$164,$A124))</f>
        <v/>
      </c>
      <c r="AC124">
        <f>(SUMIFS('Payment Breakdown Current'!$Y$15:$Y$164,'Payment Breakdown Current'!$AE$15:$AE$164,$A124))-(SUMIFS('Payment Breakdown Prior'!$Y$15:$Y$164,'Payment Breakdown Prior'!$AE$15:$AE$164,$A124))</f>
        <v/>
      </c>
      <c r="AD124">
        <f>(SUMIFS('Payment Breakdown Current'!$Z$15:$Z$164,'Payment Breakdown Current'!$AE$15:$AE$164,$A124))-(SUMIFS('Payment Breakdown Prior'!$Z$15:$Z$164,'Payment Breakdown Prior'!$AE$15:$AE$164,$A124))</f>
        <v/>
      </c>
      <c r="AE124">
        <f>(SUMIFS('Payment Breakdown Current'!$AA$15:$AA$164,'Payment Breakdown Current'!$AE$15:$AE$164,$A124))-(SUMIFS('Payment Breakdown Prior'!$AA$15:$AA$164,'Payment Breakdown Prior'!$AE$15:$AE$164,$A124))</f>
        <v/>
      </c>
      <c r="AF124">
        <f>(SUMIFS('Payment Breakdown Current'!$AB$15:$AB$164,'Payment Breakdown Current'!$AE$15:$AE$164,$A124))-(SUMIFS('Payment Breakdown Prior'!$AB$15:$AB$164,'Payment Breakdown Prior'!$AE$15:$AE$164,$A124))</f>
        <v/>
      </c>
      <c r="AG124">
        <f>(SUMIFS('Payment Breakdown Current'!$AC$15:$AC$164,'Payment Breakdown Current'!$AE$15:$AE$164,$A124))-(SUMIFS('Payment Breakdown Prior'!$AC$15:$AC$164,'Payment Breakdown Prior'!$AE$15:$AE$164,$A124))</f>
        <v/>
      </c>
      <c r="AH124">
        <f>(SUMIFS('Payment Breakdown Current'!$AD$15:$AD$164,'Payment Breakdown Current'!$AE$15:$AE$164,$A124))-(SUMIFS('Payment Breakdown Prior'!$AD$15:$AD$164,'Payment Breakdown Prior'!$AE$15:$AE$164,$A124))</f>
        <v/>
      </c>
      <c r="AI124">
        <f t="array" ref="AI124">MAX(ABS(W124:AH124))</f>
        <v/>
      </c>
      <c r="AJ124">
        <f t="array" ref="AJ124">IF(AI124&lt;0.005,"",IFERROR(INDEX($W$1:$AH$1,MATCH(AI124,ABS(W124:AH124),0)),""))</f>
        <v/>
      </c>
      <c r="AK124">
        <f t="array" ref="AK124">IF(AI124&lt;0.005,"",IFERROR(INDEX(W124:AH124,MATCH(AI124,ABS(W124:AH124),0)),""))</f>
        <v/>
      </c>
      <c r="AL124">
        <f>IF(R124=1,ABS(L124)-ROW()/100000000,"")</f>
        <v/>
      </c>
    </row>
    <row r="125">
      <c r="A125">
        <f>IF('NPV Comparison'!D138="","",'NPV Comparison'!D138)</f>
        <v/>
      </c>
      <c r="B125">
        <f>IF('NPV Comparison'!E138="","",'NPV Comparison'!E138)</f>
        <v/>
      </c>
      <c r="C125">
        <f>IF('NPV Comparison'!F138="","",'NPV Comparison'!F138)</f>
        <v/>
      </c>
      <c r="D125">
        <f>IF($A125="","",IFERROR(INDEX(Structure!$E$13:$E$312,MATCH($A125,Structure!$P$13:$P$312,0)),""))</f>
        <v/>
      </c>
      <c r="E125">
        <f>IF($A125="",0,IF(COUNTIF(Structure!$P$13:$P$312,$A125)=0,0,IF(COUNTIFS(Structure!$P$13:$P$312,$A125,Structure!$N$13:$N$312,"&lt;&gt;Zero Hours")=0,1,0)))</f>
        <v/>
      </c>
      <c r="F125">
        <f>IF($A125="",0,1-E125)</f>
        <v/>
      </c>
      <c r="G125">
        <f>IF($A125="",0,IF(COUNTIF('New Starters'!$D$14:$D$73,$A125)&gt;0,1,0))</f>
        <v/>
      </c>
      <c r="H125">
        <f>IF($A125="",0,IF(COUNTIF('Leavers'!$D$12:$D$71,$A125)&gt;0,1,0))</f>
        <v/>
      </c>
      <c r="I125">
        <f>IF($A125="","",IFERROR(INDEX('New Starters'!$K$14:$K$73,MATCH($A125,'New Starters'!$D$14:$D$73,0)),IFERROR(INDEX('Leavers'!$K$12:$K$71,MATCH($A125,'Leavers'!$D$12:$D$71,0)),"")))</f>
        <v/>
      </c>
      <c r="J125">
        <f>IF(AND(G125=1,I125&lt;&gt;"",COUNTIF('Leavers'!$K$12:$K$71,I125)&gt;0),1,IF(AND(H125=1,I125&lt;&gt;"",COUNTIF('New Starters'!$K$14:$K$73,I125)&gt;0),1,0))</f>
        <v/>
      </c>
      <c r="K125">
        <f>IF(ISNUMBER(SEARCH("Head Office",D125)),'Control Sheet'!$C$6,'Control Sheet'!$C$5)</f>
        <v/>
      </c>
      <c r="L125">
        <f>IF(OR($A125="",AND(B125="",C125="")),"",IF(B125="",C125,IF(C125="",-B125,C125-B125)))</f>
        <v/>
      </c>
      <c r="M125">
        <f>IFERROR(L125/B125,"")</f>
        <v/>
      </c>
      <c r="N125">
        <f>IF($A125="",0,IF(OR(B125="",C125="",C125=0,AND(ISNUMBER(M125),ABS(M125)&gt;K125)),1,0))</f>
        <v/>
      </c>
      <c r="O125">
        <f>IF(AND(N125=1,ABS(L125)&gt;='Control Sheet'!$C$7,F125=1),1,0)</f>
        <v/>
      </c>
      <c r="P125">
        <f>IF($A125="","",IF(F125=0,"Zero Hours",IF(J125=1,"Explained: Paired transfer",IF(AND(G125=1,H125=0,J125=0),"Explained: Starter",IF(AND(H125=1,G125=0,J125=0),"Explained: Leaver",IF(O125=1,"Review required","OK"))))))</f>
        <v/>
      </c>
      <c r="Q125">
        <f>IF(AND(F125=1,OR(C125="",C125=0),H125=0,J125=0),1,0)</f>
        <v/>
      </c>
      <c r="R125">
        <f>IF(F125=0,0,IF(P125="Review required",1,IF(AND(P125="Explained: Starter",ISNUMBER(C125),C125&gt;=1500),1,0)))</f>
        <v/>
      </c>
      <c r="S125">
        <f>IF(R125=0,"",IF(Q125=1,"High",IF(AND(P125="Explained: Starter",C125&gt;=1500),"High",IF(ABS(L125)&gt;=2000,"High",IF(ABS(L125)&gt;=500,"Medium","Low")))))</f>
        <v/>
      </c>
      <c r="T125">
        <f>SUMIFS('Payment Breakdown Prior'!$S$15:$S$164,'Payment Breakdown Prior'!$AE$15:$AE$164,$A125)</f>
        <v/>
      </c>
      <c r="U125">
        <f>SUMIFS('Payment Breakdown Current'!$S$15:$S$164,'Payment Breakdown Current'!$AE$15:$AE$164,$A125)</f>
        <v/>
      </c>
      <c r="V125">
        <f>IFERROR((U125-T125)/T125,"")</f>
        <v/>
      </c>
      <c r="W125">
        <f>(SUMIFS('Payment Breakdown Current'!$S$15:$S$164,'Payment Breakdown Current'!$AE$15:$AE$164,$A125))-(SUMIFS('Payment Breakdown Prior'!$S$15:$S$164,'Payment Breakdown Prior'!$AE$15:$AE$164,$A125))</f>
        <v/>
      </c>
      <c r="X125">
        <f>(SUMIFS('Payment Breakdown Current'!$T$15:$T$164,'Payment Breakdown Current'!$AE$15:$AE$164,$A125))-(SUMIFS('Payment Breakdown Prior'!$T$15:$T$164,'Payment Breakdown Prior'!$AE$15:$AE$164,$A125))</f>
        <v/>
      </c>
      <c r="Y125">
        <f>(SUMIFS('Payment Breakdown Current'!$U$15:$U$164,'Payment Breakdown Current'!$AE$15:$AE$164,$A125))-(SUMIFS('Payment Breakdown Prior'!$U$15:$U$164,'Payment Breakdown Prior'!$AE$15:$AE$164,$A125))</f>
        <v/>
      </c>
      <c r="Z125">
        <f>(SUMIFS('Payment Breakdown Current'!$V$15:$V$164,'Payment Breakdown Current'!$AE$15:$AE$164,$A125))-(SUMIFS('Payment Breakdown Prior'!$V$15:$V$164,'Payment Breakdown Prior'!$AE$15:$AE$164,$A125))</f>
        <v/>
      </c>
      <c r="AA125">
        <f>(SUMIFS('Payment Breakdown Current'!$W$15:$W$164,'Payment Breakdown Current'!$AE$15:$AE$164,$A125))-(SUMIFS('Payment Breakdown Prior'!$W$15:$W$164,'Payment Breakdown Prior'!$AE$15:$AE$164,$A125))</f>
        <v/>
      </c>
      <c r="AB125">
        <f>(SUMIFS('Payment Breakdown Current'!$X$15:$X$164,'Payment Breakdown Current'!$AE$15:$AE$164,$A125))-(SUMIFS('Payment Breakdown Prior'!$X$15:$X$164,'Payment Breakdown Prior'!$AE$15:$AE$164,$A125))</f>
        <v/>
      </c>
      <c r="AC125">
        <f>(SUMIFS('Payment Breakdown Current'!$Y$15:$Y$164,'Payment Breakdown Current'!$AE$15:$AE$164,$A125))-(SUMIFS('Payment Breakdown Prior'!$Y$15:$Y$164,'Payment Breakdown Prior'!$AE$15:$AE$164,$A125))</f>
        <v/>
      </c>
      <c r="AD125">
        <f>(SUMIFS('Payment Breakdown Current'!$Z$15:$Z$164,'Payment Breakdown Current'!$AE$15:$AE$164,$A125))-(SUMIFS('Payment Breakdown Prior'!$Z$15:$Z$164,'Payment Breakdown Prior'!$AE$15:$AE$164,$A125))</f>
        <v/>
      </c>
      <c r="AE125">
        <f>(SUMIFS('Payment Breakdown Current'!$AA$15:$AA$164,'Payment Breakdown Current'!$AE$15:$AE$164,$A125))-(SUMIFS('Payment Breakdown Prior'!$AA$15:$AA$164,'Payment Breakdown Prior'!$AE$15:$AE$164,$A125))</f>
        <v/>
      </c>
      <c r="AF125">
        <f>(SUMIFS('Payment Breakdown Current'!$AB$15:$AB$164,'Payment Breakdown Current'!$AE$15:$AE$164,$A125))-(SUMIFS('Payment Breakdown Prior'!$AB$15:$AB$164,'Payment Breakdown Prior'!$AE$15:$AE$164,$A125))</f>
        <v/>
      </c>
      <c r="AG125">
        <f>(SUMIFS('Payment Breakdown Current'!$AC$15:$AC$164,'Payment Breakdown Current'!$AE$15:$AE$164,$A125))-(SUMIFS('Payment Breakdown Prior'!$AC$15:$AC$164,'Payment Breakdown Prior'!$AE$15:$AE$164,$A125))</f>
        <v/>
      </c>
      <c r="AH125">
        <f>(SUMIFS('Payment Breakdown Current'!$AD$15:$AD$164,'Payment Breakdown Current'!$AE$15:$AE$164,$A125))-(SUMIFS('Payment Breakdown Prior'!$AD$15:$AD$164,'Payment Breakdown Prior'!$AE$15:$AE$164,$A125))</f>
        <v/>
      </c>
      <c r="AI125">
        <f t="array" ref="AI125">MAX(ABS(W125:AH125))</f>
        <v/>
      </c>
      <c r="AJ125">
        <f t="array" ref="AJ125">IF(AI125&lt;0.005,"",IFERROR(INDEX($W$1:$AH$1,MATCH(AI125,ABS(W125:AH125),0)),""))</f>
        <v/>
      </c>
      <c r="AK125">
        <f t="array" ref="AK125">IF(AI125&lt;0.005,"",IFERROR(INDEX(W125:AH125,MATCH(AI125,ABS(W125:AH125),0)),""))</f>
        <v/>
      </c>
      <c r="AL125">
        <f>IF(R125=1,ABS(L125)-ROW()/100000000,"")</f>
        <v/>
      </c>
    </row>
    <row r="126">
      <c r="A126">
        <f>IF('NPV Comparison'!D139="","",'NPV Comparison'!D139)</f>
        <v/>
      </c>
      <c r="B126">
        <f>IF('NPV Comparison'!E139="","",'NPV Comparison'!E139)</f>
        <v/>
      </c>
      <c r="C126">
        <f>IF('NPV Comparison'!F139="","",'NPV Comparison'!F139)</f>
        <v/>
      </c>
      <c r="D126">
        <f>IF($A126="","",IFERROR(INDEX(Structure!$E$13:$E$312,MATCH($A126,Structure!$P$13:$P$312,0)),""))</f>
        <v/>
      </c>
      <c r="E126">
        <f>IF($A126="",0,IF(COUNTIF(Structure!$P$13:$P$312,$A126)=0,0,IF(COUNTIFS(Structure!$P$13:$P$312,$A126,Structure!$N$13:$N$312,"&lt;&gt;Zero Hours")=0,1,0)))</f>
        <v/>
      </c>
      <c r="F126">
        <f>IF($A126="",0,1-E126)</f>
        <v/>
      </c>
      <c r="G126">
        <f>IF($A126="",0,IF(COUNTIF('New Starters'!$D$14:$D$73,$A126)&gt;0,1,0))</f>
        <v/>
      </c>
      <c r="H126">
        <f>IF($A126="",0,IF(COUNTIF('Leavers'!$D$12:$D$71,$A126)&gt;0,1,0))</f>
        <v/>
      </c>
      <c r="I126">
        <f>IF($A126="","",IFERROR(INDEX('New Starters'!$K$14:$K$73,MATCH($A126,'New Starters'!$D$14:$D$73,0)),IFERROR(INDEX('Leavers'!$K$12:$K$71,MATCH($A126,'Leavers'!$D$12:$D$71,0)),"")))</f>
        <v/>
      </c>
      <c r="J126">
        <f>IF(AND(G126=1,I126&lt;&gt;"",COUNTIF('Leavers'!$K$12:$K$71,I126)&gt;0),1,IF(AND(H126=1,I126&lt;&gt;"",COUNTIF('New Starters'!$K$14:$K$73,I126)&gt;0),1,0))</f>
        <v/>
      </c>
      <c r="K126">
        <f>IF(ISNUMBER(SEARCH("Head Office",D126)),'Control Sheet'!$C$6,'Control Sheet'!$C$5)</f>
        <v/>
      </c>
      <c r="L126">
        <f>IF(OR($A126="",AND(B126="",C126="")),"",IF(B126="",C126,IF(C126="",-B126,C126-B126)))</f>
        <v/>
      </c>
      <c r="M126">
        <f>IFERROR(L126/B126,"")</f>
        <v/>
      </c>
      <c r="N126">
        <f>IF($A126="",0,IF(OR(B126="",C126="",C126=0,AND(ISNUMBER(M126),ABS(M126)&gt;K126)),1,0))</f>
        <v/>
      </c>
      <c r="O126">
        <f>IF(AND(N126=1,ABS(L126)&gt;='Control Sheet'!$C$7,F126=1),1,0)</f>
        <v/>
      </c>
      <c r="P126">
        <f>IF($A126="","",IF(F126=0,"Zero Hours",IF(J126=1,"Explained: Paired transfer",IF(AND(G126=1,H126=0,J126=0),"Explained: Starter",IF(AND(H126=1,G126=0,J126=0),"Explained: Leaver",IF(O126=1,"Review required","OK"))))))</f>
        <v/>
      </c>
      <c r="Q126">
        <f>IF(AND(F126=1,OR(C126="",C126=0),H126=0,J126=0),1,0)</f>
        <v/>
      </c>
      <c r="R126">
        <f>IF(F126=0,0,IF(P126="Review required",1,IF(AND(P126="Explained: Starter",ISNUMBER(C126),C126&gt;=1500),1,0)))</f>
        <v/>
      </c>
      <c r="S126">
        <f>IF(R126=0,"",IF(Q126=1,"High",IF(AND(P126="Explained: Starter",C126&gt;=1500),"High",IF(ABS(L126)&gt;=2000,"High",IF(ABS(L126)&gt;=500,"Medium","Low")))))</f>
        <v/>
      </c>
      <c r="T126">
        <f>SUMIFS('Payment Breakdown Prior'!$S$15:$S$164,'Payment Breakdown Prior'!$AE$15:$AE$164,$A126)</f>
        <v/>
      </c>
      <c r="U126">
        <f>SUMIFS('Payment Breakdown Current'!$S$15:$S$164,'Payment Breakdown Current'!$AE$15:$AE$164,$A126)</f>
        <v/>
      </c>
      <c r="V126">
        <f>IFERROR((U126-T126)/T126,"")</f>
        <v/>
      </c>
      <c r="W126">
        <f>(SUMIFS('Payment Breakdown Current'!$S$15:$S$164,'Payment Breakdown Current'!$AE$15:$AE$164,$A126))-(SUMIFS('Payment Breakdown Prior'!$S$15:$S$164,'Payment Breakdown Prior'!$AE$15:$AE$164,$A126))</f>
        <v/>
      </c>
      <c r="X126">
        <f>(SUMIFS('Payment Breakdown Current'!$T$15:$T$164,'Payment Breakdown Current'!$AE$15:$AE$164,$A126))-(SUMIFS('Payment Breakdown Prior'!$T$15:$T$164,'Payment Breakdown Prior'!$AE$15:$AE$164,$A126))</f>
        <v/>
      </c>
      <c r="Y126">
        <f>(SUMIFS('Payment Breakdown Current'!$U$15:$U$164,'Payment Breakdown Current'!$AE$15:$AE$164,$A126))-(SUMIFS('Payment Breakdown Prior'!$U$15:$U$164,'Payment Breakdown Prior'!$AE$15:$AE$164,$A126))</f>
        <v/>
      </c>
      <c r="Z126">
        <f>(SUMIFS('Payment Breakdown Current'!$V$15:$V$164,'Payment Breakdown Current'!$AE$15:$AE$164,$A126))-(SUMIFS('Payment Breakdown Prior'!$V$15:$V$164,'Payment Breakdown Prior'!$AE$15:$AE$164,$A126))</f>
        <v/>
      </c>
      <c r="AA126">
        <f>(SUMIFS('Payment Breakdown Current'!$W$15:$W$164,'Payment Breakdown Current'!$AE$15:$AE$164,$A126))-(SUMIFS('Payment Breakdown Prior'!$W$15:$W$164,'Payment Breakdown Prior'!$AE$15:$AE$164,$A126))</f>
        <v/>
      </c>
      <c r="AB126">
        <f>(SUMIFS('Payment Breakdown Current'!$X$15:$X$164,'Payment Breakdown Current'!$AE$15:$AE$164,$A126))-(SUMIFS('Payment Breakdown Prior'!$X$15:$X$164,'Payment Breakdown Prior'!$AE$15:$AE$164,$A126))</f>
        <v/>
      </c>
      <c r="AC126">
        <f>(SUMIFS('Payment Breakdown Current'!$Y$15:$Y$164,'Payment Breakdown Current'!$AE$15:$AE$164,$A126))-(SUMIFS('Payment Breakdown Prior'!$Y$15:$Y$164,'Payment Breakdown Prior'!$AE$15:$AE$164,$A126))</f>
        <v/>
      </c>
      <c r="AD126">
        <f>(SUMIFS('Payment Breakdown Current'!$Z$15:$Z$164,'Payment Breakdown Current'!$AE$15:$AE$164,$A126))-(SUMIFS('Payment Breakdown Prior'!$Z$15:$Z$164,'Payment Breakdown Prior'!$AE$15:$AE$164,$A126))</f>
        <v/>
      </c>
      <c r="AE126">
        <f>(SUMIFS('Payment Breakdown Current'!$AA$15:$AA$164,'Payment Breakdown Current'!$AE$15:$AE$164,$A126))-(SUMIFS('Payment Breakdown Prior'!$AA$15:$AA$164,'Payment Breakdown Prior'!$AE$15:$AE$164,$A126))</f>
        <v/>
      </c>
      <c r="AF126">
        <f>(SUMIFS('Payment Breakdown Current'!$AB$15:$AB$164,'Payment Breakdown Current'!$AE$15:$AE$164,$A126))-(SUMIFS('Payment Breakdown Prior'!$AB$15:$AB$164,'Payment Breakdown Prior'!$AE$15:$AE$164,$A126))</f>
        <v/>
      </c>
      <c r="AG126">
        <f>(SUMIFS('Payment Breakdown Current'!$AC$15:$AC$164,'Payment Breakdown Current'!$AE$15:$AE$164,$A126))-(SUMIFS('Payment Breakdown Prior'!$AC$15:$AC$164,'Payment Breakdown Prior'!$AE$15:$AE$164,$A126))</f>
        <v/>
      </c>
      <c r="AH126">
        <f>(SUMIFS('Payment Breakdown Current'!$AD$15:$AD$164,'Payment Breakdown Current'!$AE$15:$AE$164,$A126))-(SUMIFS('Payment Breakdown Prior'!$AD$15:$AD$164,'Payment Breakdown Prior'!$AE$15:$AE$164,$A126))</f>
        <v/>
      </c>
      <c r="AI126">
        <f t="array" ref="AI126">MAX(ABS(W126:AH126))</f>
        <v/>
      </c>
      <c r="AJ126">
        <f t="array" ref="AJ126">IF(AI126&lt;0.005,"",IFERROR(INDEX($W$1:$AH$1,MATCH(AI126,ABS(W126:AH126),0)),""))</f>
        <v/>
      </c>
      <c r="AK126">
        <f t="array" ref="AK126">IF(AI126&lt;0.005,"",IFERROR(INDEX(W126:AH126,MATCH(AI126,ABS(W126:AH126),0)),""))</f>
        <v/>
      </c>
      <c r="AL126">
        <f>IF(R126=1,ABS(L126)-ROW()/100000000,"")</f>
        <v/>
      </c>
    </row>
    <row r="127">
      <c r="A127">
        <f>IF('NPV Comparison'!D140="","",'NPV Comparison'!D140)</f>
        <v/>
      </c>
      <c r="B127">
        <f>IF('NPV Comparison'!E140="","",'NPV Comparison'!E140)</f>
        <v/>
      </c>
      <c r="C127">
        <f>IF('NPV Comparison'!F140="","",'NPV Comparison'!F140)</f>
        <v/>
      </c>
      <c r="D127">
        <f>IF($A127="","",IFERROR(INDEX(Structure!$E$13:$E$312,MATCH($A127,Structure!$P$13:$P$312,0)),""))</f>
        <v/>
      </c>
      <c r="E127">
        <f>IF($A127="",0,IF(COUNTIF(Structure!$P$13:$P$312,$A127)=0,0,IF(COUNTIFS(Structure!$P$13:$P$312,$A127,Structure!$N$13:$N$312,"&lt;&gt;Zero Hours")=0,1,0)))</f>
        <v/>
      </c>
      <c r="F127">
        <f>IF($A127="",0,1-E127)</f>
        <v/>
      </c>
      <c r="G127">
        <f>IF($A127="",0,IF(COUNTIF('New Starters'!$D$14:$D$73,$A127)&gt;0,1,0))</f>
        <v/>
      </c>
      <c r="H127">
        <f>IF($A127="",0,IF(COUNTIF('Leavers'!$D$12:$D$71,$A127)&gt;0,1,0))</f>
        <v/>
      </c>
      <c r="I127">
        <f>IF($A127="","",IFERROR(INDEX('New Starters'!$K$14:$K$73,MATCH($A127,'New Starters'!$D$14:$D$73,0)),IFERROR(INDEX('Leavers'!$K$12:$K$71,MATCH($A127,'Leavers'!$D$12:$D$71,0)),"")))</f>
        <v/>
      </c>
      <c r="J127">
        <f>IF(AND(G127=1,I127&lt;&gt;"",COUNTIF('Leavers'!$K$12:$K$71,I127)&gt;0),1,IF(AND(H127=1,I127&lt;&gt;"",COUNTIF('New Starters'!$K$14:$K$73,I127)&gt;0),1,0))</f>
        <v/>
      </c>
      <c r="K127">
        <f>IF(ISNUMBER(SEARCH("Head Office",D127)),'Control Sheet'!$C$6,'Control Sheet'!$C$5)</f>
        <v/>
      </c>
      <c r="L127">
        <f>IF(OR($A127="",AND(B127="",C127="")),"",IF(B127="",C127,IF(C127="",-B127,C127-B127)))</f>
        <v/>
      </c>
      <c r="M127">
        <f>IFERROR(L127/B127,"")</f>
        <v/>
      </c>
      <c r="N127">
        <f>IF($A127="",0,IF(OR(B127="",C127="",C127=0,AND(ISNUMBER(M127),ABS(M127)&gt;K127)),1,0))</f>
        <v/>
      </c>
      <c r="O127">
        <f>IF(AND(N127=1,ABS(L127)&gt;='Control Sheet'!$C$7,F127=1),1,0)</f>
        <v/>
      </c>
      <c r="P127">
        <f>IF($A127="","",IF(F127=0,"Zero Hours",IF(J127=1,"Explained: Paired transfer",IF(AND(G127=1,H127=0,J127=0),"Explained: Starter",IF(AND(H127=1,G127=0,J127=0),"Explained: Leaver",IF(O127=1,"Review required","OK"))))))</f>
        <v/>
      </c>
      <c r="Q127">
        <f>IF(AND(F127=1,OR(C127="",C127=0),H127=0,J127=0),1,0)</f>
        <v/>
      </c>
      <c r="R127">
        <f>IF(F127=0,0,IF(P127="Review required",1,IF(AND(P127="Explained: Starter",ISNUMBER(C127),C127&gt;=1500),1,0)))</f>
        <v/>
      </c>
      <c r="S127">
        <f>IF(R127=0,"",IF(Q127=1,"High",IF(AND(P127="Explained: Starter",C127&gt;=1500),"High",IF(ABS(L127)&gt;=2000,"High",IF(ABS(L127)&gt;=500,"Medium","Low")))))</f>
        <v/>
      </c>
      <c r="T127">
        <f>SUMIFS('Payment Breakdown Prior'!$S$15:$S$164,'Payment Breakdown Prior'!$AE$15:$AE$164,$A127)</f>
        <v/>
      </c>
      <c r="U127">
        <f>SUMIFS('Payment Breakdown Current'!$S$15:$S$164,'Payment Breakdown Current'!$AE$15:$AE$164,$A127)</f>
        <v/>
      </c>
      <c r="V127">
        <f>IFERROR((U127-T127)/T127,"")</f>
        <v/>
      </c>
      <c r="W127">
        <f>(SUMIFS('Payment Breakdown Current'!$S$15:$S$164,'Payment Breakdown Current'!$AE$15:$AE$164,$A127))-(SUMIFS('Payment Breakdown Prior'!$S$15:$S$164,'Payment Breakdown Prior'!$AE$15:$AE$164,$A127))</f>
        <v/>
      </c>
      <c r="X127">
        <f>(SUMIFS('Payment Breakdown Current'!$T$15:$T$164,'Payment Breakdown Current'!$AE$15:$AE$164,$A127))-(SUMIFS('Payment Breakdown Prior'!$T$15:$T$164,'Payment Breakdown Prior'!$AE$15:$AE$164,$A127))</f>
        <v/>
      </c>
      <c r="Y127">
        <f>(SUMIFS('Payment Breakdown Current'!$U$15:$U$164,'Payment Breakdown Current'!$AE$15:$AE$164,$A127))-(SUMIFS('Payment Breakdown Prior'!$U$15:$U$164,'Payment Breakdown Prior'!$AE$15:$AE$164,$A127))</f>
        <v/>
      </c>
      <c r="Z127">
        <f>(SUMIFS('Payment Breakdown Current'!$V$15:$V$164,'Payment Breakdown Current'!$AE$15:$AE$164,$A127))-(SUMIFS('Payment Breakdown Prior'!$V$15:$V$164,'Payment Breakdown Prior'!$AE$15:$AE$164,$A127))</f>
        <v/>
      </c>
      <c r="AA127">
        <f>(SUMIFS('Payment Breakdown Current'!$W$15:$W$164,'Payment Breakdown Current'!$AE$15:$AE$164,$A127))-(SUMIFS('Payment Breakdown Prior'!$W$15:$W$164,'Payment Breakdown Prior'!$AE$15:$AE$164,$A127))</f>
        <v/>
      </c>
      <c r="AB127">
        <f>(SUMIFS('Payment Breakdown Current'!$X$15:$X$164,'Payment Breakdown Current'!$AE$15:$AE$164,$A127))-(SUMIFS('Payment Breakdown Prior'!$X$15:$X$164,'Payment Breakdown Prior'!$AE$15:$AE$164,$A127))</f>
        <v/>
      </c>
      <c r="AC127">
        <f>(SUMIFS('Payment Breakdown Current'!$Y$15:$Y$164,'Payment Breakdown Current'!$AE$15:$AE$164,$A127))-(SUMIFS('Payment Breakdown Prior'!$Y$15:$Y$164,'Payment Breakdown Prior'!$AE$15:$AE$164,$A127))</f>
        <v/>
      </c>
      <c r="AD127">
        <f>(SUMIFS('Payment Breakdown Current'!$Z$15:$Z$164,'Payment Breakdown Current'!$AE$15:$AE$164,$A127))-(SUMIFS('Payment Breakdown Prior'!$Z$15:$Z$164,'Payment Breakdown Prior'!$AE$15:$AE$164,$A127))</f>
        <v/>
      </c>
      <c r="AE127">
        <f>(SUMIFS('Payment Breakdown Current'!$AA$15:$AA$164,'Payment Breakdown Current'!$AE$15:$AE$164,$A127))-(SUMIFS('Payment Breakdown Prior'!$AA$15:$AA$164,'Payment Breakdown Prior'!$AE$15:$AE$164,$A127))</f>
        <v/>
      </c>
      <c r="AF127">
        <f>(SUMIFS('Payment Breakdown Current'!$AB$15:$AB$164,'Payment Breakdown Current'!$AE$15:$AE$164,$A127))-(SUMIFS('Payment Breakdown Prior'!$AB$15:$AB$164,'Payment Breakdown Prior'!$AE$15:$AE$164,$A127))</f>
        <v/>
      </c>
      <c r="AG127">
        <f>(SUMIFS('Payment Breakdown Current'!$AC$15:$AC$164,'Payment Breakdown Current'!$AE$15:$AE$164,$A127))-(SUMIFS('Payment Breakdown Prior'!$AC$15:$AC$164,'Payment Breakdown Prior'!$AE$15:$AE$164,$A127))</f>
        <v/>
      </c>
      <c r="AH127">
        <f>(SUMIFS('Payment Breakdown Current'!$AD$15:$AD$164,'Payment Breakdown Current'!$AE$15:$AE$164,$A127))-(SUMIFS('Payment Breakdown Prior'!$AD$15:$AD$164,'Payment Breakdown Prior'!$AE$15:$AE$164,$A127))</f>
        <v/>
      </c>
      <c r="AI127">
        <f t="array" ref="AI127">MAX(ABS(W127:AH127))</f>
        <v/>
      </c>
      <c r="AJ127">
        <f t="array" ref="AJ127">IF(AI127&lt;0.005,"",IFERROR(INDEX($W$1:$AH$1,MATCH(AI127,ABS(W127:AH127),0)),""))</f>
        <v/>
      </c>
      <c r="AK127">
        <f t="array" ref="AK127">IF(AI127&lt;0.005,"",IFERROR(INDEX(W127:AH127,MATCH(AI127,ABS(W127:AH127),0)),""))</f>
        <v/>
      </c>
      <c r="AL127">
        <f>IF(R127=1,ABS(L127)-ROW()/100000000,"")</f>
        <v/>
      </c>
    </row>
    <row r="128">
      <c r="A128">
        <f>IF('NPV Comparison'!D141="","",'NPV Comparison'!D141)</f>
        <v/>
      </c>
      <c r="B128">
        <f>IF('NPV Comparison'!E141="","",'NPV Comparison'!E141)</f>
        <v/>
      </c>
      <c r="C128">
        <f>IF('NPV Comparison'!F141="","",'NPV Comparison'!F141)</f>
        <v/>
      </c>
      <c r="D128">
        <f>IF($A128="","",IFERROR(INDEX(Structure!$E$13:$E$312,MATCH($A128,Structure!$P$13:$P$312,0)),""))</f>
        <v/>
      </c>
      <c r="E128">
        <f>IF($A128="",0,IF(COUNTIF(Structure!$P$13:$P$312,$A128)=0,0,IF(COUNTIFS(Structure!$P$13:$P$312,$A128,Structure!$N$13:$N$312,"&lt;&gt;Zero Hours")=0,1,0)))</f>
        <v/>
      </c>
      <c r="F128">
        <f>IF($A128="",0,1-E128)</f>
        <v/>
      </c>
      <c r="G128">
        <f>IF($A128="",0,IF(COUNTIF('New Starters'!$D$14:$D$73,$A128)&gt;0,1,0))</f>
        <v/>
      </c>
      <c r="H128">
        <f>IF($A128="",0,IF(COUNTIF('Leavers'!$D$12:$D$71,$A128)&gt;0,1,0))</f>
        <v/>
      </c>
      <c r="I128">
        <f>IF($A128="","",IFERROR(INDEX('New Starters'!$K$14:$K$73,MATCH($A128,'New Starters'!$D$14:$D$73,0)),IFERROR(INDEX('Leavers'!$K$12:$K$71,MATCH($A128,'Leavers'!$D$12:$D$71,0)),"")))</f>
        <v/>
      </c>
      <c r="J128">
        <f>IF(AND(G128=1,I128&lt;&gt;"",COUNTIF('Leavers'!$K$12:$K$71,I128)&gt;0),1,IF(AND(H128=1,I128&lt;&gt;"",COUNTIF('New Starters'!$K$14:$K$73,I128)&gt;0),1,0))</f>
        <v/>
      </c>
      <c r="K128">
        <f>IF(ISNUMBER(SEARCH("Head Office",D128)),'Control Sheet'!$C$6,'Control Sheet'!$C$5)</f>
        <v/>
      </c>
      <c r="L128">
        <f>IF(OR($A128="",AND(B128="",C128="")),"",IF(B128="",C128,IF(C128="",-B128,C128-B128)))</f>
        <v/>
      </c>
      <c r="M128">
        <f>IFERROR(L128/B128,"")</f>
        <v/>
      </c>
      <c r="N128">
        <f>IF($A128="",0,IF(OR(B128="",C128="",C128=0,AND(ISNUMBER(M128),ABS(M128)&gt;K128)),1,0))</f>
        <v/>
      </c>
      <c r="O128">
        <f>IF(AND(N128=1,ABS(L128)&gt;='Control Sheet'!$C$7,F128=1),1,0)</f>
        <v/>
      </c>
      <c r="P128">
        <f>IF($A128="","",IF(F128=0,"Zero Hours",IF(J128=1,"Explained: Paired transfer",IF(AND(G128=1,H128=0,J128=0),"Explained: Starter",IF(AND(H128=1,G128=0,J128=0),"Explained: Leaver",IF(O128=1,"Review required","OK"))))))</f>
        <v/>
      </c>
      <c r="Q128">
        <f>IF(AND(F128=1,OR(C128="",C128=0),H128=0,J128=0),1,0)</f>
        <v/>
      </c>
      <c r="R128">
        <f>IF(F128=0,0,IF(P128="Review required",1,IF(AND(P128="Explained: Starter",ISNUMBER(C128),C128&gt;=1500),1,0)))</f>
        <v/>
      </c>
      <c r="S128">
        <f>IF(R128=0,"",IF(Q128=1,"High",IF(AND(P128="Explained: Starter",C128&gt;=1500),"High",IF(ABS(L128)&gt;=2000,"High",IF(ABS(L128)&gt;=500,"Medium","Low")))))</f>
        <v/>
      </c>
      <c r="T128">
        <f>SUMIFS('Payment Breakdown Prior'!$S$15:$S$164,'Payment Breakdown Prior'!$AE$15:$AE$164,$A128)</f>
        <v/>
      </c>
      <c r="U128">
        <f>SUMIFS('Payment Breakdown Current'!$S$15:$S$164,'Payment Breakdown Current'!$AE$15:$AE$164,$A128)</f>
        <v/>
      </c>
      <c r="V128">
        <f>IFERROR((U128-T128)/T128,"")</f>
        <v/>
      </c>
      <c r="W128">
        <f>(SUMIFS('Payment Breakdown Current'!$S$15:$S$164,'Payment Breakdown Current'!$AE$15:$AE$164,$A128))-(SUMIFS('Payment Breakdown Prior'!$S$15:$S$164,'Payment Breakdown Prior'!$AE$15:$AE$164,$A128))</f>
        <v/>
      </c>
      <c r="X128">
        <f>(SUMIFS('Payment Breakdown Current'!$T$15:$T$164,'Payment Breakdown Current'!$AE$15:$AE$164,$A128))-(SUMIFS('Payment Breakdown Prior'!$T$15:$T$164,'Payment Breakdown Prior'!$AE$15:$AE$164,$A128))</f>
        <v/>
      </c>
      <c r="Y128">
        <f>(SUMIFS('Payment Breakdown Current'!$U$15:$U$164,'Payment Breakdown Current'!$AE$15:$AE$164,$A128))-(SUMIFS('Payment Breakdown Prior'!$U$15:$U$164,'Payment Breakdown Prior'!$AE$15:$AE$164,$A128))</f>
        <v/>
      </c>
      <c r="Z128">
        <f>(SUMIFS('Payment Breakdown Current'!$V$15:$V$164,'Payment Breakdown Current'!$AE$15:$AE$164,$A128))-(SUMIFS('Payment Breakdown Prior'!$V$15:$V$164,'Payment Breakdown Prior'!$AE$15:$AE$164,$A128))</f>
        <v/>
      </c>
      <c r="AA128">
        <f>(SUMIFS('Payment Breakdown Current'!$W$15:$W$164,'Payment Breakdown Current'!$AE$15:$AE$164,$A128))-(SUMIFS('Payment Breakdown Prior'!$W$15:$W$164,'Payment Breakdown Prior'!$AE$15:$AE$164,$A128))</f>
        <v/>
      </c>
      <c r="AB128">
        <f>(SUMIFS('Payment Breakdown Current'!$X$15:$X$164,'Payment Breakdown Current'!$AE$15:$AE$164,$A128))-(SUMIFS('Payment Breakdown Prior'!$X$15:$X$164,'Payment Breakdown Prior'!$AE$15:$AE$164,$A128))</f>
        <v/>
      </c>
      <c r="AC128">
        <f>(SUMIFS('Payment Breakdown Current'!$Y$15:$Y$164,'Payment Breakdown Current'!$AE$15:$AE$164,$A128))-(SUMIFS('Payment Breakdown Prior'!$Y$15:$Y$164,'Payment Breakdown Prior'!$AE$15:$AE$164,$A128))</f>
        <v/>
      </c>
      <c r="AD128">
        <f>(SUMIFS('Payment Breakdown Current'!$Z$15:$Z$164,'Payment Breakdown Current'!$AE$15:$AE$164,$A128))-(SUMIFS('Payment Breakdown Prior'!$Z$15:$Z$164,'Payment Breakdown Prior'!$AE$15:$AE$164,$A128))</f>
        <v/>
      </c>
      <c r="AE128">
        <f>(SUMIFS('Payment Breakdown Current'!$AA$15:$AA$164,'Payment Breakdown Current'!$AE$15:$AE$164,$A128))-(SUMIFS('Payment Breakdown Prior'!$AA$15:$AA$164,'Payment Breakdown Prior'!$AE$15:$AE$164,$A128))</f>
        <v/>
      </c>
      <c r="AF128">
        <f>(SUMIFS('Payment Breakdown Current'!$AB$15:$AB$164,'Payment Breakdown Current'!$AE$15:$AE$164,$A128))-(SUMIFS('Payment Breakdown Prior'!$AB$15:$AB$164,'Payment Breakdown Prior'!$AE$15:$AE$164,$A128))</f>
        <v/>
      </c>
      <c r="AG128">
        <f>(SUMIFS('Payment Breakdown Current'!$AC$15:$AC$164,'Payment Breakdown Current'!$AE$15:$AE$164,$A128))-(SUMIFS('Payment Breakdown Prior'!$AC$15:$AC$164,'Payment Breakdown Prior'!$AE$15:$AE$164,$A128))</f>
        <v/>
      </c>
      <c r="AH128">
        <f>(SUMIFS('Payment Breakdown Current'!$AD$15:$AD$164,'Payment Breakdown Current'!$AE$15:$AE$164,$A128))-(SUMIFS('Payment Breakdown Prior'!$AD$15:$AD$164,'Payment Breakdown Prior'!$AE$15:$AE$164,$A128))</f>
        <v/>
      </c>
      <c r="AI128">
        <f t="array" ref="AI128">MAX(ABS(W128:AH128))</f>
        <v/>
      </c>
      <c r="AJ128">
        <f t="array" ref="AJ128">IF(AI128&lt;0.005,"",IFERROR(INDEX($W$1:$AH$1,MATCH(AI128,ABS(W128:AH128),0)),""))</f>
        <v/>
      </c>
      <c r="AK128">
        <f t="array" ref="AK128">IF(AI128&lt;0.005,"",IFERROR(INDEX(W128:AH128,MATCH(AI128,ABS(W128:AH128),0)),""))</f>
        <v/>
      </c>
      <c r="AL128">
        <f>IF(R128=1,ABS(L128)-ROW()/100000000,"")</f>
        <v/>
      </c>
    </row>
    <row r="129">
      <c r="A129">
        <f>IF('NPV Comparison'!D142="","",'NPV Comparison'!D142)</f>
        <v/>
      </c>
      <c r="B129">
        <f>IF('NPV Comparison'!E142="","",'NPV Comparison'!E142)</f>
        <v/>
      </c>
      <c r="C129">
        <f>IF('NPV Comparison'!F142="","",'NPV Comparison'!F142)</f>
        <v/>
      </c>
      <c r="D129">
        <f>IF($A129="","",IFERROR(INDEX(Structure!$E$13:$E$312,MATCH($A129,Structure!$P$13:$P$312,0)),""))</f>
        <v/>
      </c>
      <c r="E129">
        <f>IF($A129="",0,IF(COUNTIF(Structure!$P$13:$P$312,$A129)=0,0,IF(COUNTIFS(Structure!$P$13:$P$312,$A129,Structure!$N$13:$N$312,"&lt;&gt;Zero Hours")=0,1,0)))</f>
        <v/>
      </c>
      <c r="F129">
        <f>IF($A129="",0,1-E129)</f>
        <v/>
      </c>
      <c r="G129">
        <f>IF($A129="",0,IF(COUNTIF('New Starters'!$D$14:$D$73,$A129)&gt;0,1,0))</f>
        <v/>
      </c>
      <c r="H129">
        <f>IF($A129="",0,IF(COUNTIF('Leavers'!$D$12:$D$71,$A129)&gt;0,1,0))</f>
        <v/>
      </c>
      <c r="I129">
        <f>IF($A129="","",IFERROR(INDEX('New Starters'!$K$14:$K$73,MATCH($A129,'New Starters'!$D$14:$D$73,0)),IFERROR(INDEX('Leavers'!$K$12:$K$71,MATCH($A129,'Leavers'!$D$12:$D$71,0)),"")))</f>
        <v/>
      </c>
      <c r="J129">
        <f>IF(AND(G129=1,I129&lt;&gt;"",COUNTIF('Leavers'!$K$12:$K$71,I129)&gt;0),1,IF(AND(H129=1,I129&lt;&gt;"",COUNTIF('New Starters'!$K$14:$K$73,I129)&gt;0),1,0))</f>
        <v/>
      </c>
      <c r="K129">
        <f>IF(ISNUMBER(SEARCH("Head Office",D129)),'Control Sheet'!$C$6,'Control Sheet'!$C$5)</f>
        <v/>
      </c>
      <c r="L129">
        <f>IF(OR($A129="",AND(B129="",C129="")),"",IF(B129="",C129,IF(C129="",-B129,C129-B129)))</f>
        <v/>
      </c>
      <c r="M129">
        <f>IFERROR(L129/B129,"")</f>
        <v/>
      </c>
      <c r="N129">
        <f>IF($A129="",0,IF(OR(B129="",C129="",C129=0,AND(ISNUMBER(M129),ABS(M129)&gt;K129)),1,0))</f>
        <v/>
      </c>
      <c r="O129">
        <f>IF(AND(N129=1,ABS(L129)&gt;='Control Sheet'!$C$7,F129=1),1,0)</f>
        <v/>
      </c>
      <c r="P129">
        <f>IF($A129="","",IF(F129=0,"Zero Hours",IF(J129=1,"Explained: Paired transfer",IF(AND(G129=1,H129=0,J129=0),"Explained: Starter",IF(AND(H129=1,G129=0,J129=0),"Explained: Leaver",IF(O129=1,"Review required","OK"))))))</f>
        <v/>
      </c>
      <c r="Q129">
        <f>IF(AND(F129=1,OR(C129="",C129=0),H129=0,J129=0),1,0)</f>
        <v/>
      </c>
      <c r="R129">
        <f>IF(F129=0,0,IF(P129="Review required",1,IF(AND(P129="Explained: Starter",ISNUMBER(C129),C129&gt;=1500),1,0)))</f>
        <v/>
      </c>
      <c r="S129">
        <f>IF(R129=0,"",IF(Q129=1,"High",IF(AND(P129="Explained: Starter",C129&gt;=1500),"High",IF(ABS(L129)&gt;=2000,"High",IF(ABS(L129)&gt;=500,"Medium","Low")))))</f>
        <v/>
      </c>
      <c r="T129">
        <f>SUMIFS('Payment Breakdown Prior'!$S$15:$S$164,'Payment Breakdown Prior'!$AE$15:$AE$164,$A129)</f>
        <v/>
      </c>
      <c r="U129">
        <f>SUMIFS('Payment Breakdown Current'!$S$15:$S$164,'Payment Breakdown Current'!$AE$15:$AE$164,$A129)</f>
        <v/>
      </c>
      <c r="V129">
        <f>IFERROR((U129-T129)/T129,"")</f>
        <v/>
      </c>
      <c r="W129">
        <f>(SUMIFS('Payment Breakdown Current'!$S$15:$S$164,'Payment Breakdown Current'!$AE$15:$AE$164,$A129))-(SUMIFS('Payment Breakdown Prior'!$S$15:$S$164,'Payment Breakdown Prior'!$AE$15:$AE$164,$A129))</f>
        <v/>
      </c>
      <c r="X129">
        <f>(SUMIFS('Payment Breakdown Current'!$T$15:$T$164,'Payment Breakdown Current'!$AE$15:$AE$164,$A129))-(SUMIFS('Payment Breakdown Prior'!$T$15:$T$164,'Payment Breakdown Prior'!$AE$15:$AE$164,$A129))</f>
        <v/>
      </c>
      <c r="Y129">
        <f>(SUMIFS('Payment Breakdown Current'!$U$15:$U$164,'Payment Breakdown Current'!$AE$15:$AE$164,$A129))-(SUMIFS('Payment Breakdown Prior'!$U$15:$U$164,'Payment Breakdown Prior'!$AE$15:$AE$164,$A129))</f>
        <v/>
      </c>
      <c r="Z129">
        <f>(SUMIFS('Payment Breakdown Current'!$V$15:$V$164,'Payment Breakdown Current'!$AE$15:$AE$164,$A129))-(SUMIFS('Payment Breakdown Prior'!$V$15:$V$164,'Payment Breakdown Prior'!$AE$15:$AE$164,$A129))</f>
        <v/>
      </c>
      <c r="AA129">
        <f>(SUMIFS('Payment Breakdown Current'!$W$15:$W$164,'Payment Breakdown Current'!$AE$15:$AE$164,$A129))-(SUMIFS('Payment Breakdown Prior'!$W$15:$W$164,'Payment Breakdown Prior'!$AE$15:$AE$164,$A129))</f>
        <v/>
      </c>
      <c r="AB129">
        <f>(SUMIFS('Payment Breakdown Current'!$X$15:$X$164,'Payment Breakdown Current'!$AE$15:$AE$164,$A129))-(SUMIFS('Payment Breakdown Prior'!$X$15:$X$164,'Payment Breakdown Prior'!$AE$15:$AE$164,$A129))</f>
        <v/>
      </c>
      <c r="AC129">
        <f>(SUMIFS('Payment Breakdown Current'!$Y$15:$Y$164,'Payment Breakdown Current'!$AE$15:$AE$164,$A129))-(SUMIFS('Payment Breakdown Prior'!$Y$15:$Y$164,'Payment Breakdown Prior'!$AE$15:$AE$164,$A129))</f>
        <v/>
      </c>
      <c r="AD129">
        <f>(SUMIFS('Payment Breakdown Current'!$Z$15:$Z$164,'Payment Breakdown Current'!$AE$15:$AE$164,$A129))-(SUMIFS('Payment Breakdown Prior'!$Z$15:$Z$164,'Payment Breakdown Prior'!$AE$15:$AE$164,$A129))</f>
        <v/>
      </c>
      <c r="AE129">
        <f>(SUMIFS('Payment Breakdown Current'!$AA$15:$AA$164,'Payment Breakdown Current'!$AE$15:$AE$164,$A129))-(SUMIFS('Payment Breakdown Prior'!$AA$15:$AA$164,'Payment Breakdown Prior'!$AE$15:$AE$164,$A129))</f>
        <v/>
      </c>
      <c r="AF129">
        <f>(SUMIFS('Payment Breakdown Current'!$AB$15:$AB$164,'Payment Breakdown Current'!$AE$15:$AE$164,$A129))-(SUMIFS('Payment Breakdown Prior'!$AB$15:$AB$164,'Payment Breakdown Prior'!$AE$15:$AE$164,$A129))</f>
        <v/>
      </c>
      <c r="AG129">
        <f>(SUMIFS('Payment Breakdown Current'!$AC$15:$AC$164,'Payment Breakdown Current'!$AE$15:$AE$164,$A129))-(SUMIFS('Payment Breakdown Prior'!$AC$15:$AC$164,'Payment Breakdown Prior'!$AE$15:$AE$164,$A129))</f>
        <v/>
      </c>
      <c r="AH129">
        <f>(SUMIFS('Payment Breakdown Current'!$AD$15:$AD$164,'Payment Breakdown Current'!$AE$15:$AE$164,$A129))-(SUMIFS('Payment Breakdown Prior'!$AD$15:$AD$164,'Payment Breakdown Prior'!$AE$15:$AE$164,$A129))</f>
        <v/>
      </c>
      <c r="AI129">
        <f t="array" ref="AI129">MAX(ABS(W129:AH129))</f>
        <v/>
      </c>
      <c r="AJ129">
        <f t="array" ref="AJ129">IF(AI129&lt;0.005,"",IFERROR(INDEX($W$1:$AH$1,MATCH(AI129,ABS(W129:AH129),0)),""))</f>
        <v/>
      </c>
      <c r="AK129">
        <f t="array" ref="AK129">IF(AI129&lt;0.005,"",IFERROR(INDEX(W129:AH129,MATCH(AI129,ABS(W129:AH129),0)),""))</f>
        <v/>
      </c>
      <c r="AL129">
        <f>IF(R129=1,ABS(L129)-ROW()/100000000,"")</f>
        <v/>
      </c>
    </row>
    <row r="130">
      <c r="A130">
        <f>IF('NPV Comparison'!D143="","",'NPV Comparison'!D143)</f>
        <v/>
      </c>
      <c r="B130">
        <f>IF('NPV Comparison'!E143="","",'NPV Comparison'!E143)</f>
        <v/>
      </c>
      <c r="C130">
        <f>IF('NPV Comparison'!F143="","",'NPV Comparison'!F143)</f>
        <v/>
      </c>
      <c r="D130">
        <f>IF($A130="","",IFERROR(INDEX(Structure!$E$13:$E$312,MATCH($A130,Structure!$P$13:$P$312,0)),""))</f>
        <v/>
      </c>
      <c r="E130">
        <f>IF($A130="",0,IF(COUNTIF(Structure!$P$13:$P$312,$A130)=0,0,IF(COUNTIFS(Structure!$P$13:$P$312,$A130,Structure!$N$13:$N$312,"&lt;&gt;Zero Hours")=0,1,0)))</f>
        <v/>
      </c>
      <c r="F130">
        <f>IF($A130="",0,1-E130)</f>
        <v/>
      </c>
      <c r="G130">
        <f>IF($A130="",0,IF(COUNTIF('New Starters'!$D$14:$D$73,$A130)&gt;0,1,0))</f>
        <v/>
      </c>
      <c r="H130">
        <f>IF($A130="",0,IF(COUNTIF('Leavers'!$D$12:$D$71,$A130)&gt;0,1,0))</f>
        <v/>
      </c>
      <c r="I130">
        <f>IF($A130="","",IFERROR(INDEX('New Starters'!$K$14:$K$73,MATCH($A130,'New Starters'!$D$14:$D$73,0)),IFERROR(INDEX('Leavers'!$K$12:$K$71,MATCH($A130,'Leavers'!$D$12:$D$71,0)),"")))</f>
        <v/>
      </c>
      <c r="J130">
        <f>IF(AND(G130=1,I130&lt;&gt;"",COUNTIF('Leavers'!$K$12:$K$71,I130)&gt;0),1,IF(AND(H130=1,I130&lt;&gt;"",COUNTIF('New Starters'!$K$14:$K$73,I130)&gt;0),1,0))</f>
        <v/>
      </c>
      <c r="K130">
        <f>IF(ISNUMBER(SEARCH("Head Office",D130)),'Control Sheet'!$C$6,'Control Sheet'!$C$5)</f>
        <v/>
      </c>
      <c r="L130">
        <f>IF(OR($A130="",AND(B130="",C130="")),"",IF(B130="",C130,IF(C130="",-B130,C130-B130)))</f>
        <v/>
      </c>
      <c r="M130">
        <f>IFERROR(L130/B130,"")</f>
        <v/>
      </c>
      <c r="N130">
        <f>IF($A130="",0,IF(OR(B130="",C130="",C130=0,AND(ISNUMBER(M130),ABS(M130)&gt;K130)),1,0))</f>
        <v/>
      </c>
      <c r="O130">
        <f>IF(AND(N130=1,ABS(L130)&gt;='Control Sheet'!$C$7,F130=1),1,0)</f>
        <v/>
      </c>
      <c r="P130">
        <f>IF($A130="","",IF(F130=0,"Zero Hours",IF(J130=1,"Explained: Paired transfer",IF(AND(G130=1,H130=0,J130=0),"Explained: Starter",IF(AND(H130=1,G130=0,J130=0),"Explained: Leaver",IF(O130=1,"Review required","OK"))))))</f>
        <v/>
      </c>
      <c r="Q130">
        <f>IF(AND(F130=1,OR(C130="",C130=0),H130=0,J130=0),1,0)</f>
        <v/>
      </c>
      <c r="R130">
        <f>IF(F130=0,0,IF(P130="Review required",1,IF(AND(P130="Explained: Starter",ISNUMBER(C130),C130&gt;=1500),1,0)))</f>
        <v/>
      </c>
      <c r="S130">
        <f>IF(R130=0,"",IF(Q130=1,"High",IF(AND(P130="Explained: Starter",C130&gt;=1500),"High",IF(ABS(L130)&gt;=2000,"High",IF(ABS(L130)&gt;=500,"Medium","Low")))))</f>
        <v/>
      </c>
      <c r="T130">
        <f>SUMIFS('Payment Breakdown Prior'!$S$15:$S$164,'Payment Breakdown Prior'!$AE$15:$AE$164,$A130)</f>
        <v/>
      </c>
      <c r="U130">
        <f>SUMIFS('Payment Breakdown Current'!$S$15:$S$164,'Payment Breakdown Current'!$AE$15:$AE$164,$A130)</f>
        <v/>
      </c>
      <c r="V130">
        <f>IFERROR((U130-T130)/T130,"")</f>
        <v/>
      </c>
      <c r="W130">
        <f>(SUMIFS('Payment Breakdown Current'!$S$15:$S$164,'Payment Breakdown Current'!$AE$15:$AE$164,$A130))-(SUMIFS('Payment Breakdown Prior'!$S$15:$S$164,'Payment Breakdown Prior'!$AE$15:$AE$164,$A130))</f>
        <v/>
      </c>
      <c r="X130">
        <f>(SUMIFS('Payment Breakdown Current'!$T$15:$T$164,'Payment Breakdown Current'!$AE$15:$AE$164,$A130))-(SUMIFS('Payment Breakdown Prior'!$T$15:$T$164,'Payment Breakdown Prior'!$AE$15:$AE$164,$A130))</f>
        <v/>
      </c>
      <c r="Y130">
        <f>(SUMIFS('Payment Breakdown Current'!$U$15:$U$164,'Payment Breakdown Current'!$AE$15:$AE$164,$A130))-(SUMIFS('Payment Breakdown Prior'!$U$15:$U$164,'Payment Breakdown Prior'!$AE$15:$AE$164,$A130))</f>
        <v/>
      </c>
      <c r="Z130">
        <f>(SUMIFS('Payment Breakdown Current'!$V$15:$V$164,'Payment Breakdown Current'!$AE$15:$AE$164,$A130))-(SUMIFS('Payment Breakdown Prior'!$V$15:$V$164,'Payment Breakdown Prior'!$AE$15:$AE$164,$A130))</f>
        <v/>
      </c>
      <c r="AA130">
        <f>(SUMIFS('Payment Breakdown Current'!$W$15:$W$164,'Payment Breakdown Current'!$AE$15:$AE$164,$A130))-(SUMIFS('Payment Breakdown Prior'!$W$15:$W$164,'Payment Breakdown Prior'!$AE$15:$AE$164,$A130))</f>
        <v/>
      </c>
      <c r="AB130">
        <f>(SUMIFS('Payment Breakdown Current'!$X$15:$X$164,'Payment Breakdown Current'!$AE$15:$AE$164,$A130))-(SUMIFS('Payment Breakdown Prior'!$X$15:$X$164,'Payment Breakdown Prior'!$AE$15:$AE$164,$A130))</f>
        <v/>
      </c>
      <c r="AC130">
        <f>(SUMIFS('Payment Breakdown Current'!$Y$15:$Y$164,'Payment Breakdown Current'!$AE$15:$AE$164,$A130))-(SUMIFS('Payment Breakdown Prior'!$Y$15:$Y$164,'Payment Breakdown Prior'!$AE$15:$AE$164,$A130))</f>
        <v/>
      </c>
      <c r="AD130">
        <f>(SUMIFS('Payment Breakdown Current'!$Z$15:$Z$164,'Payment Breakdown Current'!$AE$15:$AE$164,$A130))-(SUMIFS('Payment Breakdown Prior'!$Z$15:$Z$164,'Payment Breakdown Prior'!$AE$15:$AE$164,$A130))</f>
        <v/>
      </c>
      <c r="AE130">
        <f>(SUMIFS('Payment Breakdown Current'!$AA$15:$AA$164,'Payment Breakdown Current'!$AE$15:$AE$164,$A130))-(SUMIFS('Payment Breakdown Prior'!$AA$15:$AA$164,'Payment Breakdown Prior'!$AE$15:$AE$164,$A130))</f>
        <v/>
      </c>
      <c r="AF130">
        <f>(SUMIFS('Payment Breakdown Current'!$AB$15:$AB$164,'Payment Breakdown Current'!$AE$15:$AE$164,$A130))-(SUMIFS('Payment Breakdown Prior'!$AB$15:$AB$164,'Payment Breakdown Prior'!$AE$15:$AE$164,$A130))</f>
        <v/>
      </c>
      <c r="AG130">
        <f>(SUMIFS('Payment Breakdown Current'!$AC$15:$AC$164,'Payment Breakdown Current'!$AE$15:$AE$164,$A130))-(SUMIFS('Payment Breakdown Prior'!$AC$15:$AC$164,'Payment Breakdown Prior'!$AE$15:$AE$164,$A130))</f>
        <v/>
      </c>
      <c r="AH130">
        <f>(SUMIFS('Payment Breakdown Current'!$AD$15:$AD$164,'Payment Breakdown Current'!$AE$15:$AE$164,$A130))-(SUMIFS('Payment Breakdown Prior'!$AD$15:$AD$164,'Payment Breakdown Prior'!$AE$15:$AE$164,$A130))</f>
        <v/>
      </c>
      <c r="AI130">
        <f t="array" ref="AI130">MAX(ABS(W130:AH130))</f>
        <v/>
      </c>
      <c r="AJ130">
        <f t="array" ref="AJ130">IF(AI130&lt;0.005,"",IFERROR(INDEX($W$1:$AH$1,MATCH(AI130,ABS(W130:AH130),0)),""))</f>
        <v/>
      </c>
      <c r="AK130">
        <f t="array" ref="AK130">IF(AI130&lt;0.005,"",IFERROR(INDEX(W130:AH130,MATCH(AI130,ABS(W130:AH130),0)),""))</f>
        <v/>
      </c>
      <c r="AL130">
        <f>IF(R130=1,ABS(L130)-ROW()/100000000,"")</f>
        <v/>
      </c>
    </row>
    <row r="131">
      <c r="A131">
        <f>IF('NPV Comparison'!D144="","",'NPV Comparison'!D144)</f>
        <v/>
      </c>
      <c r="B131">
        <f>IF('NPV Comparison'!E144="","",'NPV Comparison'!E144)</f>
        <v/>
      </c>
      <c r="C131">
        <f>IF('NPV Comparison'!F144="","",'NPV Comparison'!F144)</f>
        <v/>
      </c>
      <c r="D131">
        <f>IF($A131="","",IFERROR(INDEX(Structure!$E$13:$E$312,MATCH($A131,Structure!$P$13:$P$312,0)),""))</f>
        <v/>
      </c>
      <c r="E131">
        <f>IF($A131="",0,IF(COUNTIF(Structure!$P$13:$P$312,$A131)=0,0,IF(COUNTIFS(Structure!$P$13:$P$312,$A131,Structure!$N$13:$N$312,"&lt;&gt;Zero Hours")=0,1,0)))</f>
        <v/>
      </c>
      <c r="F131">
        <f>IF($A131="",0,1-E131)</f>
        <v/>
      </c>
      <c r="G131">
        <f>IF($A131="",0,IF(COUNTIF('New Starters'!$D$14:$D$73,$A131)&gt;0,1,0))</f>
        <v/>
      </c>
      <c r="H131">
        <f>IF($A131="",0,IF(COUNTIF('Leavers'!$D$12:$D$71,$A131)&gt;0,1,0))</f>
        <v/>
      </c>
      <c r="I131">
        <f>IF($A131="","",IFERROR(INDEX('New Starters'!$K$14:$K$73,MATCH($A131,'New Starters'!$D$14:$D$73,0)),IFERROR(INDEX('Leavers'!$K$12:$K$71,MATCH($A131,'Leavers'!$D$12:$D$71,0)),"")))</f>
        <v/>
      </c>
      <c r="J131">
        <f>IF(AND(G131=1,I131&lt;&gt;"",COUNTIF('Leavers'!$K$12:$K$71,I131)&gt;0),1,IF(AND(H131=1,I131&lt;&gt;"",COUNTIF('New Starters'!$K$14:$K$73,I131)&gt;0),1,0))</f>
        <v/>
      </c>
      <c r="K131">
        <f>IF(ISNUMBER(SEARCH("Head Office",D131)),'Control Sheet'!$C$6,'Control Sheet'!$C$5)</f>
        <v/>
      </c>
      <c r="L131">
        <f>IF(OR($A131="",AND(B131="",C131="")),"",IF(B131="",C131,IF(C131="",-B131,C131-B131)))</f>
        <v/>
      </c>
      <c r="M131">
        <f>IFERROR(L131/B131,"")</f>
        <v/>
      </c>
      <c r="N131">
        <f>IF($A131="",0,IF(OR(B131="",C131="",C131=0,AND(ISNUMBER(M131),ABS(M131)&gt;K131)),1,0))</f>
        <v/>
      </c>
      <c r="O131">
        <f>IF(AND(N131=1,ABS(L131)&gt;='Control Sheet'!$C$7,F131=1),1,0)</f>
        <v/>
      </c>
      <c r="P131">
        <f>IF($A131="","",IF(F131=0,"Zero Hours",IF(J131=1,"Explained: Paired transfer",IF(AND(G131=1,H131=0,J131=0),"Explained: Starter",IF(AND(H131=1,G131=0,J131=0),"Explained: Leaver",IF(O131=1,"Review required","OK"))))))</f>
        <v/>
      </c>
      <c r="Q131">
        <f>IF(AND(F131=1,OR(C131="",C131=0),H131=0,J131=0),1,0)</f>
        <v/>
      </c>
      <c r="R131">
        <f>IF(F131=0,0,IF(P131="Review required",1,IF(AND(P131="Explained: Starter",ISNUMBER(C131),C131&gt;=1500),1,0)))</f>
        <v/>
      </c>
      <c r="S131">
        <f>IF(R131=0,"",IF(Q131=1,"High",IF(AND(P131="Explained: Starter",C131&gt;=1500),"High",IF(ABS(L131)&gt;=2000,"High",IF(ABS(L131)&gt;=500,"Medium","Low")))))</f>
        <v/>
      </c>
      <c r="T131">
        <f>SUMIFS('Payment Breakdown Prior'!$S$15:$S$164,'Payment Breakdown Prior'!$AE$15:$AE$164,$A131)</f>
        <v/>
      </c>
      <c r="U131">
        <f>SUMIFS('Payment Breakdown Current'!$S$15:$S$164,'Payment Breakdown Current'!$AE$15:$AE$164,$A131)</f>
        <v/>
      </c>
      <c r="V131">
        <f>IFERROR((U131-T131)/T131,"")</f>
        <v/>
      </c>
      <c r="W131">
        <f>(SUMIFS('Payment Breakdown Current'!$S$15:$S$164,'Payment Breakdown Current'!$AE$15:$AE$164,$A131))-(SUMIFS('Payment Breakdown Prior'!$S$15:$S$164,'Payment Breakdown Prior'!$AE$15:$AE$164,$A131))</f>
        <v/>
      </c>
      <c r="X131">
        <f>(SUMIFS('Payment Breakdown Current'!$T$15:$T$164,'Payment Breakdown Current'!$AE$15:$AE$164,$A131))-(SUMIFS('Payment Breakdown Prior'!$T$15:$T$164,'Payment Breakdown Prior'!$AE$15:$AE$164,$A131))</f>
        <v/>
      </c>
      <c r="Y131">
        <f>(SUMIFS('Payment Breakdown Current'!$U$15:$U$164,'Payment Breakdown Current'!$AE$15:$AE$164,$A131))-(SUMIFS('Payment Breakdown Prior'!$U$15:$U$164,'Payment Breakdown Prior'!$AE$15:$AE$164,$A131))</f>
        <v/>
      </c>
      <c r="Z131">
        <f>(SUMIFS('Payment Breakdown Current'!$V$15:$V$164,'Payment Breakdown Current'!$AE$15:$AE$164,$A131))-(SUMIFS('Payment Breakdown Prior'!$V$15:$V$164,'Payment Breakdown Prior'!$AE$15:$AE$164,$A131))</f>
        <v/>
      </c>
      <c r="AA131">
        <f>(SUMIFS('Payment Breakdown Current'!$W$15:$W$164,'Payment Breakdown Current'!$AE$15:$AE$164,$A131))-(SUMIFS('Payment Breakdown Prior'!$W$15:$W$164,'Payment Breakdown Prior'!$AE$15:$AE$164,$A131))</f>
        <v/>
      </c>
      <c r="AB131">
        <f>(SUMIFS('Payment Breakdown Current'!$X$15:$X$164,'Payment Breakdown Current'!$AE$15:$AE$164,$A131))-(SUMIFS('Payment Breakdown Prior'!$X$15:$X$164,'Payment Breakdown Prior'!$AE$15:$AE$164,$A131))</f>
        <v/>
      </c>
      <c r="AC131">
        <f>(SUMIFS('Payment Breakdown Current'!$Y$15:$Y$164,'Payment Breakdown Current'!$AE$15:$AE$164,$A131))-(SUMIFS('Payment Breakdown Prior'!$Y$15:$Y$164,'Payment Breakdown Prior'!$AE$15:$AE$164,$A131))</f>
        <v/>
      </c>
      <c r="AD131">
        <f>(SUMIFS('Payment Breakdown Current'!$Z$15:$Z$164,'Payment Breakdown Current'!$AE$15:$AE$164,$A131))-(SUMIFS('Payment Breakdown Prior'!$Z$15:$Z$164,'Payment Breakdown Prior'!$AE$15:$AE$164,$A131))</f>
        <v/>
      </c>
      <c r="AE131">
        <f>(SUMIFS('Payment Breakdown Current'!$AA$15:$AA$164,'Payment Breakdown Current'!$AE$15:$AE$164,$A131))-(SUMIFS('Payment Breakdown Prior'!$AA$15:$AA$164,'Payment Breakdown Prior'!$AE$15:$AE$164,$A131))</f>
        <v/>
      </c>
      <c r="AF131">
        <f>(SUMIFS('Payment Breakdown Current'!$AB$15:$AB$164,'Payment Breakdown Current'!$AE$15:$AE$164,$A131))-(SUMIFS('Payment Breakdown Prior'!$AB$15:$AB$164,'Payment Breakdown Prior'!$AE$15:$AE$164,$A131))</f>
        <v/>
      </c>
      <c r="AG131">
        <f>(SUMIFS('Payment Breakdown Current'!$AC$15:$AC$164,'Payment Breakdown Current'!$AE$15:$AE$164,$A131))-(SUMIFS('Payment Breakdown Prior'!$AC$15:$AC$164,'Payment Breakdown Prior'!$AE$15:$AE$164,$A131))</f>
        <v/>
      </c>
      <c r="AH131">
        <f>(SUMIFS('Payment Breakdown Current'!$AD$15:$AD$164,'Payment Breakdown Current'!$AE$15:$AE$164,$A131))-(SUMIFS('Payment Breakdown Prior'!$AD$15:$AD$164,'Payment Breakdown Prior'!$AE$15:$AE$164,$A131))</f>
        <v/>
      </c>
      <c r="AI131">
        <f t="array" ref="AI131">MAX(ABS(W131:AH131))</f>
        <v/>
      </c>
      <c r="AJ131">
        <f t="array" ref="AJ131">IF(AI131&lt;0.005,"",IFERROR(INDEX($W$1:$AH$1,MATCH(AI131,ABS(W131:AH131),0)),""))</f>
        <v/>
      </c>
      <c r="AK131">
        <f t="array" ref="AK131">IF(AI131&lt;0.005,"",IFERROR(INDEX(W131:AH131,MATCH(AI131,ABS(W131:AH131),0)),""))</f>
        <v/>
      </c>
      <c r="AL131">
        <f>IF(R131=1,ABS(L131)-ROW()/100000000,"")</f>
        <v/>
      </c>
    </row>
    <row r="132">
      <c r="A132">
        <f>IF('NPV Comparison'!D145="","",'NPV Comparison'!D145)</f>
        <v/>
      </c>
      <c r="B132">
        <f>IF('NPV Comparison'!E145="","",'NPV Comparison'!E145)</f>
        <v/>
      </c>
      <c r="C132">
        <f>IF('NPV Comparison'!F145="","",'NPV Comparison'!F145)</f>
        <v/>
      </c>
      <c r="D132">
        <f>IF($A132="","",IFERROR(INDEX(Structure!$E$13:$E$312,MATCH($A132,Structure!$P$13:$P$312,0)),""))</f>
        <v/>
      </c>
      <c r="E132">
        <f>IF($A132="",0,IF(COUNTIF(Structure!$P$13:$P$312,$A132)=0,0,IF(COUNTIFS(Structure!$P$13:$P$312,$A132,Structure!$N$13:$N$312,"&lt;&gt;Zero Hours")=0,1,0)))</f>
        <v/>
      </c>
      <c r="F132">
        <f>IF($A132="",0,1-E132)</f>
        <v/>
      </c>
      <c r="G132">
        <f>IF($A132="",0,IF(COUNTIF('New Starters'!$D$14:$D$73,$A132)&gt;0,1,0))</f>
        <v/>
      </c>
      <c r="H132">
        <f>IF($A132="",0,IF(COUNTIF('Leavers'!$D$12:$D$71,$A132)&gt;0,1,0))</f>
        <v/>
      </c>
      <c r="I132">
        <f>IF($A132="","",IFERROR(INDEX('New Starters'!$K$14:$K$73,MATCH($A132,'New Starters'!$D$14:$D$73,0)),IFERROR(INDEX('Leavers'!$K$12:$K$71,MATCH($A132,'Leavers'!$D$12:$D$71,0)),"")))</f>
        <v/>
      </c>
      <c r="J132">
        <f>IF(AND(G132=1,I132&lt;&gt;"",COUNTIF('Leavers'!$K$12:$K$71,I132)&gt;0),1,IF(AND(H132=1,I132&lt;&gt;"",COUNTIF('New Starters'!$K$14:$K$73,I132)&gt;0),1,0))</f>
        <v/>
      </c>
      <c r="K132">
        <f>IF(ISNUMBER(SEARCH("Head Office",D132)),'Control Sheet'!$C$6,'Control Sheet'!$C$5)</f>
        <v/>
      </c>
      <c r="L132">
        <f>IF(OR($A132="",AND(B132="",C132="")),"",IF(B132="",C132,IF(C132="",-B132,C132-B132)))</f>
        <v/>
      </c>
      <c r="M132">
        <f>IFERROR(L132/B132,"")</f>
        <v/>
      </c>
      <c r="N132">
        <f>IF($A132="",0,IF(OR(B132="",C132="",C132=0,AND(ISNUMBER(M132),ABS(M132)&gt;K132)),1,0))</f>
        <v/>
      </c>
      <c r="O132">
        <f>IF(AND(N132=1,ABS(L132)&gt;='Control Sheet'!$C$7,F132=1),1,0)</f>
        <v/>
      </c>
      <c r="P132">
        <f>IF($A132="","",IF(F132=0,"Zero Hours",IF(J132=1,"Explained: Paired transfer",IF(AND(G132=1,H132=0,J132=0),"Explained: Starter",IF(AND(H132=1,G132=0,J132=0),"Explained: Leaver",IF(O132=1,"Review required","OK"))))))</f>
        <v/>
      </c>
      <c r="Q132">
        <f>IF(AND(F132=1,OR(C132="",C132=0),H132=0,J132=0),1,0)</f>
        <v/>
      </c>
      <c r="R132">
        <f>IF(F132=0,0,IF(P132="Review required",1,IF(AND(P132="Explained: Starter",ISNUMBER(C132),C132&gt;=1500),1,0)))</f>
        <v/>
      </c>
      <c r="S132">
        <f>IF(R132=0,"",IF(Q132=1,"High",IF(AND(P132="Explained: Starter",C132&gt;=1500),"High",IF(ABS(L132)&gt;=2000,"High",IF(ABS(L132)&gt;=500,"Medium","Low")))))</f>
        <v/>
      </c>
      <c r="T132">
        <f>SUMIFS('Payment Breakdown Prior'!$S$15:$S$164,'Payment Breakdown Prior'!$AE$15:$AE$164,$A132)</f>
        <v/>
      </c>
      <c r="U132">
        <f>SUMIFS('Payment Breakdown Current'!$S$15:$S$164,'Payment Breakdown Current'!$AE$15:$AE$164,$A132)</f>
        <v/>
      </c>
      <c r="V132">
        <f>IFERROR((U132-T132)/T132,"")</f>
        <v/>
      </c>
      <c r="W132">
        <f>(SUMIFS('Payment Breakdown Current'!$S$15:$S$164,'Payment Breakdown Current'!$AE$15:$AE$164,$A132))-(SUMIFS('Payment Breakdown Prior'!$S$15:$S$164,'Payment Breakdown Prior'!$AE$15:$AE$164,$A132))</f>
        <v/>
      </c>
      <c r="X132">
        <f>(SUMIFS('Payment Breakdown Current'!$T$15:$T$164,'Payment Breakdown Current'!$AE$15:$AE$164,$A132))-(SUMIFS('Payment Breakdown Prior'!$T$15:$T$164,'Payment Breakdown Prior'!$AE$15:$AE$164,$A132))</f>
        <v/>
      </c>
      <c r="Y132">
        <f>(SUMIFS('Payment Breakdown Current'!$U$15:$U$164,'Payment Breakdown Current'!$AE$15:$AE$164,$A132))-(SUMIFS('Payment Breakdown Prior'!$U$15:$U$164,'Payment Breakdown Prior'!$AE$15:$AE$164,$A132))</f>
        <v/>
      </c>
      <c r="Z132">
        <f>(SUMIFS('Payment Breakdown Current'!$V$15:$V$164,'Payment Breakdown Current'!$AE$15:$AE$164,$A132))-(SUMIFS('Payment Breakdown Prior'!$V$15:$V$164,'Payment Breakdown Prior'!$AE$15:$AE$164,$A132))</f>
        <v/>
      </c>
      <c r="AA132">
        <f>(SUMIFS('Payment Breakdown Current'!$W$15:$W$164,'Payment Breakdown Current'!$AE$15:$AE$164,$A132))-(SUMIFS('Payment Breakdown Prior'!$W$15:$W$164,'Payment Breakdown Prior'!$AE$15:$AE$164,$A132))</f>
        <v/>
      </c>
      <c r="AB132">
        <f>(SUMIFS('Payment Breakdown Current'!$X$15:$X$164,'Payment Breakdown Current'!$AE$15:$AE$164,$A132))-(SUMIFS('Payment Breakdown Prior'!$X$15:$X$164,'Payment Breakdown Prior'!$AE$15:$AE$164,$A132))</f>
        <v/>
      </c>
      <c r="AC132">
        <f>(SUMIFS('Payment Breakdown Current'!$Y$15:$Y$164,'Payment Breakdown Current'!$AE$15:$AE$164,$A132))-(SUMIFS('Payment Breakdown Prior'!$Y$15:$Y$164,'Payment Breakdown Prior'!$AE$15:$AE$164,$A132))</f>
        <v/>
      </c>
      <c r="AD132">
        <f>(SUMIFS('Payment Breakdown Current'!$Z$15:$Z$164,'Payment Breakdown Current'!$AE$15:$AE$164,$A132))-(SUMIFS('Payment Breakdown Prior'!$Z$15:$Z$164,'Payment Breakdown Prior'!$AE$15:$AE$164,$A132))</f>
        <v/>
      </c>
      <c r="AE132">
        <f>(SUMIFS('Payment Breakdown Current'!$AA$15:$AA$164,'Payment Breakdown Current'!$AE$15:$AE$164,$A132))-(SUMIFS('Payment Breakdown Prior'!$AA$15:$AA$164,'Payment Breakdown Prior'!$AE$15:$AE$164,$A132))</f>
        <v/>
      </c>
      <c r="AF132">
        <f>(SUMIFS('Payment Breakdown Current'!$AB$15:$AB$164,'Payment Breakdown Current'!$AE$15:$AE$164,$A132))-(SUMIFS('Payment Breakdown Prior'!$AB$15:$AB$164,'Payment Breakdown Prior'!$AE$15:$AE$164,$A132))</f>
        <v/>
      </c>
      <c r="AG132">
        <f>(SUMIFS('Payment Breakdown Current'!$AC$15:$AC$164,'Payment Breakdown Current'!$AE$15:$AE$164,$A132))-(SUMIFS('Payment Breakdown Prior'!$AC$15:$AC$164,'Payment Breakdown Prior'!$AE$15:$AE$164,$A132))</f>
        <v/>
      </c>
      <c r="AH132">
        <f>(SUMIFS('Payment Breakdown Current'!$AD$15:$AD$164,'Payment Breakdown Current'!$AE$15:$AE$164,$A132))-(SUMIFS('Payment Breakdown Prior'!$AD$15:$AD$164,'Payment Breakdown Prior'!$AE$15:$AE$164,$A132))</f>
        <v/>
      </c>
      <c r="AI132">
        <f t="array" ref="AI132">MAX(ABS(W132:AH132))</f>
        <v/>
      </c>
      <c r="AJ132">
        <f t="array" ref="AJ132">IF(AI132&lt;0.005,"",IFERROR(INDEX($W$1:$AH$1,MATCH(AI132,ABS(W132:AH132),0)),""))</f>
        <v/>
      </c>
      <c r="AK132">
        <f t="array" ref="AK132">IF(AI132&lt;0.005,"",IFERROR(INDEX(W132:AH132,MATCH(AI132,ABS(W132:AH132),0)),""))</f>
        <v/>
      </c>
      <c r="AL132">
        <f>IF(R132=1,ABS(L132)-ROW()/100000000,"")</f>
        <v/>
      </c>
    </row>
    <row r="133">
      <c r="A133">
        <f>IF('NPV Comparison'!D146="","",'NPV Comparison'!D146)</f>
        <v/>
      </c>
      <c r="B133">
        <f>IF('NPV Comparison'!E146="","",'NPV Comparison'!E146)</f>
        <v/>
      </c>
      <c r="C133">
        <f>IF('NPV Comparison'!F146="","",'NPV Comparison'!F146)</f>
        <v/>
      </c>
      <c r="D133">
        <f>IF($A133="","",IFERROR(INDEX(Structure!$E$13:$E$312,MATCH($A133,Structure!$P$13:$P$312,0)),""))</f>
        <v/>
      </c>
      <c r="E133">
        <f>IF($A133="",0,IF(COUNTIF(Structure!$P$13:$P$312,$A133)=0,0,IF(COUNTIFS(Structure!$P$13:$P$312,$A133,Structure!$N$13:$N$312,"&lt;&gt;Zero Hours")=0,1,0)))</f>
        <v/>
      </c>
      <c r="F133">
        <f>IF($A133="",0,1-E133)</f>
        <v/>
      </c>
      <c r="G133">
        <f>IF($A133="",0,IF(COUNTIF('New Starters'!$D$14:$D$73,$A133)&gt;0,1,0))</f>
        <v/>
      </c>
      <c r="H133">
        <f>IF($A133="",0,IF(COUNTIF('Leavers'!$D$12:$D$71,$A133)&gt;0,1,0))</f>
        <v/>
      </c>
      <c r="I133">
        <f>IF($A133="","",IFERROR(INDEX('New Starters'!$K$14:$K$73,MATCH($A133,'New Starters'!$D$14:$D$73,0)),IFERROR(INDEX('Leavers'!$K$12:$K$71,MATCH($A133,'Leavers'!$D$12:$D$71,0)),"")))</f>
        <v/>
      </c>
      <c r="J133">
        <f>IF(AND(G133=1,I133&lt;&gt;"",COUNTIF('Leavers'!$K$12:$K$71,I133)&gt;0),1,IF(AND(H133=1,I133&lt;&gt;"",COUNTIF('New Starters'!$K$14:$K$73,I133)&gt;0),1,0))</f>
        <v/>
      </c>
      <c r="K133">
        <f>IF(ISNUMBER(SEARCH("Head Office",D133)),'Control Sheet'!$C$6,'Control Sheet'!$C$5)</f>
        <v/>
      </c>
      <c r="L133">
        <f>IF(OR($A133="",AND(B133="",C133="")),"",IF(B133="",C133,IF(C133="",-B133,C133-B133)))</f>
        <v/>
      </c>
      <c r="M133">
        <f>IFERROR(L133/B133,"")</f>
        <v/>
      </c>
      <c r="N133">
        <f>IF($A133="",0,IF(OR(B133="",C133="",C133=0,AND(ISNUMBER(M133),ABS(M133)&gt;K133)),1,0))</f>
        <v/>
      </c>
      <c r="O133">
        <f>IF(AND(N133=1,ABS(L133)&gt;='Control Sheet'!$C$7,F133=1),1,0)</f>
        <v/>
      </c>
      <c r="P133">
        <f>IF($A133="","",IF(F133=0,"Zero Hours",IF(J133=1,"Explained: Paired transfer",IF(AND(G133=1,H133=0,J133=0),"Explained: Starter",IF(AND(H133=1,G133=0,J133=0),"Explained: Leaver",IF(O133=1,"Review required","OK"))))))</f>
        <v/>
      </c>
      <c r="Q133">
        <f>IF(AND(F133=1,OR(C133="",C133=0),H133=0,J133=0),1,0)</f>
        <v/>
      </c>
      <c r="R133">
        <f>IF(F133=0,0,IF(P133="Review required",1,IF(AND(P133="Explained: Starter",ISNUMBER(C133),C133&gt;=1500),1,0)))</f>
        <v/>
      </c>
      <c r="S133">
        <f>IF(R133=0,"",IF(Q133=1,"High",IF(AND(P133="Explained: Starter",C133&gt;=1500),"High",IF(ABS(L133)&gt;=2000,"High",IF(ABS(L133)&gt;=500,"Medium","Low")))))</f>
        <v/>
      </c>
      <c r="T133">
        <f>SUMIFS('Payment Breakdown Prior'!$S$15:$S$164,'Payment Breakdown Prior'!$AE$15:$AE$164,$A133)</f>
        <v/>
      </c>
      <c r="U133">
        <f>SUMIFS('Payment Breakdown Current'!$S$15:$S$164,'Payment Breakdown Current'!$AE$15:$AE$164,$A133)</f>
        <v/>
      </c>
      <c r="V133">
        <f>IFERROR((U133-T133)/T133,"")</f>
        <v/>
      </c>
      <c r="W133">
        <f>(SUMIFS('Payment Breakdown Current'!$S$15:$S$164,'Payment Breakdown Current'!$AE$15:$AE$164,$A133))-(SUMIFS('Payment Breakdown Prior'!$S$15:$S$164,'Payment Breakdown Prior'!$AE$15:$AE$164,$A133))</f>
        <v/>
      </c>
      <c r="X133">
        <f>(SUMIFS('Payment Breakdown Current'!$T$15:$T$164,'Payment Breakdown Current'!$AE$15:$AE$164,$A133))-(SUMIFS('Payment Breakdown Prior'!$T$15:$T$164,'Payment Breakdown Prior'!$AE$15:$AE$164,$A133))</f>
        <v/>
      </c>
      <c r="Y133">
        <f>(SUMIFS('Payment Breakdown Current'!$U$15:$U$164,'Payment Breakdown Current'!$AE$15:$AE$164,$A133))-(SUMIFS('Payment Breakdown Prior'!$U$15:$U$164,'Payment Breakdown Prior'!$AE$15:$AE$164,$A133))</f>
        <v/>
      </c>
      <c r="Z133">
        <f>(SUMIFS('Payment Breakdown Current'!$V$15:$V$164,'Payment Breakdown Current'!$AE$15:$AE$164,$A133))-(SUMIFS('Payment Breakdown Prior'!$V$15:$V$164,'Payment Breakdown Prior'!$AE$15:$AE$164,$A133))</f>
        <v/>
      </c>
      <c r="AA133">
        <f>(SUMIFS('Payment Breakdown Current'!$W$15:$W$164,'Payment Breakdown Current'!$AE$15:$AE$164,$A133))-(SUMIFS('Payment Breakdown Prior'!$W$15:$W$164,'Payment Breakdown Prior'!$AE$15:$AE$164,$A133))</f>
        <v/>
      </c>
      <c r="AB133">
        <f>(SUMIFS('Payment Breakdown Current'!$X$15:$X$164,'Payment Breakdown Current'!$AE$15:$AE$164,$A133))-(SUMIFS('Payment Breakdown Prior'!$X$15:$X$164,'Payment Breakdown Prior'!$AE$15:$AE$164,$A133))</f>
        <v/>
      </c>
      <c r="AC133">
        <f>(SUMIFS('Payment Breakdown Current'!$Y$15:$Y$164,'Payment Breakdown Current'!$AE$15:$AE$164,$A133))-(SUMIFS('Payment Breakdown Prior'!$Y$15:$Y$164,'Payment Breakdown Prior'!$AE$15:$AE$164,$A133))</f>
        <v/>
      </c>
      <c r="AD133">
        <f>(SUMIFS('Payment Breakdown Current'!$Z$15:$Z$164,'Payment Breakdown Current'!$AE$15:$AE$164,$A133))-(SUMIFS('Payment Breakdown Prior'!$Z$15:$Z$164,'Payment Breakdown Prior'!$AE$15:$AE$164,$A133))</f>
        <v/>
      </c>
      <c r="AE133">
        <f>(SUMIFS('Payment Breakdown Current'!$AA$15:$AA$164,'Payment Breakdown Current'!$AE$15:$AE$164,$A133))-(SUMIFS('Payment Breakdown Prior'!$AA$15:$AA$164,'Payment Breakdown Prior'!$AE$15:$AE$164,$A133))</f>
        <v/>
      </c>
      <c r="AF133">
        <f>(SUMIFS('Payment Breakdown Current'!$AB$15:$AB$164,'Payment Breakdown Current'!$AE$15:$AE$164,$A133))-(SUMIFS('Payment Breakdown Prior'!$AB$15:$AB$164,'Payment Breakdown Prior'!$AE$15:$AE$164,$A133))</f>
        <v/>
      </c>
      <c r="AG133">
        <f>(SUMIFS('Payment Breakdown Current'!$AC$15:$AC$164,'Payment Breakdown Current'!$AE$15:$AE$164,$A133))-(SUMIFS('Payment Breakdown Prior'!$AC$15:$AC$164,'Payment Breakdown Prior'!$AE$15:$AE$164,$A133))</f>
        <v/>
      </c>
      <c r="AH133">
        <f>(SUMIFS('Payment Breakdown Current'!$AD$15:$AD$164,'Payment Breakdown Current'!$AE$15:$AE$164,$A133))-(SUMIFS('Payment Breakdown Prior'!$AD$15:$AD$164,'Payment Breakdown Prior'!$AE$15:$AE$164,$A133))</f>
        <v/>
      </c>
      <c r="AI133">
        <f t="array" ref="AI133">MAX(ABS(W133:AH133))</f>
        <v/>
      </c>
      <c r="AJ133">
        <f t="array" ref="AJ133">IF(AI133&lt;0.005,"",IFERROR(INDEX($W$1:$AH$1,MATCH(AI133,ABS(W133:AH133),0)),""))</f>
        <v/>
      </c>
      <c r="AK133">
        <f t="array" ref="AK133">IF(AI133&lt;0.005,"",IFERROR(INDEX(W133:AH133,MATCH(AI133,ABS(W133:AH133),0)),""))</f>
        <v/>
      </c>
      <c r="AL133">
        <f>IF(R133=1,ABS(L133)-ROW()/100000000,"")</f>
        <v/>
      </c>
    </row>
    <row r="134">
      <c r="A134">
        <f>IF('NPV Comparison'!D147="","",'NPV Comparison'!D147)</f>
        <v/>
      </c>
      <c r="B134">
        <f>IF('NPV Comparison'!E147="","",'NPV Comparison'!E147)</f>
        <v/>
      </c>
      <c r="C134">
        <f>IF('NPV Comparison'!F147="","",'NPV Comparison'!F147)</f>
        <v/>
      </c>
      <c r="D134">
        <f>IF($A134="","",IFERROR(INDEX(Structure!$E$13:$E$312,MATCH($A134,Structure!$P$13:$P$312,0)),""))</f>
        <v/>
      </c>
      <c r="E134">
        <f>IF($A134="",0,IF(COUNTIF(Structure!$P$13:$P$312,$A134)=0,0,IF(COUNTIFS(Structure!$P$13:$P$312,$A134,Structure!$N$13:$N$312,"&lt;&gt;Zero Hours")=0,1,0)))</f>
        <v/>
      </c>
      <c r="F134">
        <f>IF($A134="",0,1-E134)</f>
        <v/>
      </c>
      <c r="G134">
        <f>IF($A134="",0,IF(COUNTIF('New Starters'!$D$14:$D$73,$A134)&gt;0,1,0))</f>
        <v/>
      </c>
      <c r="H134">
        <f>IF($A134="",0,IF(COUNTIF('Leavers'!$D$12:$D$71,$A134)&gt;0,1,0))</f>
        <v/>
      </c>
      <c r="I134">
        <f>IF($A134="","",IFERROR(INDEX('New Starters'!$K$14:$K$73,MATCH($A134,'New Starters'!$D$14:$D$73,0)),IFERROR(INDEX('Leavers'!$K$12:$K$71,MATCH($A134,'Leavers'!$D$12:$D$71,0)),"")))</f>
        <v/>
      </c>
      <c r="J134">
        <f>IF(AND(G134=1,I134&lt;&gt;"",COUNTIF('Leavers'!$K$12:$K$71,I134)&gt;0),1,IF(AND(H134=1,I134&lt;&gt;"",COUNTIF('New Starters'!$K$14:$K$73,I134)&gt;0),1,0))</f>
        <v/>
      </c>
      <c r="K134">
        <f>IF(ISNUMBER(SEARCH("Head Office",D134)),'Control Sheet'!$C$6,'Control Sheet'!$C$5)</f>
        <v/>
      </c>
      <c r="L134">
        <f>IF(OR($A134="",AND(B134="",C134="")),"",IF(B134="",C134,IF(C134="",-B134,C134-B134)))</f>
        <v/>
      </c>
      <c r="M134">
        <f>IFERROR(L134/B134,"")</f>
        <v/>
      </c>
      <c r="N134">
        <f>IF($A134="",0,IF(OR(B134="",C134="",C134=0,AND(ISNUMBER(M134),ABS(M134)&gt;K134)),1,0))</f>
        <v/>
      </c>
      <c r="O134">
        <f>IF(AND(N134=1,ABS(L134)&gt;='Control Sheet'!$C$7,F134=1),1,0)</f>
        <v/>
      </c>
      <c r="P134">
        <f>IF($A134="","",IF(F134=0,"Zero Hours",IF(J134=1,"Explained: Paired transfer",IF(AND(G134=1,H134=0,J134=0),"Explained: Starter",IF(AND(H134=1,G134=0,J134=0),"Explained: Leaver",IF(O134=1,"Review required","OK"))))))</f>
        <v/>
      </c>
      <c r="Q134">
        <f>IF(AND(F134=1,OR(C134="",C134=0),H134=0,J134=0),1,0)</f>
        <v/>
      </c>
      <c r="R134">
        <f>IF(F134=0,0,IF(P134="Review required",1,IF(AND(P134="Explained: Starter",ISNUMBER(C134),C134&gt;=1500),1,0)))</f>
        <v/>
      </c>
      <c r="S134">
        <f>IF(R134=0,"",IF(Q134=1,"High",IF(AND(P134="Explained: Starter",C134&gt;=1500),"High",IF(ABS(L134)&gt;=2000,"High",IF(ABS(L134)&gt;=500,"Medium","Low")))))</f>
        <v/>
      </c>
      <c r="T134">
        <f>SUMIFS('Payment Breakdown Prior'!$S$15:$S$164,'Payment Breakdown Prior'!$AE$15:$AE$164,$A134)</f>
        <v/>
      </c>
      <c r="U134">
        <f>SUMIFS('Payment Breakdown Current'!$S$15:$S$164,'Payment Breakdown Current'!$AE$15:$AE$164,$A134)</f>
        <v/>
      </c>
      <c r="V134">
        <f>IFERROR((U134-T134)/T134,"")</f>
        <v/>
      </c>
      <c r="W134">
        <f>(SUMIFS('Payment Breakdown Current'!$S$15:$S$164,'Payment Breakdown Current'!$AE$15:$AE$164,$A134))-(SUMIFS('Payment Breakdown Prior'!$S$15:$S$164,'Payment Breakdown Prior'!$AE$15:$AE$164,$A134))</f>
        <v/>
      </c>
      <c r="X134">
        <f>(SUMIFS('Payment Breakdown Current'!$T$15:$T$164,'Payment Breakdown Current'!$AE$15:$AE$164,$A134))-(SUMIFS('Payment Breakdown Prior'!$T$15:$T$164,'Payment Breakdown Prior'!$AE$15:$AE$164,$A134))</f>
        <v/>
      </c>
      <c r="Y134">
        <f>(SUMIFS('Payment Breakdown Current'!$U$15:$U$164,'Payment Breakdown Current'!$AE$15:$AE$164,$A134))-(SUMIFS('Payment Breakdown Prior'!$U$15:$U$164,'Payment Breakdown Prior'!$AE$15:$AE$164,$A134))</f>
        <v/>
      </c>
      <c r="Z134">
        <f>(SUMIFS('Payment Breakdown Current'!$V$15:$V$164,'Payment Breakdown Current'!$AE$15:$AE$164,$A134))-(SUMIFS('Payment Breakdown Prior'!$V$15:$V$164,'Payment Breakdown Prior'!$AE$15:$AE$164,$A134))</f>
        <v/>
      </c>
      <c r="AA134">
        <f>(SUMIFS('Payment Breakdown Current'!$W$15:$W$164,'Payment Breakdown Current'!$AE$15:$AE$164,$A134))-(SUMIFS('Payment Breakdown Prior'!$W$15:$W$164,'Payment Breakdown Prior'!$AE$15:$AE$164,$A134))</f>
        <v/>
      </c>
      <c r="AB134">
        <f>(SUMIFS('Payment Breakdown Current'!$X$15:$X$164,'Payment Breakdown Current'!$AE$15:$AE$164,$A134))-(SUMIFS('Payment Breakdown Prior'!$X$15:$X$164,'Payment Breakdown Prior'!$AE$15:$AE$164,$A134))</f>
        <v/>
      </c>
      <c r="AC134">
        <f>(SUMIFS('Payment Breakdown Current'!$Y$15:$Y$164,'Payment Breakdown Current'!$AE$15:$AE$164,$A134))-(SUMIFS('Payment Breakdown Prior'!$Y$15:$Y$164,'Payment Breakdown Prior'!$AE$15:$AE$164,$A134))</f>
        <v/>
      </c>
      <c r="AD134">
        <f>(SUMIFS('Payment Breakdown Current'!$Z$15:$Z$164,'Payment Breakdown Current'!$AE$15:$AE$164,$A134))-(SUMIFS('Payment Breakdown Prior'!$Z$15:$Z$164,'Payment Breakdown Prior'!$AE$15:$AE$164,$A134))</f>
        <v/>
      </c>
      <c r="AE134">
        <f>(SUMIFS('Payment Breakdown Current'!$AA$15:$AA$164,'Payment Breakdown Current'!$AE$15:$AE$164,$A134))-(SUMIFS('Payment Breakdown Prior'!$AA$15:$AA$164,'Payment Breakdown Prior'!$AE$15:$AE$164,$A134))</f>
        <v/>
      </c>
      <c r="AF134">
        <f>(SUMIFS('Payment Breakdown Current'!$AB$15:$AB$164,'Payment Breakdown Current'!$AE$15:$AE$164,$A134))-(SUMIFS('Payment Breakdown Prior'!$AB$15:$AB$164,'Payment Breakdown Prior'!$AE$15:$AE$164,$A134))</f>
        <v/>
      </c>
      <c r="AG134">
        <f>(SUMIFS('Payment Breakdown Current'!$AC$15:$AC$164,'Payment Breakdown Current'!$AE$15:$AE$164,$A134))-(SUMIFS('Payment Breakdown Prior'!$AC$15:$AC$164,'Payment Breakdown Prior'!$AE$15:$AE$164,$A134))</f>
        <v/>
      </c>
      <c r="AH134">
        <f>(SUMIFS('Payment Breakdown Current'!$AD$15:$AD$164,'Payment Breakdown Current'!$AE$15:$AE$164,$A134))-(SUMIFS('Payment Breakdown Prior'!$AD$15:$AD$164,'Payment Breakdown Prior'!$AE$15:$AE$164,$A134))</f>
        <v/>
      </c>
      <c r="AI134">
        <f t="array" ref="AI134">MAX(ABS(W134:AH134))</f>
        <v/>
      </c>
      <c r="AJ134">
        <f t="array" ref="AJ134">IF(AI134&lt;0.005,"",IFERROR(INDEX($W$1:$AH$1,MATCH(AI134,ABS(W134:AH134),0)),""))</f>
        <v/>
      </c>
      <c r="AK134">
        <f t="array" ref="AK134">IF(AI134&lt;0.005,"",IFERROR(INDEX(W134:AH134,MATCH(AI134,ABS(W134:AH134),0)),""))</f>
        <v/>
      </c>
      <c r="AL134">
        <f>IF(R134=1,ABS(L134)-ROW()/100000000,"")</f>
        <v/>
      </c>
    </row>
    <row r="135">
      <c r="A135">
        <f>IF('NPV Comparison'!D148="","",'NPV Comparison'!D148)</f>
        <v/>
      </c>
      <c r="B135">
        <f>IF('NPV Comparison'!E148="","",'NPV Comparison'!E148)</f>
        <v/>
      </c>
      <c r="C135">
        <f>IF('NPV Comparison'!F148="","",'NPV Comparison'!F148)</f>
        <v/>
      </c>
      <c r="D135">
        <f>IF($A135="","",IFERROR(INDEX(Structure!$E$13:$E$312,MATCH($A135,Structure!$P$13:$P$312,0)),""))</f>
        <v/>
      </c>
      <c r="E135">
        <f>IF($A135="",0,IF(COUNTIF(Structure!$P$13:$P$312,$A135)=0,0,IF(COUNTIFS(Structure!$P$13:$P$312,$A135,Structure!$N$13:$N$312,"&lt;&gt;Zero Hours")=0,1,0)))</f>
        <v/>
      </c>
      <c r="F135">
        <f>IF($A135="",0,1-E135)</f>
        <v/>
      </c>
      <c r="G135">
        <f>IF($A135="",0,IF(COUNTIF('New Starters'!$D$14:$D$73,$A135)&gt;0,1,0))</f>
        <v/>
      </c>
      <c r="H135">
        <f>IF($A135="",0,IF(COUNTIF('Leavers'!$D$12:$D$71,$A135)&gt;0,1,0))</f>
        <v/>
      </c>
      <c r="I135">
        <f>IF($A135="","",IFERROR(INDEX('New Starters'!$K$14:$K$73,MATCH($A135,'New Starters'!$D$14:$D$73,0)),IFERROR(INDEX('Leavers'!$K$12:$K$71,MATCH($A135,'Leavers'!$D$12:$D$71,0)),"")))</f>
        <v/>
      </c>
      <c r="J135">
        <f>IF(AND(G135=1,I135&lt;&gt;"",COUNTIF('Leavers'!$K$12:$K$71,I135)&gt;0),1,IF(AND(H135=1,I135&lt;&gt;"",COUNTIF('New Starters'!$K$14:$K$73,I135)&gt;0),1,0))</f>
        <v/>
      </c>
      <c r="K135">
        <f>IF(ISNUMBER(SEARCH("Head Office",D135)),'Control Sheet'!$C$6,'Control Sheet'!$C$5)</f>
        <v/>
      </c>
      <c r="L135">
        <f>IF(OR($A135="",AND(B135="",C135="")),"",IF(B135="",C135,IF(C135="",-B135,C135-B135)))</f>
        <v/>
      </c>
      <c r="M135">
        <f>IFERROR(L135/B135,"")</f>
        <v/>
      </c>
      <c r="N135">
        <f>IF($A135="",0,IF(OR(B135="",C135="",C135=0,AND(ISNUMBER(M135),ABS(M135)&gt;K135)),1,0))</f>
        <v/>
      </c>
      <c r="O135">
        <f>IF(AND(N135=1,ABS(L135)&gt;='Control Sheet'!$C$7,F135=1),1,0)</f>
        <v/>
      </c>
      <c r="P135">
        <f>IF($A135="","",IF(F135=0,"Zero Hours",IF(J135=1,"Explained: Paired transfer",IF(AND(G135=1,H135=0,J135=0),"Explained: Starter",IF(AND(H135=1,G135=0,J135=0),"Explained: Leaver",IF(O135=1,"Review required","OK"))))))</f>
        <v/>
      </c>
      <c r="Q135">
        <f>IF(AND(F135=1,OR(C135="",C135=0),H135=0,J135=0),1,0)</f>
        <v/>
      </c>
      <c r="R135">
        <f>IF(F135=0,0,IF(P135="Review required",1,IF(AND(P135="Explained: Starter",ISNUMBER(C135),C135&gt;=1500),1,0)))</f>
        <v/>
      </c>
      <c r="S135">
        <f>IF(R135=0,"",IF(Q135=1,"High",IF(AND(P135="Explained: Starter",C135&gt;=1500),"High",IF(ABS(L135)&gt;=2000,"High",IF(ABS(L135)&gt;=500,"Medium","Low")))))</f>
        <v/>
      </c>
      <c r="T135">
        <f>SUMIFS('Payment Breakdown Prior'!$S$15:$S$164,'Payment Breakdown Prior'!$AE$15:$AE$164,$A135)</f>
        <v/>
      </c>
      <c r="U135">
        <f>SUMIFS('Payment Breakdown Current'!$S$15:$S$164,'Payment Breakdown Current'!$AE$15:$AE$164,$A135)</f>
        <v/>
      </c>
      <c r="V135">
        <f>IFERROR((U135-T135)/T135,"")</f>
        <v/>
      </c>
      <c r="W135">
        <f>(SUMIFS('Payment Breakdown Current'!$S$15:$S$164,'Payment Breakdown Current'!$AE$15:$AE$164,$A135))-(SUMIFS('Payment Breakdown Prior'!$S$15:$S$164,'Payment Breakdown Prior'!$AE$15:$AE$164,$A135))</f>
        <v/>
      </c>
      <c r="X135">
        <f>(SUMIFS('Payment Breakdown Current'!$T$15:$T$164,'Payment Breakdown Current'!$AE$15:$AE$164,$A135))-(SUMIFS('Payment Breakdown Prior'!$T$15:$T$164,'Payment Breakdown Prior'!$AE$15:$AE$164,$A135))</f>
        <v/>
      </c>
      <c r="Y135">
        <f>(SUMIFS('Payment Breakdown Current'!$U$15:$U$164,'Payment Breakdown Current'!$AE$15:$AE$164,$A135))-(SUMIFS('Payment Breakdown Prior'!$U$15:$U$164,'Payment Breakdown Prior'!$AE$15:$AE$164,$A135))</f>
        <v/>
      </c>
      <c r="Z135">
        <f>(SUMIFS('Payment Breakdown Current'!$V$15:$V$164,'Payment Breakdown Current'!$AE$15:$AE$164,$A135))-(SUMIFS('Payment Breakdown Prior'!$V$15:$V$164,'Payment Breakdown Prior'!$AE$15:$AE$164,$A135))</f>
        <v/>
      </c>
      <c r="AA135">
        <f>(SUMIFS('Payment Breakdown Current'!$W$15:$W$164,'Payment Breakdown Current'!$AE$15:$AE$164,$A135))-(SUMIFS('Payment Breakdown Prior'!$W$15:$W$164,'Payment Breakdown Prior'!$AE$15:$AE$164,$A135))</f>
        <v/>
      </c>
      <c r="AB135">
        <f>(SUMIFS('Payment Breakdown Current'!$X$15:$X$164,'Payment Breakdown Current'!$AE$15:$AE$164,$A135))-(SUMIFS('Payment Breakdown Prior'!$X$15:$X$164,'Payment Breakdown Prior'!$AE$15:$AE$164,$A135))</f>
        <v/>
      </c>
      <c r="AC135">
        <f>(SUMIFS('Payment Breakdown Current'!$Y$15:$Y$164,'Payment Breakdown Current'!$AE$15:$AE$164,$A135))-(SUMIFS('Payment Breakdown Prior'!$Y$15:$Y$164,'Payment Breakdown Prior'!$AE$15:$AE$164,$A135))</f>
        <v/>
      </c>
      <c r="AD135">
        <f>(SUMIFS('Payment Breakdown Current'!$Z$15:$Z$164,'Payment Breakdown Current'!$AE$15:$AE$164,$A135))-(SUMIFS('Payment Breakdown Prior'!$Z$15:$Z$164,'Payment Breakdown Prior'!$AE$15:$AE$164,$A135))</f>
        <v/>
      </c>
      <c r="AE135">
        <f>(SUMIFS('Payment Breakdown Current'!$AA$15:$AA$164,'Payment Breakdown Current'!$AE$15:$AE$164,$A135))-(SUMIFS('Payment Breakdown Prior'!$AA$15:$AA$164,'Payment Breakdown Prior'!$AE$15:$AE$164,$A135))</f>
        <v/>
      </c>
      <c r="AF135">
        <f>(SUMIFS('Payment Breakdown Current'!$AB$15:$AB$164,'Payment Breakdown Current'!$AE$15:$AE$164,$A135))-(SUMIFS('Payment Breakdown Prior'!$AB$15:$AB$164,'Payment Breakdown Prior'!$AE$15:$AE$164,$A135))</f>
        <v/>
      </c>
      <c r="AG135">
        <f>(SUMIFS('Payment Breakdown Current'!$AC$15:$AC$164,'Payment Breakdown Current'!$AE$15:$AE$164,$A135))-(SUMIFS('Payment Breakdown Prior'!$AC$15:$AC$164,'Payment Breakdown Prior'!$AE$15:$AE$164,$A135))</f>
        <v/>
      </c>
      <c r="AH135">
        <f>(SUMIFS('Payment Breakdown Current'!$AD$15:$AD$164,'Payment Breakdown Current'!$AE$15:$AE$164,$A135))-(SUMIFS('Payment Breakdown Prior'!$AD$15:$AD$164,'Payment Breakdown Prior'!$AE$15:$AE$164,$A135))</f>
        <v/>
      </c>
      <c r="AI135">
        <f t="array" ref="AI135">MAX(ABS(W135:AH135))</f>
        <v/>
      </c>
      <c r="AJ135">
        <f t="array" ref="AJ135">IF(AI135&lt;0.005,"",IFERROR(INDEX($W$1:$AH$1,MATCH(AI135,ABS(W135:AH135),0)),""))</f>
        <v/>
      </c>
      <c r="AK135">
        <f t="array" ref="AK135">IF(AI135&lt;0.005,"",IFERROR(INDEX(W135:AH135,MATCH(AI135,ABS(W135:AH135),0)),""))</f>
        <v/>
      </c>
      <c r="AL135">
        <f>IF(R135=1,ABS(L135)-ROW()/100000000,"")</f>
        <v/>
      </c>
    </row>
    <row r="136">
      <c r="A136">
        <f>IF('NPV Comparison'!D149="","",'NPV Comparison'!D149)</f>
        <v/>
      </c>
      <c r="B136">
        <f>IF('NPV Comparison'!E149="","",'NPV Comparison'!E149)</f>
        <v/>
      </c>
      <c r="C136">
        <f>IF('NPV Comparison'!F149="","",'NPV Comparison'!F149)</f>
        <v/>
      </c>
      <c r="D136">
        <f>IF($A136="","",IFERROR(INDEX(Structure!$E$13:$E$312,MATCH($A136,Structure!$P$13:$P$312,0)),""))</f>
        <v/>
      </c>
      <c r="E136">
        <f>IF($A136="",0,IF(COUNTIF(Structure!$P$13:$P$312,$A136)=0,0,IF(COUNTIFS(Structure!$P$13:$P$312,$A136,Structure!$N$13:$N$312,"&lt;&gt;Zero Hours")=0,1,0)))</f>
        <v/>
      </c>
      <c r="F136">
        <f>IF($A136="",0,1-E136)</f>
        <v/>
      </c>
      <c r="G136">
        <f>IF($A136="",0,IF(COUNTIF('New Starters'!$D$14:$D$73,$A136)&gt;0,1,0))</f>
        <v/>
      </c>
      <c r="H136">
        <f>IF($A136="",0,IF(COUNTIF('Leavers'!$D$12:$D$71,$A136)&gt;0,1,0))</f>
        <v/>
      </c>
      <c r="I136">
        <f>IF($A136="","",IFERROR(INDEX('New Starters'!$K$14:$K$73,MATCH($A136,'New Starters'!$D$14:$D$73,0)),IFERROR(INDEX('Leavers'!$K$12:$K$71,MATCH($A136,'Leavers'!$D$12:$D$71,0)),"")))</f>
        <v/>
      </c>
      <c r="J136">
        <f>IF(AND(G136=1,I136&lt;&gt;"",COUNTIF('Leavers'!$K$12:$K$71,I136)&gt;0),1,IF(AND(H136=1,I136&lt;&gt;"",COUNTIF('New Starters'!$K$14:$K$73,I136)&gt;0),1,0))</f>
        <v/>
      </c>
      <c r="K136">
        <f>IF(ISNUMBER(SEARCH("Head Office",D136)),'Control Sheet'!$C$6,'Control Sheet'!$C$5)</f>
        <v/>
      </c>
      <c r="L136">
        <f>IF(OR($A136="",AND(B136="",C136="")),"",IF(B136="",C136,IF(C136="",-B136,C136-B136)))</f>
        <v/>
      </c>
      <c r="M136">
        <f>IFERROR(L136/B136,"")</f>
        <v/>
      </c>
      <c r="N136">
        <f>IF($A136="",0,IF(OR(B136="",C136="",C136=0,AND(ISNUMBER(M136),ABS(M136)&gt;K136)),1,0))</f>
        <v/>
      </c>
      <c r="O136">
        <f>IF(AND(N136=1,ABS(L136)&gt;='Control Sheet'!$C$7,F136=1),1,0)</f>
        <v/>
      </c>
      <c r="P136">
        <f>IF($A136="","",IF(F136=0,"Zero Hours",IF(J136=1,"Explained: Paired transfer",IF(AND(G136=1,H136=0,J136=0),"Explained: Starter",IF(AND(H136=1,G136=0,J136=0),"Explained: Leaver",IF(O136=1,"Review required","OK"))))))</f>
        <v/>
      </c>
      <c r="Q136">
        <f>IF(AND(F136=1,OR(C136="",C136=0),H136=0,J136=0),1,0)</f>
        <v/>
      </c>
      <c r="R136">
        <f>IF(F136=0,0,IF(P136="Review required",1,IF(AND(P136="Explained: Starter",ISNUMBER(C136),C136&gt;=1500),1,0)))</f>
        <v/>
      </c>
      <c r="S136">
        <f>IF(R136=0,"",IF(Q136=1,"High",IF(AND(P136="Explained: Starter",C136&gt;=1500),"High",IF(ABS(L136)&gt;=2000,"High",IF(ABS(L136)&gt;=500,"Medium","Low")))))</f>
        <v/>
      </c>
      <c r="T136">
        <f>SUMIFS('Payment Breakdown Prior'!$S$15:$S$164,'Payment Breakdown Prior'!$AE$15:$AE$164,$A136)</f>
        <v/>
      </c>
      <c r="U136">
        <f>SUMIFS('Payment Breakdown Current'!$S$15:$S$164,'Payment Breakdown Current'!$AE$15:$AE$164,$A136)</f>
        <v/>
      </c>
      <c r="V136">
        <f>IFERROR((U136-T136)/T136,"")</f>
        <v/>
      </c>
      <c r="W136">
        <f>(SUMIFS('Payment Breakdown Current'!$S$15:$S$164,'Payment Breakdown Current'!$AE$15:$AE$164,$A136))-(SUMIFS('Payment Breakdown Prior'!$S$15:$S$164,'Payment Breakdown Prior'!$AE$15:$AE$164,$A136))</f>
        <v/>
      </c>
      <c r="X136">
        <f>(SUMIFS('Payment Breakdown Current'!$T$15:$T$164,'Payment Breakdown Current'!$AE$15:$AE$164,$A136))-(SUMIFS('Payment Breakdown Prior'!$T$15:$T$164,'Payment Breakdown Prior'!$AE$15:$AE$164,$A136))</f>
        <v/>
      </c>
      <c r="Y136">
        <f>(SUMIFS('Payment Breakdown Current'!$U$15:$U$164,'Payment Breakdown Current'!$AE$15:$AE$164,$A136))-(SUMIFS('Payment Breakdown Prior'!$U$15:$U$164,'Payment Breakdown Prior'!$AE$15:$AE$164,$A136))</f>
        <v/>
      </c>
      <c r="Z136">
        <f>(SUMIFS('Payment Breakdown Current'!$V$15:$V$164,'Payment Breakdown Current'!$AE$15:$AE$164,$A136))-(SUMIFS('Payment Breakdown Prior'!$V$15:$V$164,'Payment Breakdown Prior'!$AE$15:$AE$164,$A136))</f>
        <v/>
      </c>
      <c r="AA136">
        <f>(SUMIFS('Payment Breakdown Current'!$W$15:$W$164,'Payment Breakdown Current'!$AE$15:$AE$164,$A136))-(SUMIFS('Payment Breakdown Prior'!$W$15:$W$164,'Payment Breakdown Prior'!$AE$15:$AE$164,$A136))</f>
        <v/>
      </c>
      <c r="AB136">
        <f>(SUMIFS('Payment Breakdown Current'!$X$15:$X$164,'Payment Breakdown Current'!$AE$15:$AE$164,$A136))-(SUMIFS('Payment Breakdown Prior'!$X$15:$X$164,'Payment Breakdown Prior'!$AE$15:$AE$164,$A136))</f>
        <v/>
      </c>
      <c r="AC136">
        <f>(SUMIFS('Payment Breakdown Current'!$Y$15:$Y$164,'Payment Breakdown Current'!$AE$15:$AE$164,$A136))-(SUMIFS('Payment Breakdown Prior'!$Y$15:$Y$164,'Payment Breakdown Prior'!$AE$15:$AE$164,$A136))</f>
        <v/>
      </c>
      <c r="AD136">
        <f>(SUMIFS('Payment Breakdown Current'!$Z$15:$Z$164,'Payment Breakdown Current'!$AE$15:$AE$164,$A136))-(SUMIFS('Payment Breakdown Prior'!$Z$15:$Z$164,'Payment Breakdown Prior'!$AE$15:$AE$164,$A136))</f>
        <v/>
      </c>
      <c r="AE136">
        <f>(SUMIFS('Payment Breakdown Current'!$AA$15:$AA$164,'Payment Breakdown Current'!$AE$15:$AE$164,$A136))-(SUMIFS('Payment Breakdown Prior'!$AA$15:$AA$164,'Payment Breakdown Prior'!$AE$15:$AE$164,$A136))</f>
        <v/>
      </c>
      <c r="AF136">
        <f>(SUMIFS('Payment Breakdown Current'!$AB$15:$AB$164,'Payment Breakdown Current'!$AE$15:$AE$164,$A136))-(SUMIFS('Payment Breakdown Prior'!$AB$15:$AB$164,'Payment Breakdown Prior'!$AE$15:$AE$164,$A136))</f>
        <v/>
      </c>
      <c r="AG136">
        <f>(SUMIFS('Payment Breakdown Current'!$AC$15:$AC$164,'Payment Breakdown Current'!$AE$15:$AE$164,$A136))-(SUMIFS('Payment Breakdown Prior'!$AC$15:$AC$164,'Payment Breakdown Prior'!$AE$15:$AE$164,$A136))</f>
        <v/>
      </c>
      <c r="AH136">
        <f>(SUMIFS('Payment Breakdown Current'!$AD$15:$AD$164,'Payment Breakdown Current'!$AE$15:$AE$164,$A136))-(SUMIFS('Payment Breakdown Prior'!$AD$15:$AD$164,'Payment Breakdown Prior'!$AE$15:$AE$164,$A136))</f>
        <v/>
      </c>
      <c r="AI136">
        <f t="array" ref="AI136">MAX(ABS(W136:AH136))</f>
        <v/>
      </c>
      <c r="AJ136">
        <f t="array" ref="AJ136">IF(AI136&lt;0.005,"",IFERROR(INDEX($W$1:$AH$1,MATCH(AI136,ABS(W136:AH136),0)),""))</f>
        <v/>
      </c>
      <c r="AK136">
        <f t="array" ref="AK136">IF(AI136&lt;0.005,"",IFERROR(INDEX(W136:AH136,MATCH(AI136,ABS(W136:AH136),0)),""))</f>
        <v/>
      </c>
      <c r="AL136">
        <f>IF(R136=1,ABS(L136)-ROW()/100000000,"")</f>
        <v/>
      </c>
    </row>
    <row r="137">
      <c r="A137">
        <f>IF('NPV Comparison'!D150="","",'NPV Comparison'!D150)</f>
        <v/>
      </c>
      <c r="B137">
        <f>IF('NPV Comparison'!E150="","",'NPV Comparison'!E150)</f>
        <v/>
      </c>
      <c r="C137">
        <f>IF('NPV Comparison'!F150="","",'NPV Comparison'!F150)</f>
        <v/>
      </c>
      <c r="D137">
        <f>IF($A137="","",IFERROR(INDEX(Structure!$E$13:$E$312,MATCH($A137,Structure!$P$13:$P$312,0)),""))</f>
        <v/>
      </c>
      <c r="E137">
        <f>IF($A137="",0,IF(COUNTIF(Structure!$P$13:$P$312,$A137)=0,0,IF(COUNTIFS(Structure!$P$13:$P$312,$A137,Structure!$N$13:$N$312,"&lt;&gt;Zero Hours")=0,1,0)))</f>
        <v/>
      </c>
      <c r="F137">
        <f>IF($A137="",0,1-E137)</f>
        <v/>
      </c>
      <c r="G137">
        <f>IF($A137="",0,IF(COUNTIF('New Starters'!$D$14:$D$73,$A137)&gt;0,1,0))</f>
        <v/>
      </c>
      <c r="H137">
        <f>IF($A137="",0,IF(COUNTIF('Leavers'!$D$12:$D$71,$A137)&gt;0,1,0))</f>
        <v/>
      </c>
      <c r="I137">
        <f>IF($A137="","",IFERROR(INDEX('New Starters'!$K$14:$K$73,MATCH($A137,'New Starters'!$D$14:$D$73,0)),IFERROR(INDEX('Leavers'!$K$12:$K$71,MATCH($A137,'Leavers'!$D$12:$D$71,0)),"")))</f>
        <v/>
      </c>
      <c r="J137">
        <f>IF(AND(G137=1,I137&lt;&gt;"",COUNTIF('Leavers'!$K$12:$K$71,I137)&gt;0),1,IF(AND(H137=1,I137&lt;&gt;"",COUNTIF('New Starters'!$K$14:$K$73,I137)&gt;0),1,0))</f>
        <v/>
      </c>
      <c r="K137">
        <f>IF(ISNUMBER(SEARCH("Head Office",D137)),'Control Sheet'!$C$6,'Control Sheet'!$C$5)</f>
        <v/>
      </c>
      <c r="L137">
        <f>IF(OR($A137="",AND(B137="",C137="")),"",IF(B137="",C137,IF(C137="",-B137,C137-B137)))</f>
        <v/>
      </c>
      <c r="M137">
        <f>IFERROR(L137/B137,"")</f>
        <v/>
      </c>
      <c r="N137">
        <f>IF($A137="",0,IF(OR(B137="",C137="",C137=0,AND(ISNUMBER(M137),ABS(M137)&gt;K137)),1,0))</f>
        <v/>
      </c>
      <c r="O137">
        <f>IF(AND(N137=1,ABS(L137)&gt;='Control Sheet'!$C$7,F137=1),1,0)</f>
        <v/>
      </c>
      <c r="P137">
        <f>IF($A137="","",IF(F137=0,"Zero Hours",IF(J137=1,"Explained: Paired transfer",IF(AND(G137=1,H137=0,J137=0),"Explained: Starter",IF(AND(H137=1,G137=0,J137=0),"Explained: Leaver",IF(O137=1,"Review required","OK"))))))</f>
        <v/>
      </c>
      <c r="Q137">
        <f>IF(AND(F137=1,OR(C137="",C137=0),H137=0,J137=0),1,0)</f>
        <v/>
      </c>
      <c r="R137">
        <f>IF(F137=0,0,IF(P137="Review required",1,IF(AND(P137="Explained: Starter",ISNUMBER(C137),C137&gt;=1500),1,0)))</f>
        <v/>
      </c>
      <c r="S137">
        <f>IF(R137=0,"",IF(Q137=1,"High",IF(AND(P137="Explained: Starter",C137&gt;=1500),"High",IF(ABS(L137)&gt;=2000,"High",IF(ABS(L137)&gt;=500,"Medium","Low")))))</f>
        <v/>
      </c>
      <c r="T137">
        <f>SUMIFS('Payment Breakdown Prior'!$S$15:$S$164,'Payment Breakdown Prior'!$AE$15:$AE$164,$A137)</f>
        <v/>
      </c>
      <c r="U137">
        <f>SUMIFS('Payment Breakdown Current'!$S$15:$S$164,'Payment Breakdown Current'!$AE$15:$AE$164,$A137)</f>
        <v/>
      </c>
      <c r="V137">
        <f>IFERROR((U137-T137)/T137,"")</f>
        <v/>
      </c>
      <c r="W137">
        <f>(SUMIFS('Payment Breakdown Current'!$S$15:$S$164,'Payment Breakdown Current'!$AE$15:$AE$164,$A137))-(SUMIFS('Payment Breakdown Prior'!$S$15:$S$164,'Payment Breakdown Prior'!$AE$15:$AE$164,$A137))</f>
        <v/>
      </c>
      <c r="X137">
        <f>(SUMIFS('Payment Breakdown Current'!$T$15:$T$164,'Payment Breakdown Current'!$AE$15:$AE$164,$A137))-(SUMIFS('Payment Breakdown Prior'!$T$15:$T$164,'Payment Breakdown Prior'!$AE$15:$AE$164,$A137))</f>
        <v/>
      </c>
      <c r="Y137">
        <f>(SUMIFS('Payment Breakdown Current'!$U$15:$U$164,'Payment Breakdown Current'!$AE$15:$AE$164,$A137))-(SUMIFS('Payment Breakdown Prior'!$U$15:$U$164,'Payment Breakdown Prior'!$AE$15:$AE$164,$A137))</f>
        <v/>
      </c>
      <c r="Z137">
        <f>(SUMIFS('Payment Breakdown Current'!$V$15:$V$164,'Payment Breakdown Current'!$AE$15:$AE$164,$A137))-(SUMIFS('Payment Breakdown Prior'!$V$15:$V$164,'Payment Breakdown Prior'!$AE$15:$AE$164,$A137))</f>
        <v/>
      </c>
      <c r="AA137">
        <f>(SUMIFS('Payment Breakdown Current'!$W$15:$W$164,'Payment Breakdown Current'!$AE$15:$AE$164,$A137))-(SUMIFS('Payment Breakdown Prior'!$W$15:$W$164,'Payment Breakdown Prior'!$AE$15:$AE$164,$A137))</f>
        <v/>
      </c>
      <c r="AB137">
        <f>(SUMIFS('Payment Breakdown Current'!$X$15:$X$164,'Payment Breakdown Current'!$AE$15:$AE$164,$A137))-(SUMIFS('Payment Breakdown Prior'!$X$15:$X$164,'Payment Breakdown Prior'!$AE$15:$AE$164,$A137))</f>
        <v/>
      </c>
      <c r="AC137">
        <f>(SUMIFS('Payment Breakdown Current'!$Y$15:$Y$164,'Payment Breakdown Current'!$AE$15:$AE$164,$A137))-(SUMIFS('Payment Breakdown Prior'!$Y$15:$Y$164,'Payment Breakdown Prior'!$AE$15:$AE$164,$A137))</f>
        <v/>
      </c>
      <c r="AD137">
        <f>(SUMIFS('Payment Breakdown Current'!$Z$15:$Z$164,'Payment Breakdown Current'!$AE$15:$AE$164,$A137))-(SUMIFS('Payment Breakdown Prior'!$Z$15:$Z$164,'Payment Breakdown Prior'!$AE$15:$AE$164,$A137))</f>
        <v/>
      </c>
      <c r="AE137">
        <f>(SUMIFS('Payment Breakdown Current'!$AA$15:$AA$164,'Payment Breakdown Current'!$AE$15:$AE$164,$A137))-(SUMIFS('Payment Breakdown Prior'!$AA$15:$AA$164,'Payment Breakdown Prior'!$AE$15:$AE$164,$A137))</f>
        <v/>
      </c>
      <c r="AF137">
        <f>(SUMIFS('Payment Breakdown Current'!$AB$15:$AB$164,'Payment Breakdown Current'!$AE$15:$AE$164,$A137))-(SUMIFS('Payment Breakdown Prior'!$AB$15:$AB$164,'Payment Breakdown Prior'!$AE$15:$AE$164,$A137))</f>
        <v/>
      </c>
      <c r="AG137">
        <f>(SUMIFS('Payment Breakdown Current'!$AC$15:$AC$164,'Payment Breakdown Current'!$AE$15:$AE$164,$A137))-(SUMIFS('Payment Breakdown Prior'!$AC$15:$AC$164,'Payment Breakdown Prior'!$AE$15:$AE$164,$A137))</f>
        <v/>
      </c>
      <c r="AH137">
        <f>(SUMIFS('Payment Breakdown Current'!$AD$15:$AD$164,'Payment Breakdown Current'!$AE$15:$AE$164,$A137))-(SUMIFS('Payment Breakdown Prior'!$AD$15:$AD$164,'Payment Breakdown Prior'!$AE$15:$AE$164,$A137))</f>
        <v/>
      </c>
      <c r="AI137">
        <f t="array" ref="AI137">MAX(ABS(W137:AH137))</f>
        <v/>
      </c>
      <c r="AJ137">
        <f t="array" ref="AJ137">IF(AI137&lt;0.005,"",IFERROR(INDEX($W$1:$AH$1,MATCH(AI137,ABS(W137:AH137),0)),""))</f>
        <v/>
      </c>
      <c r="AK137">
        <f t="array" ref="AK137">IF(AI137&lt;0.005,"",IFERROR(INDEX(W137:AH137,MATCH(AI137,ABS(W137:AH137),0)),""))</f>
        <v/>
      </c>
      <c r="AL137">
        <f>IF(R137=1,ABS(L137)-ROW()/100000000,"")</f>
        <v/>
      </c>
    </row>
    <row r="138">
      <c r="A138">
        <f>IF('NPV Comparison'!D151="","",'NPV Comparison'!D151)</f>
        <v/>
      </c>
      <c r="B138">
        <f>IF('NPV Comparison'!E151="","",'NPV Comparison'!E151)</f>
        <v/>
      </c>
      <c r="C138">
        <f>IF('NPV Comparison'!F151="","",'NPV Comparison'!F151)</f>
        <v/>
      </c>
      <c r="D138">
        <f>IF($A138="","",IFERROR(INDEX(Structure!$E$13:$E$312,MATCH($A138,Structure!$P$13:$P$312,0)),""))</f>
        <v/>
      </c>
      <c r="E138">
        <f>IF($A138="",0,IF(COUNTIF(Structure!$P$13:$P$312,$A138)=0,0,IF(COUNTIFS(Structure!$P$13:$P$312,$A138,Structure!$N$13:$N$312,"&lt;&gt;Zero Hours")=0,1,0)))</f>
        <v/>
      </c>
      <c r="F138">
        <f>IF($A138="",0,1-E138)</f>
        <v/>
      </c>
      <c r="G138">
        <f>IF($A138="",0,IF(COUNTIF('New Starters'!$D$14:$D$73,$A138)&gt;0,1,0))</f>
        <v/>
      </c>
      <c r="H138">
        <f>IF($A138="",0,IF(COUNTIF('Leavers'!$D$12:$D$71,$A138)&gt;0,1,0))</f>
        <v/>
      </c>
      <c r="I138">
        <f>IF($A138="","",IFERROR(INDEX('New Starters'!$K$14:$K$73,MATCH($A138,'New Starters'!$D$14:$D$73,0)),IFERROR(INDEX('Leavers'!$K$12:$K$71,MATCH($A138,'Leavers'!$D$12:$D$71,0)),"")))</f>
        <v/>
      </c>
      <c r="J138">
        <f>IF(AND(G138=1,I138&lt;&gt;"",COUNTIF('Leavers'!$K$12:$K$71,I138)&gt;0),1,IF(AND(H138=1,I138&lt;&gt;"",COUNTIF('New Starters'!$K$14:$K$73,I138)&gt;0),1,0))</f>
        <v/>
      </c>
      <c r="K138">
        <f>IF(ISNUMBER(SEARCH("Head Office",D138)),'Control Sheet'!$C$6,'Control Sheet'!$C$5)</f>
        <v/>
      </c>
      <c r="L138">
        <f>IF(OR($A138="",AND(B138="",C138="")),"",IF(B138="",C138,IF(C138="",-B138,C138-B138)))</f>
        <v/>
      </c>
      <c r="M138">
        <f>IFERROR(L138/B138,"")</f>
        <v/>
      </c>
      <c r="N138">
        <f>IF($A138="",0,IF(OR(B138="",C138="",C138=0,AND(ISNUMBER(M138),ABS(M138)&gt;K138)),1,0))</f>
        <v/>
      </c>
      <c r="O138">
        <f>IF(AND(N138=1,ABS(L138)&gt;='Control Sheet'!$C$7,F138=1),1,0)</f>
        <v/>
      </c>
      <c r="P138">
        <f>IF($A138="","",IF(F138=0,"Zero Hours",IF(J138=1,"Explained: Paired transfer",IF(AND(G138=1,H138=0,J138=0),"Explained: Starter",IF(AND(H138=1,G138=0,J138=0),"Explained: Leaver",IF(O138=1,"Review required","OK"))))))</f>
        <v/>
      </c>
      <c r="Q138">
        <f>IF(AND(F138=1,OR(C138="",C138=0),H138=0,J138=0),1,0)</f>
        <v/>
      </c>
      <c r="R138">
        <f>IF(F138=0,0,IF(P138="Review required",1,IF(AND(P138="Explained: Starter",ISNUMBER(C138),C138&gt;=1500),1,0)))</f>
        <v/>
      </c>
      <c r="S138">
        <f>IF(R138=0,"",IF(Q138=1,"High",IF(AND(P138="Explained: Starter",C138&gt;=1500),"High",IF(ABS(L138)&gt;=2000,"High",IF(ABS(L138)&gt;=500,"Medium","Low")))))</f>
        <v/>
      </c>
      <c r="T138">
        <f>SUMIFS('Payment Breakdown Prior'!$S$15:$S$164,'Payment Breakdown Prior'!$AE$15:$AE$164,$A138)</f>
        <v/>
      </c>
      <c r="U138">
        <f>SUMIFS('Payment Breakdown Current'!$S$15:$S$164,'Payment Breakdown Current'!$AE$15:$AE$164,$A138)</f>
        <v/>
      </c>
      <c r="V138">
        <f>IFERROR((U138-T138)/T138,"")</f>
        <v/>
      </c>
      <c r="W138">
        <f>(SUMIFS('Payment Breakdown Current'!$S$15:$S$164,'Payment Breakdown Current'!$AE$15:$AE$164,$A138))-(SUMIFS('Payment Breakdown Prior'!$S$15:$S$164,'Payment Breakdown Prior'!$AE$15:$AE$164,$A138))</f>
        <v/>
      </c>
      <c r="X138">
        <f>(SUMIFS('Payment Breakdown Current'!$T$15:$T$164,'Payment Breakdown Current'!$AE$15:$AE$164,$A138))-(SUMIFS('Payment Breakdown Prior'!$T$15:$T$164,'Payment Breakdown Prior'!$AE$15:$AE$164,$A138))</f>
        <v/>
      </c>
      <c r="Y138">
        <f>(SUMIFS('Payment Breakdown Current'!$U$15:$U$164,'Payment Breakdown Current'!$AE$15:$AE$164,$A138))-(SUMIFS('Payment Breakdown Prior'!$U$15:$U$164,'Payment Breakdown Prior'!$AE$15:$AE$164,$A138))</f>
        <v/>
      </c>
      <c r="Z138">
        <f>(SUMIFS('Payment Breakdown Current'!$V$15:$V$164,'Payment Breakdown Current'!$AE$15:$AE$164,$A138))-(SUMIFS('Payment Breakdown Prior'!$V$15:$V$164,'Payment Breakdown Prior'!$AE$15:$AE$164,$A138))</f>
        <v/>
      </c>
      <c r="AA138">
        <f>(SUMIFS('Payment Breakdown Current'!$W$15:$W$164,'Payment Breakdown Current'!$AE$15:$AE$164,$A138))-(SUMIFS('Payment Breakdown Prior'!$W$15:$W$164,'Payment Breakdown Prior'!$AE$15:$AE$164,$A138))</f>
        <v/>
      </c>
      <c r="AB138">
        <f>(SUMIFS('Payment Breakdown Current'!$X$15:$X$164,'Payment Breakdown Current'!$AE$15:$AE$164,$A138))-(SUMIFS('Payment Breakdown Prior'!$X$15:$X$164,'Payment Breakdown Prior'!$AE$15:$AE$164,$A138))</f>
        <v/>
      </c>
      <c r="AC138">
        <f>(SUMIFS('Payment Breakdown Current'!$Y$15:$Y$164,'Payment Breakdown Current'!$AE$15:$AE$164,$A138))-(SUMIFS('Payment Breakdown Prior'!$Y$15:$Y$164,'Payment Breakdown Prior'!$AE$15:$AE$164,$A138))</f>
        <v/>
      </c>
      <c r="AD138">
        <f>(SUMIFS('Payment Breakdown Current'!$Z$15:$Z$164,'Payment Breakdown Current'!$AE$15:$AE$164,$A138))-(SUMIFS('Payment Breakdown Prior'!$Z$15:$Z$164,'Payment Breakdown Prior'!$AE$15:$AE$164,$A138))</f>
        <v/>
      </c>
      <c r="AE138">
        <f>(SUMIFS('Payment Breakdown Current'!$AA$15:$AA$164,'Payment Breakdown Current'!$AE$15:$AE$164,$A138))-(SUMIFS('Payment Breakdown Prior'!$AA$15:$AA$164,'Payment Breakdown Prior'!$AE$15:$AE$164,$A138))</f>
        <v/>
      </c>
      <c r="AF138">
        <f>(SUMIFS('Payment Breakdown Current'!$AB$15:$AB$164,'Payment Breakdown Current'!$AE$15:$AE$164,$A138))-(SUMIFS('Payment Breakdown Prior'!$AB$15:$AB$164,'Payment Breakdown Prior'!$AE$15:$AE$164,$A138))</f>
        <v/>
      </c>
      <c r="AG138">
        <f>(SUMIFS('Payment Breakdown Current'!$AC$15:$AC$164,'Payment Breakdown Current'!$AE$15:$AE$164,$A138))-(SUMIFS('Payment Breakdown Prior'!$AC$15:$AC$164,'Payment Breakdown Prior'!$AE$15:$AE$164,$A138))</f>
        <v/>
      </c>
      <c r="AH138">
        <f>(SUMIFS('Payment Breakdown Current'!$AD$15:$AD$164,'Payment Breakdown Current'!$AE$15:$AE$164,$A138))-(SUMIFS('Payment Breakdown Prior'!$AD$15:$AD$164,'Payment Breakdown Prior'!$AE$15:$AE$164,$A138))</f>
        <v/>
      </c>
      <c r="AI138">
        <f t="array" ref="AI138">MAX(ABS(W138:AH138))</f>
        <v/>
      </c>
      <c r="AJ138">
        <f t="array" ref="AJ138">IF(AI138&lt;0.005,"",IFERROR(INDEX($W$1:$AH$1,MATCH(AI138,ABS(W138:AH138),0)),""))</f>
        <v/>
      </c>
      <c r="AK138">
        <f t="array" ref="AK138">IF(AI138&lt;0.005,"",IFERROR(INDEX(W138:AH138,MATCH(AI138,ABS(W138:AH138),0)),""))</f>
        <v/>
      </c>
      <c r="AL138">
        <f>IF(R138=1,ABS(L138)-ROW()/100000000,"")</f>
        <v/>
      </c>
    </row>
    <row r="139">
      <c r="A139">
        <f>IF('NPV Comparison'!D152="","",'NPV Comparison'!D152)</f>
        <v/>
      </c>
      <c r="B139">
        <f>IF('NPV Comparison'!E152="","",'NPV Comparison'!E152)</f>
        <v/>
      </c>
      <c r="C139">
        <f>IF('NPV Comparison'!F152="","",'NPV Comparison'!F152)</f>
        <v/>
      </c>
      <c r="D139">
        <f>IF($A139="","",IFERROR(INDEX(Structure!$E$13:$E$312,MATCH($A139,Structure!$P$13:$P$312,0)),""))</f>
        <v/>
      </c>
      <c r="E139">
        <f>IF($A139="",0,IF(COUNTIF(Structure!$P$13:$P$312,$A139)=0,0,IF(COUNTIFS(Structure!$P$13:$P$312,$A139,Structure!$N$13:$N$312,"&lt;&gt;Zero Hours")=0,1,0)))</f>
        <v/>
      </c>
      <c r="F139">
        <f>IF($A139="",0,1-E139)</f>
        <v/>
      </c>
      <c r="G139">
        <f>IF($A139="",0,IF(COUNTIF('New Starters'!$D$14:$D$73,$A139)&gt;0,1,0))</f>
        <v/>
      </c>
      <c r="H139">
        <f>IF($A139="",0,IF(COUNTIF('Leavers'!$D$12:$D$71,$A139)&gt;0,1,0))</f>
        <v/>
      </c>
      <c r="I139">
        <f>IF($A139="","",IFERROR(INDEX('New Starters'!$K$14:$K$73,MATCH($A139,'New Starters'!$D$14:$D$73,0)),IFERROR(INDEX('Leavers'!$K$12:$K$71,MATCH($A139,'Leavers'!$D$12:$D$71,0)),"")))</f>
        <v/>
      </c>
      <c r="J139">
        <f>IF(AND(G139=1,I139&lt;&gt;"",COUNTIF('Leavers'!$K$12:$K$71,I139)&gt;0),1,IF(AND(H139=1,I139&lt;&gt;"",COUNTIF('New Starters'!$K$14:$K$73,I139)&gt;0),1,0))</f>
        <v/>
      </c>
      <c r="K139">
        <f>IF(ISNUMBER(SEARCH("Head Office",D139)),'Control Sheet'!$C$6,'Control Sheet'!$C$5)</f>
        <v/>
      </c>
      <c r="L139">
        <f>IF(OR($A139="",AND(B139="",C139="")),"",IF(B139="",C139,IF(C139="",-B139,C139-B139)))</f>
        <v/>
      </c>
      <c r="M139">
        <f>IFERROR(L139/B139,"")</f>
        <v/>
      </c>
      <c r="N139">
        <f>IF($A139="",0,IF(OR(B139="",C139="",C139=0,AND(ISNUMBER(M139),ABS(M139)&gt;K139)),1,0))</f>
        <v/>
      </c>
      <c r="O139">
        <f>IF(AND(N139=1,ABS(L139)&gt;='Control Sheet'!$C$7,F139=1),1,0)</f>
        <v/>
      </c>
      <c r="P139">
        <f>IF($A139="","",IF(F139=0,"Zero Hours",IF(J139=1,"Explained: Paired transfer",IF(AND(G139=1,H139=0,J139=0),"Explained: Starter",IF(AND(H139=1,G139=0,J139=0),"Explained: Leaver",IF(O139=1,"Review required","OK"))))))</f>
        <v/>
      </c>
      <c r="Q139">
        <f>IF(AND(F139=1,OR(C139="",C139=0),H139=0,J139=0),1,0)</f>
        <v/>
      </c>
      <c r="R139">
        <f>IF(F139=0,0,IF(P139="Review required",1,IF(AND(P139="Explained: Starter",ISNUMBER(C139),C139&gt;=1500),1,0)))</f>
        <v/>
      </c>
      <c r="S139">
        <f>IF(R139=0,"",IF(Q139=1,"High",IF(AND(P139="Explained: Starter",C139&gt;=1500),"High",IF(ABS(L139)&gt;=2000,"High",IF(ABS(L139)&gt;=500,"Medium","Low")))))</f>
        <v/>
      </c>
      <c r="T139">
        <f>SUMIFS('Payment Breakdown Prior'!$S$15:$S$164,'Payment Breakdown Prior'!$AE$15:$AE$164,$A139)</f>
        <v/>
      </c>
      <c r="U139">
        <f>SUMIFS('Payment Breakdown Current'!$S$15:$S$164,'Payment Breakdown Current'!$AE$15:$AE$164,$A139)</f>
        <v/>
      </c>
      <c r="V139">
        <f>IFERROR((U139-T139)/T139,"")</f>
        <v/>
      </c>
      <c r="W139">
        <f>(SUMIFS('Payment Breakdown Current'!$S$15:$S$164,'Payment Breakdown Current'!$AE$15:$AE$164,$A139))-(SUMIFS('Payment Breakdown Prior'!$S$15:$S$164,'Payment Breakdown Prior'!$AE$15:$AE$164,$A139))</f>
        <v/>
      </c>
      <c r="X139">
        <f>(SUMIFS('Payment Breakdown Current'!$T$15:$T$164,'Payment Breakdown Current'!$AE$15:$AE$164,$A139))-(SUMIFS('Payment Breakdown Prior'!$T$15:$T$164,'Payment Breakdown Prior'!$AE$15:$AE$164,$A139))</f>
        <v/>
      </c>
      <c r="Y139">
        <f>(SUMIFS('Payment Breakdown Current'!$U$15:$U$164,'Payment Breakdown Current'!$AE$15:$AE$164,$A139))-(SUMIFS('Payment Breakdown Prior'!$U$15:$U$164,'Payment Breakdown Prior'!$AE$15:$AE$164,$A139))</f>
        <v/>
      </c>
      <c r="Z139">
        <f>(SUMIFS('Payment Breakdown Current'!$V$15:$V$164,'Payment Breakdown Current'!$AE$15:$AE$164,$A139))-(SUMIFS('Payment Breakdown Prior'!$V$15:$V$164,'Payment Breakdown Prior'!$AE$15:$AE$164,$A139))</f>
        <v/>
      </c>
      <c r="AA139">
        <f>(SUMIFS('Payment Breakdown Current'!$W$15:$W$164,'Payment Breakdown Current'!$AE$15:$AE$164,$A139))-(SUMIFS('Payment Breakdown Prior'!$W$15:$W$164,'Payment Breakdown Prior'!$AE$15:$AE$164,$A139))</f>
        <v/>
      </c>
      <c r="AB139">
        <f>(SUMIFS('Payment Breakdown Current'!$X$15:$X$164,'Payment Breakdown Current'!$AE$15:$AE$164,$A139))-(SUMIFS('Payment Breakdown Prior'!$X$15:$X$164,'Payment Breakdown Prior'!$AE$15:$AE$164,$A139))</f>
        <v/>
      </c>
      <c r="AC139">
        <f>(SUMIFS('Payment Breakdown Current'!$Y$15:$Y$164,'Payment Breakdown Current'!$AE$15:$AE$164,$A139))-(SUMIFS('Payment Breakdown Prior'!$Y$15:$Y$164,'Payment Breakdown Prior'!$AE$15:$AE$164,$A139))</f>
        <v/>
      </c>
      <c r="AD139">
        <f>(SUMIFS('Payment Breakdown Current'!$Z$15:$Z$164,'Payment Breakdown Current'!$AE$15:$AE$164,$A139))-(SUMIFS('Payment Breakdown Prior'!$Z$15:$Z$164,'Payment Breakdown Prior'!$AE$15:$AE$164,$A139))</f>
        <v/>
      </c>
      <c r="AE139">
        <f>(SUMIFS('Payment Breakdown Current'!$AA$15:$AA$164,'Payment Breakdown Current'!$AE$15:$AE$164,$A139))-(SUMIFS('Payment Breakdown Prior'!$AA$15:$AA$164,'Payment Breakdown Prior'!$AE$15:$AE$164,$A139))</f>
        <v/>
      </c>
      <c r="AF139">
        <f>(SUMIFS('Payment Breakdown Current'!$AB$15:$AB$164,'Payment Breakdown Current'!$AE$15:$AE$164,$A139))-(SUMIFS('Payment Breakdown Prior'!$AB$15:$AB$164,'Payment Breakdown Prior'!$AE$15:$AE$164,$A139))</f>
        <v/>
      </c>
      <c r="AG139">
        <f>(SUMIFS('Payment Breakdown Current'!$AC$15:$AC$164,'Payment Breakdown Current'!$AE$15:$AE$164,$A139))-(SUMIFS('Payment Breakdown Prior'!$AC$15:$AC$164,'Payment Breakdown Prior'!$AE$15:$AE$164,$A139))</f>
        <v/>
      </c>
      <c r="AH139">
        <f>(SUMIFS('Payment Breakdown Current'!$AD$15:$AD$164,'Payment Breakdown Current'!$AE$15:$AE$164,$A139))-(SUMIFS('Payment Breakdown Prior'!$AD$15:$AD$164,'Payment Breakdown Prior'!$AE$15:$AE$164,$A139))</f>
        <v/>
      </c>
      <c r="AI139">
        <f t="array" ref="AI139">MAX(ABS(W139:AH139))</f>
        <v/>
      </c>
      <c r="AJ139">
        <f t="array" ref="AJ139">IF(AI139&lt;0.005,"",IFERROR(INDEX($W$1:$AH$1,MATCH(AI139,ABS(W139:AH139),0)),""))</f>
        <v/>
      </c>
      <c r="AK139">
        <f t="array" ref="AK139">IF(AI139&lt;0.005,"",IFERROR(INDEX(W139:AH139,MATCH(AI139,ABS(W139:AH139),0)),""))</f>
        <v/>
      </c>
      <c r="AL139">
        <f>IF(R139=1,ABS(L139)-ROW()/100000000,"")</f>
        <v/>
      </c>
    </row>
    <row r="140">
      <c r="A140">
        <f>IF('NPV Comparison'!D153="","",'NPV Comparison'!D153)</f>
        <v/>
      </c>
      <c r="B140">
        <f>IF('NPV Comparison'!E153="","",'NPV Comparison'!E153)</f>
        <v/>
      </c>
      <c r="C140">
        <f>IF('NPV Comparison'!F153="","",'NPV Comparison'!F153)</f>
        <v/>
      </c>
      <c r="D140">
        <f>IF($A140="","",IFERROR(INDEX(Structure!$E$13:$E$312,MATCH($A140,Structure!$P$13:$P$312,0)),""))</f>
        <v/>
      </c>
      <c r="E140">
        <f>IF($A140="",0,IF(COUNTIF(Structure!$P$13:$P$312,$A140)=0,0,IF(COUNTIFS(Structure!$P$13:$P$312,$A140,Structure!$N$13:$N$312,"&lt;&gt;Zero Hours")=0,1,0)))</f>
        <v/>
      </c>
      <c r="F140">
        <f>IF($A140="",0,1-E140)</f>
        <v/>
      </c>
      <c r="G140">
        <f>IF($A140="",0,IF(COUNTIF('New Starters'!$D$14:$D$73,$A140)&gt;0,1,0))</f>
        <v/>
      </c>
      <c r="H140">
        <f>IF($A140="",0,IF(COUNTIF('Leavers'!$D$12:$D$71,$A140)&gt;0,1,0))</f>
        <v/>
      </c>
      <c r="I140">
        <f>IF($A140="","",IFERROR(INDEX('New Starters'!$K$14:$K$73,MATCH($A140,'New Starters'!$D$14:$D$73,0)),IFERROR(INDEX('Leavers'!$K$12:$K$71,MATCH($A140,'Leavers'!$D$12:$D$71,0)),"")))</f>
        <v/>
      </c>
      <c r="J140">
        <f>IF(AND(G140=1,I140&lt;&gt;"",COUNTIF('Leavers'!$K$12:$K$71,I140)&gt;0),1,IF(AND(H140=1,I140&lt;&gt;"",COUNTIF('New Starters'!$K$14:$K$73,I140)&gt;0),1,0))</f>
        <v/>
      </c>
      <c r="K140">
        <f>IF(ISNUMBER(SEARCH("Head Office",D140)),'Control Sheet'!$C$6,'Control Sheet'!$C$5)</f>
        <v/>
      </c>
      <c r="L140">
        <f>IF(OR($A140="",AND(B140="",C140="")),"",IF(B140="",C140,IF(C140="",-B140,C140-B140)))</f>
        <v/>
      </c>
      <c r="M140">
        <f>IFERROR(L140/B140,"")</f>
        <v/>
      </c>
      <c r="N140">
        <f>IF($A140="",0,IF(OR(B140="",C140="",C140=0,AND(ISNUMBER(M140),ABS(M140)&gt;K140)),1,0))</f>
        <v/>
      </c>
      <c r="O140">
        <f>IF(AND(N140=1,ABS(L140)&gt;='Control Sheet'!$C$7,F140=1),1,0)</f>
        <v/>
      </c>
      <c r="P140">
        <f>IF($A140="","",IF(F140=0,"Zero Hours",IF(J140=1,"Explained: Paired transfer",IF(AND(G140=1,H140=0,J140=0),"Explained: Starter",IF(AND(H140=1,G140=0,J140=0),"Explained: Leaver",IF(O140=1,"Review required","OK"))))))</f>
        <v/>
      </c>
      <c r="Q140">
        <f>IF(AND(F140=1,OR(C140="",C140=0),H140=0,J140=0),1,0)</f>
        <v/>
      </c>
      <c r="R140">
        <f>IF(F140=0,0,IF(P140="Review required",1,IF(AND(P140="Explained: Starter",ISNUMBER(C140),C140&gt;=1500),1,0)))</f>
        <v/>
      </c>
      <c r="S140">
        <f>IF(R140=0,"",IF(Q140=1,"High",IF(AND(P140="Explained: Starter",C140&gt;=1500),"High",IF(ABS(L140)&gt;=2000,"High",IF(ABS(L140)&gt;=500,"Medium","Low")))))</f>
        <v/>
      </c>
      <c r="T140">
        <f>SUMIFS('Payment Breakdown Prior'!$S$15:$S$164,'Payment Breakdown Prior'!$AE$15:$AE$164,$A140)</f>
        <v/>
      </c>
      <c r="U140">
        <f>SUMIFS('Payment Breakdown Current'!$S$15:$S$164,'Payment Breakdown Current'!$AE$15:$AE$164,$A140)</f>
        <v/>
      </c>
      <c r="V140">
        <f>IFERROR((U140-T140)/T140,"")</f>
        <v/>
      </c>
      <c r="W140">
        <f>(SUMIFS('Payment Breakdown Current'!$S$15:$S$164,'Payment Breakdown Current'!$AE$15:$AE$164,$A140))-(SUMIFS('Payment Breakdown Prior'!$S$15:$S$164,'Payment Breakdown Prior'!$AE$15:$AE$164,$A140))</f>
        <v/>
      </c>
      <c r="X140">
        <f>(SUMIFS('Payment Breakdown Current'!$T$15:$T$164,'Payment Breakdown Current'!$AE$15:$AE$164,$A140))-(SUMIFS('Payment Breakdown Prior'!$T$15:$T$164,'Payment Breakdown Prior'!$AE$15:$AE$164,$A140))</f>
        <v/>
      </c>
      <c r="Y140">
        <f>(SUMIFS('Payment Breakdown Current'!$U$15:$U$164,'Payment Breakdown Current'!$AE$15:$AE$164,$A140))-(SUMIFS('Payment Breakdown Prior'!$U$15:$U$164,'Payment Breakdown Prior'!$AE$15:$AE$164,$A140))</f>
        <v/>
      </c>
      <c r="Z140">
        <f>(SUMIFS('Payment Breakdown Current'!$V$15:$V$164,'Payment Breakdown Current'!$AE$15:$AE$164,$A140))-(SUMIFS('Payment Breakdown Prior'!$V$15:$V$164,'Payment Breakdown Prior'!$AE$15:$AE$164,$A140))</f>
        <v/>
      </c>
      <c r="AA140">
        <f>(SUMIFS('Payment Breakdown Current'!$W$15:$W$164,'Payment Breakdown Current'!$AE$15:$AE$164,$A140))-(SUMIFS('Payment Breakdown Prior'!$W$15:$W$164,'Payment Breakdown Prior'!$AE$15:$AE$164,$A140))</f>
        <v/>
      </c>
      <c r="AB140">
        <f>(SUMIFS('Payment Breakdown Current'!$X$15:$X$164,'Payment Breakdown Current'!$AE$15:$AE$164,$A140))-(SUMIFS('Payment Breakdown Prior'!$X$15:$X$164,'Payment Breakdown Prior'!$AE$15:$AE$164,$A140))</f>
        <v/>
      </c>
      <c r="AC140">
        <f>(SUMIFS('Payment Breakdown Current'!$Y$15:$Y$164,'Payment Breakdown Current'!$AE$15:$AE$164,$A140))-(SUMIFS('Payment Breakdown Prior'!$Y$15:$Y$164,'Payment Breakdown Prior'!$AE$15:$AE$164,$A140))</f>
        <v/>
      </c>
      <c r="AD140">
        <f>(SUMIFS('Payment Breakdown Current'!$Z$15:$Z$164,'Payment Breakdown Current'!$AE$15:$AE$164,$A140))-(SUMIFS('Payment Breakdown Prior'!$Z$15:$Z$164,'Payment Breakdown Prior'!$AE$15:$AE$164,$A140))</f>
        <v/>
      </c>
      <c r="AE140">
        <f>(SUMIFS('Payment Breakdown Current'!$AA$15:$AA$164,'Payment Breakdown Current'!$AE$15:$AE$164,$A140))-(SUMIFS('Payment Breakdown Prior'!$AA$15:$AA$164,'Payment Breakdown Prior'!$AE$15:$AE$164,$A140))</f>
        <v/>
      </c>
      <c r="AF140">
        <f>(SUMIFS('Payment Breakdown Current'!$AB$15:$AB$164,'Payment Breakdown Current'!$AE$15:$AE$164,$A140))-(SUMIFS('Payment Breakdown Prior'!$AB$15:$AB$164,'Payment Breakdown Prior'!$AE$15:$AE$164,$A140))</f>
        <v/>
      </c>
      <c r="AG140">
        <f>(SUMIFS('Payment Breakdown Current'!$AC$15:$AC$164,'Payment Breakdown Current'!$AE$15:$AE$164,$A140))-(SUMIFS('Payment Breakdown Prior'!$AC$15:$AC$164,'Payment Breakdown Prior'!$AE$15:$AE$164,$A140))</f>
        <v/>
      </c>
      <c r="AH140">
        <f>(SUMIFS('Payment Breakdown Current'!$AD$15:$AD$164,'Payment Breakdown Current'!$AE$15:$AE$164,$A140))-(SUMIFS('Payment Breakdown Prior'!$AD$15:$AD$164,'Payment Breakdown Prior'!$AE$15:$AE$164,$A140))</f>
        <v/>
      </c>
      <c r="AI140">
        <f t="array" ref="AI140">MAX(ABS(W140:AH140))</f>
        <v/>
      </c>
      <c r="AJ140">
        <f t="array" ref="AJ140">IF(AI140&lt;0.005,"",IFERROR(INDEX($W$1:$AH$1,MATCH(AI140,ABS(W140:AH140),0)),""))</f>
        <v/>
      </c>
      <c r="AK140">
        <f t="array" ref="AK140">IF(AI140&lt;0.005,"",IFERROR(INDEX(W140:AH140,MATCH(AI140,ABS(W140:AH140),0)),""))</f>
        <v/>
      </c>
      <c r="AL140">
        <f>IF(R140=1,ABS(L140)-ROW()/100000000,"")</f>
        <v/>
      </c>
    </row>
    <row r="141">
      <c r="A141">
        <f>IF('NPV Comparison'!D154="","",'NPV Comparison'!D154)</f>
        <v/>
      </c>
      <c r="B141">
        <f>IF('NPV Comparison'!E154="","",'NPV Comparison'!E154)</f>
        <v/>
      </c>
      <c r="C141">
        <f>IF('NPV Comparison'!F154="","",'NPV Comparison'!F154)</f>
        <v/>
      </c>
      <c r="D141">
        <f>IF($A141="","",IFERROR(INDEX(Structure!$E$13:$E$312,MATCH($A141,Structure!$P$13:$P$312,0)),""))</f>
        <v/>
      </c>
      <c r="E141">
        <f>IF($A141="",0,IF(COUNTIF(Structure!$P$13:$P$312,$A141)=0,0,IF(COUNTIFS(Structure!$P$13:$P$312,$A141,Structure!$N$13:$N$312,"&lt;&gt;Zero Hours")=0,1,0)))</f>
        <v/>
      </c>
      <c r="F141">
        <f>IF($A141="",0,1-E141)</f>
        <v/>
      </c>
      <c r="G141">
        <f>IF($A141="",0,IF(COUNTIF('New Starters'!$D$14:$D$73,$A141)&gt;0,1,0))</f>
        <v/>
      </c>
      <c r="H141">
        <f>IF($A141="",0,IF(COUNTIF('Leavers'!$D$12:$D$71,$A141)&gt;0,1,0))</f>
        <v/>
      </c>
      <c r="I141">
        <f>IF($A141="","",IFERROR(INDEX('New Starters'!$K$14:$K$73,MATCH($A141,'New Starters'!$D$14:$D$73,0)),IFERROR(INDEX('Leavers'!$K$12:$K$71,MATCH($A141,'Leavers'!$D$12:$D$71,0)),"")))</f>
        <v/>
      </c>
      <c r="J141">
        <f>IF(AND(G141=1,I141&lt;&gt;"",COUNTIF('Leavers'!$K$12:$K$71,I141)&gt;0),1,IF(AND(H141=1,I141&lt;&gt;"",COUNTIF('New Starters'!$K$14:$K$73,I141)&gt;0),1,0))</f>
        <v/>
      </c>
      <c r="K141">
        <f>IF(ISNUMBER(SEARCH("Head Office",D141)),'Control Sheet'!$C$6,'Control Sheet'!$C$5)</f>
        <v/>
      </c>
      <c r="L141">
        <f>IF(OR($A141="",AND(B141="",C141="")),"",IF(B141="",C141,IF(C141="",-B141,C141-B141)))</f>
        <v/>
      </c>
      <c r="M141">
        <f>IFERROR(L141/B141,"")</f>
        <v/>
      </c>
      <c r="N141">
        <f>IF($A141="",0,IF(OR(B141="",C141="",C141=0,AND(ISNUMBER(M141),ABS(M141)&gt;K141)),1,0))</f>
        <v/>
      </c>
      <c r="O141">
        <f>IF(AND(N141=1,ABS(L141)&gt;='Control Sheet'!$C$7,F141=1),1,0)</f>
        <v/>
      </c>
      <c r="P141">
        <f>IF($A141="","",IF(F141=0,"Zero Hours",IF(J141=1,"Explained: Paired transfer",IF(AND(G141=1,H141=0,J141=0),"Explained: Starter",IF(AND(H141=1,G141=0,J141=0),"Explained: Leaver",IF(O141=1,"Review required","OK"))))))</f>
        <v/>
      </c>
      <c r="Q141">
        <f>IF(AND(F141=1,OR(C141="",C141=0),H141=0,J141=0),1,0)</f>
        <v/>
      </c>
      <c r="R141">
        <f>IF(F141=0,0,IF(P141="Review required",1,IF(AND(P141="Explained: Starter",ISNUMBER(C141),C141&gt;=1500),1,0)))</f>
        <v/>
      </c>
      <c r="S141">
        <f>IF(R141=0,"",IF(Q141=1,"High",IF(AND(P141="Explained: Starter",C141&gt;=1500),"High",IF(ABS(L141)&gt;=2000,"High",IF(ABS(L141)&gt;=500,"Medium","Low")))))</f>
        <v/>
      </c>
      <c r="T141">
        <f>SUMIFS('Payment Breakdown Prior'!$S$15:$S$164,'Payment Breakdown Prior'!$AE$15:$AE$164,$A141)</f>
        <v/>
      </c>
      <c r="U141">
        <f>SUMIFS('Payment Breakdown Current'!$S$15:$S$164,'Payment Breakdown Current'!$AE$15:$AE$164,$A141)</f>
        <v/>
      </c>
      <c r="V141">
        <f>IFERROR((U141-T141)/T141,"")</f>
        <v/>
      </c>
      <c r="W141">
        <f>(SUMIFS('Payment Breakdown Current'!$S$15:$S$164,'Payment Breakdown Current'!$AE$15:$AE$164,$A141))-(SUMIFS('Payment Breakdown Prior'!$S$15:$S$164,'Payment Breakdown Prior'!$AE$15:$AE$164,$A141))</f>
        <v/>
      </c>
      <c r="X141">
        <f>(SUMIFS('Payment Breakdown Current'!$T$15:$T$164,'Payment Breakdown Current'!$AE$15:$AE$164,$A141))-(SUMIFS('Payment Breakdown Prior'!$T$15:$T$164,'Payment Breakdown Prior'!$AE$15:$AE$164,$A141))</f>
        <v/>
      </c>
      <c r="Y141">
        <f>(SUMIFS('Payment Breakdown Current'!$U$15:$U$164,'Payment Breakdown Current'!$AE$15:$AE$164,$A141))-(SUMIFS('Payment Breakdown Prior'!$U$15:$U$164,'Payment Breakdown Prior'!$AE$15:$AE$164,$A141))</f>
        <v/>
      </c>
      <c r="Z141">
        <f>(SUMIFS('Payment Breakdown Current'!$V$15:$V$164,'Payment Breakdown Current'!$AE$15:$AE$164,$A141))-(SUMIFS('Payment Breakdown Prior'!$V$15:$V$164,'Payment Breakdown Prior'!$AE$15:$AE$164,$A141))</f>
        <v/>
      </c>
      <c r="AA141">
        <f>(SUMIFS('Payment Breakdown Current'!$W$15:$W$164,'Payment Breakdown Current'!$AE$15:$AE$164,$A141))-(SUMIFS('Payment Breakdown Prior'!$W$15:$W$164,'Payment Breakdown Prior'!$AE$15:$AE$164,$A141))</f>
        <v/>
      </c>
      <c r="AB141">
        <f>(SUMIFS('Payment Breakdown Current'!$X$15:$X$164,'Payment Breakdown Current'!$AE$15:$AE$164,$A141))-(SUMIFS('Payment Breakdown Prior'!$X$15:$X$164,'Payment Breakdown Prior'!$AE$15:$AE$164,$A141))</f>
        <v/>
      </c>
      <c r="AC141">
        <f>(SUMIFS('Payment Breakdown Current'!$Y$15:$Y$164,'Payment Breakdown Current'!$AE$15:$AE$164,$A141))-(SUMIFS('Payment Breakdown Prior'!$Y$15:$Y$164,'Payment Breakdown Prior'!$AE$15:$AE$164,$A141))</f>
        <v/>
      </c>
      <c r="AD141">
        <f>(SUMIFS('Payment Breakdown Current'!$Z$15:$Z$164,'Payment Breakdown Current'!$AE$15:$AE$164,$A141))-(SUMIFS('Payment Breakdown Prior'!$Z$15:$Z$164,'Payment Breakdown Prior'!$AE$15:$AE$164,$A141))</f>
        <v/>
      </c>
      <c r="AE141">
        <f>(SUMIFS('Payment Breakdown Current'!$AA$15:$AA$164,'Payment Breakdown Current'!$AE$15:$AE$164,$A141))-(SUMIFS('Payment Breakdown Prior'!$AA$15:$AA$164,'Payment Breakdown Prior'!$AE$15:$AE$164,$A141))</f>
        <v/>
      </c>
      <c r="AF141">
        <f>(SUMIFS('Payment Breakdown Current'!$AB$15:$AB$164,'Payment Breakdown Current'!$AE$15:$AE$164,$A141))-(SUMIFS('Payment Breakdown Prior'!$AB$15:$AB$164,'Payment Breakdown Prior'!$AE$15:$AE$164,$A141))</f>
        <v/>
      </c>
      <c r="AG141">
        <f>(SUMIFS('Payment Breakdown Current'!$AC$15:$AC$164,'Payment Breakdown Current'!$AE$15:$AE$164,$A141))-(SUMIFS('Payment Breakdown Prior'!$AC$15:$AC$164,'Payment Breakdown Prior'!$AE$15:$AE$164,$A141))</f>
        <v/>
      </c>
      <c r="AH141">
        <f>(SUMIFS('Payment Breakdown Current'!$AD$15:$AD$164,'Payment Breakdown Current'!$AE$15:$AE$164,$A141))-(SUMIFS('Payment Breakdown Prior'!$AD$15:$AD$164,'Payment Breakdown Prior'!$AE$15:$AE$164,$A141))</f>
        <v/>
      </c>
      <c r="AI141">
        <f t="array" ref="AI141">MAX(ABS(W141:AH141))</f>
        <v/>
      </c>
      <c r="AJ141">
        <f t="array" ref="AJ141">IF(AI141&lt;0.005,"",IFERROR(INDEX($W$1:$AH$1,MATCH(AI141,ABS(W141:AH141),0)),""))</f>
        <v/>
      </c>
      <c r="AK141">
        <f t="array" ref="AK141">IF(AI141&lt;0.005,"",IFERROR(INDEX(W141:AH141,MATCH(AI141,ABS(W141:AH141),0)),""))</f>
        <v/>
      </c>
      <c r="AL141">
        <f>IF(R141=1,ABS(L141)-ROW()/100000000,"")</f>
        <v/>
      </c>
    </row>
    <row r="142">
      <c r="A142">
        <f>IF('NPV Comparison'!D155="","",'NPV Comparison'!D155)</f>
        <v/>
      </c>
      <c r="B142">
        <f>IF('NPV Comparison'!E155="","",'NPV Comparison'!E155)</f>
        <v/>
      </c>
      <c r="C142">
        <f>IF('NPV Comparison'!F155="","",'NPV Comparison'!F155)</f>
        <v/>
      </c>
      <c r="D142">
        <f>IF($A142="","",IFERROR(INDEX(Structure!$E$13:$E$312,MATCH($A142,Structure!$P$13:$P$312,0)),""))</f>
        <v/>
      </c>
      <c r="E142">
        <f>IF($A142="",0,IF(COUNTIF(Structure!$P$13:$P$312,$A142)=0,0,IF(COUNTIFS(Structure!$P$13:$P$312,$A142,Structure!$N$13:$N$312,"&lt;&gt;Zero Hours")=0,1,0)))</f>
        <v/>
      </c>
      <c r="F142">
        <f>IF($A142="",0,1-E142)</f>
        <v/>
      </c>
      <c r="G142">
        <f>IF($A142="",0,IF(COUNTIF('New Starters'!$D$14:$D$73,$A142)&gt;0,1,0))</f>
        <v/>
      </c>
      <c r="H142">
        <f>IF($A142="",0,IF(COUNTIF('Leavers'!$D$12:$D$71,$A142)&gt;0,1,0))</f>
        <v/>
      </c>
      <c r="I142">
        <f>IF($A142="","",IFERROR(INDEX('New Starters'!$K$14:$K$73,MATCH($A142,'New Starters'!$D$14:$D$73,0)),IFERROR(INDEX('Leavers'!$K$12:$K$71,MATCH($A142,'Leavers'!$D$12:$D$71,0)),"")))</f>
        <v/>
      </c>
      <c r="J142">
        <f>IF(AND(G142=1,I142&lt;&gt;"",COUNTIF('Leavers'!$K$12:$K$71,I142)&gt;0),1,IF(AND(H142=1,I142&lt;&gt;"",COUNTIF('New Starters'!$K$14:$K$73,I142)&gt;0),1,0))</f>
        <v/>
      </c>
      <c r="K142">
        <f>IF(ISNUMBER(SEARCH("Head Office",D142)),'Control Sheet'!$C$6,'Control Sheet'!$C$5)</f>
        <v/>
      </c>
      <c r="L142">
        <f>IF(OR($A142="",AND(B142="",C142="")),"",IF(B142="",C142,IF(C142="",-B142,C142-B142)))</f>
        <v/>
      </c>
      <c r="M142">
        <f>IFERROR(L142/B142,"")</f>
        <v/>
      </c>
      <c r="N142">
        <f>IF($A142="",0,IF(OR(B142="",C142="",C142=0,AND(ISNUMBER(M142),ABS(M142)&gt;K142)),1,0))</f>
        <v/>
      </c>
      <c r="O142">
        <f>IF(AND(N142=1,ABS(L142)&gt;='Control Sheet'!$C$7,F142=1),1,0)</f>
        <v/>
      </c>
      <c r="P142">
        <f>IF($A142="","",IF(F142=0,"Zero Hours",IF(J142=1,"Explained: Paired transfer",IF(AND(G142=1,H142=0,J142=0),"Explained: Starter",IF(AND(H142=1,G142=0,J142=0),"Explained: Leaver",IF(O142=1,"Review required","OK"))))))</f>
        <v/>
      </c>
      <c r="Q142">
        <f>IF(AND(F142=1,OR(C142="",C142=0),H142=0,J142=0),1,0)</f>
        <v/>
      </c>
      <c r="R142">
        <f>IF(F142=0,0,IF(P142="Review required",1,IF(AND(P142="Explained: Starter",ISNUMBER(C142),C142&gt;=1500),1,0)))</f>
        <v/>
      </c>
      <c r="S142">
        <f>IF(R142=0,"",IF(Q142=1,"High",IF(AND(P142="Explained: Starter",C142&gt;=1500),"High",IF(ABS(L142)&gt;=2000,"High",IF(ABS(L142)&gt;=500,"Medium","Low")))))</f>
        <v/>
      </c>
      <c r="T142">
        <f>SUMIFS('Payment Breakdown Prior'!$S$15:$S$164,'Payment Breakdown Prior'!$AE$15:$AE$164,$A142)</f>
        <v/>
      </c>
      <c r="U142">
        <f>SUMIFS('Payment Breakdown Current'!$S$15:$S$164,'Payment Breakdown Current'!$AE$15:$AE$164,$A142)</f>
        <v/>
      </c>
      <c r="V142">
        <f>IFERROR((U142-T142)/T142,"")</f>
        <v/>
      </c>
      <c r="W142">
        <f>(SUMIFS('Payment Breakdown Current'!$S$15:$S$164,'Payment Breakdown Current'!$AE$15:$AE$164,$A142))-(SUMIFS('Payment Breakdown Prior'!$S$15:$S$164,'Payment Breakdown Prior'!$AE$15:$AE$164,$A142))</f>
        <v/>
      </c>
      <c r="X142">
        <f>(SUMIFS('Payment Breakdown Current'!$T$15:$T$164,'Payment Breakdown Current'!$AE$15:$AE$164,$A142))-(SUMIFS('Payment Breakdown Prior'!$T$15:$T$164,'Payment Breakdown Prior'!$AE$15:$AE$164,$A142))</f>
        <v/>
      </c>
      <c r="Y142">
        <f>(SUMIFS('Payment Breakdown Current'!$U$15:$U$164,'Payment Breakdown Current'!$AE$15:$AE$164,$A142))-(SUMIFS('Payment Breakdown Prior'!$U$15:$U$164,'Payment Breakdown Prior'!$AE$15:$AE$164,$A142))</f>
        <v/>
      </c>
      <c r="Z142">
        <f>(SUMIFS('Payment Breakdown Current'!$V$15:$V$164,'Payment Breakdown Current'!$AE$15:$AE$164,$A142))-(SUMIFS('Payment Breakdown Prior'!$V$15:$V$164,'Payment Breakdown Prior'!$AE$15:$AE$164,$A142))</f>
        <v/>
      </c>
      <c r="AA142">
        <f>(SUMIFS('Payment Breakdown Current'!$W$15:$W$164,'Payment Breakdown Current'!$AE$15:$AE$164,$A142))-(SUMIFS('Payment Breakdown Prior'!$W$15:$W$164,'Payment Breakdown Prior'!$AE$15:$AE$164,$A142))</f>
        <v/>
      </c>
      <c r="AB142">
        <f>(SUMIFS('Payment Breakdown Current'!$X$15:$X$164,'Payment Breakdown Current'!$AE$15:$AE$164,$A142))-(SUMIFS('Payment Breakdown Prior'!$X$15:$X$164,'Payment Breakdown Prior'!$AE$15:$AE$164,$A142))</f>
        <v/>
      </c>
      <c r="AC142">
        <f>(SUMIFS('Payment Breakdown Current'!$Y$15:$Y$164,'Payment Breakdown Current'!$AE$15:$AE$164,$A142))-(SUMIFS('Payment Breakdown Prior'!$Y$15:$Y$164,'Payment Breakdown Prior'!$AE$15:$AE$164,$A142))</f>
        <v/>
      </c>
      <c r="AD142">
        <f>(SUMIFS('Payment Breakdown Current'!$Z$15:$Z$164,'Payment Breakdown Current'!$AE$15:$AE$164,$A142))-(SUMIFS('Payment Breakdown Prior'!$Z$15:$Z$164,'Payment Breakdown Prior'!$AE$15:$AE$164,$A142))</f>
        <v/>
      </c>
      <c r="AE142">
        <f>(SUMIFS('Payment Breakdown Current'!$AA$15:$AA$164,'Payment Breakdown Current'!$AE$15:$AE$164,$A142))-(SUMIFS('Payment Breakdown Prior'!$AA$15:$AA$164,'Payment Breakdown Prior'!$AE$15:$AE$164,$A142))</f>
        <v/>
      </c>
      <c r="AF142">
        <f>(SUMIFS('Payment Breakdown Current'!$AB$15:$AB$164,'Payment Breakdown Current'!$AE$15:$AE$164,$A142))-(SUMIFS('Payment Breakdown Prior'!$AB$15:$AB$164,'Payment Breakdown Prior'!$AE$15:$AE$164,$A142))</f>
        <v/>
      </c>
      <c r="AG142">
        <f>(SUMIFS('Payment Breakdown Current'!$AC$15:$AC$164,'Payment Breakdown Current'!$AE$15:$AE$164,$A142))-(SUMIFS('Payment Breakdown Prior'!$AC$15:$AC$164,'Payment Breakdown Prior'!$AE$15:$AE$164,$A142))</f>
        <v/>
      </c>
      <c r="AH142">
        <f>(SUMIFS('Payment Breakdown Current'!$AD$15:$AD$164,'Payment Breakdown Current'!$AE$15:$AE$164,$A142))-(SUMIFS('Payment Breakdown Prior'!$AD$15:$AD$164,'Payment Breakdown Prior'!$AE$15:$AE$164,$A142))</f>
        <v/>
      </c>
      <c r="AI142">
        <f t="array" ref="AI142">MAX(ABS(W142:AH142))</f>
        <v/>
      </c>
      <c r="AJ142">
        <f t="array" ref="AJ142">IF(AI142&lt;0.005,"",IFERROR(INDEX($W$1:$AH$1,MATCH(AI142,ABS(W142:AH142),0)),""))</f>
        <v/>
      </c>
      <c r="AK142">
        <f t="array" ref="AK142">IF(AI142&lt;0.005,"",IFERROR(INDEX(W142:AH142,MATCH(AI142,ABS(W142:AH142),0)),""))</f>
        <v/>
      </c>
      <c r="AL142">
        <f>IF(R142=1,ABS(L142)-ROW()/100000000,"")</f>
        <v/>
      </c>
    </row>
    <row r="143">
      <c r="A143">
        <f>IF('NPV Comparison'!D156="","",'NPV Comparison'!D156)</f>
        <v/>
      </c>
      <c r="B143">
        <f>IF('NPV Comparison'!E156="","",'NPV Comparison'!E156)</f>
        <v/>
      </c>
      <c r="C143">
        <f>IF('NPV Comparison'!F156="","",'NPV Comparison'!F156)</f>
        <v/>
      </c>
      <c r="D143">
        <f>IF($A143="","",IFERROR(INDEX(Structure!$E$13:$E$312,MATCH($A143,Structure!$P$13:$P$312,0)),""))</f>
        <v/>
      </c>
      <c r="E143">
        <f>IF($A143="",0,IF(COUNTIF(Structure!$P$13:$P$312,$A143)=0,0,IF(COUNTIFS(Structure!$P$13:$P$312,$A143,Structure!$N$13:$N$312,"&lt;&gt;Zero Hours")=0,1,0)))</f>
        <v/>
      </c>
      <c r="F143">
        <f>IF($A143="",0,1-E143)</f>
        <v/>
      </c>
      <c r="G143">
        <f>IF($A143="",0,IF(COUNTIF('New Starters'!$D$14:$D$73,$A143)&gt;0,1,0))</f>
        <v/>
      </c>
      <c r="H143">
        <f>IF($A143="",0,IF(COUNTIF('Leavers'!$D$12:$D$71,$A143)&gt;0,1,0))</f>
        <v/>
      </c>
      <c r="I143">
        <f>IF($A143="","",IFERROR(INDEX('New Starters'!$K$14:$K$73,MATCH($A143,'New Starters'!$D$14:$D$73,0)),IFERROR(INDEX('Leavers'!$K$12:$K$71,MATCH($A143,'Leavers'!$D$12:$D$71,0)),"")))</f>
        <v/>
      </c>
      <c r="J143">
        <f>IF(AND(G143=1,I143&lt;&gt;"",COUNTIF('Leavers'!$K$12:$K$71,I143)&gt;0),1,IF(AND(H143=1,I143&lt;&gt;"",COUNTIF('New Starters'!$K$14:$K$73,I143)&gt;0),1,0))</f>
        <v/>
      </c>
      <c r="K143">
        <f>IF(ISNUMBER(SEARCH("Head Office",D143)),'Control Sheet'!$C$6,'Control Sheet'!$C$5)</f>
        <v/>
      </c>
      <c r="L143">
        <f>IF(OR($A143="",AND(B143="",C143="")),"",IF(B143="",C143,IF(C143="",-B143,C143-B143)))</f>
        <v/>
      </c>
      <c r="M143">
        <f>IFERROR(L143/B143,"")</f>
        <v/>
      </c>
      <c r="N143">
        <f>IF($A143="",0,IF(OR(B143="",C143="",C143=0,AND(ISNUMBER(M143),ABS(M143)&gt;K143)),1,0))</f>
        <v/>
      </c>
      <c r="O143">
        <f>IF(AND(N143=1,ABS(L143)&gt;='Control Sheet'!$C$7,F143=1),1,0)</f>
        <v/>
      </c>
      <c r="P143">
        <f>IF($A143="","",IF(F143=0,"Zero Hours",IF(J143=1,"Explained: Paired transfer",IF(AND(G143=1,H143=0,J143=0),"Explained: Starter",IF(AND(H143=1,G143=0,J143=0),"Explained: Leaver",IF(O143=1,"Review required","OK"))))))</f>
        <v/>
      </c>
      <c r="Q143">
        <f>IF(AND(F143=1,OR(C143="",C143=0),H143=0,J143=0),1,0)</f>
        <v/>
      </c>
      <c r="R143">
        <f>IF(F143=0,0,IF(P143="Review required",1,IF(AND(P143="Explained: Starter",ISNUMBER(C143),C143&gt;=1500),1,0)))</f>
        <v/>
      </c>
      <c r="S143">
        <f>IF(R143=0,"",IF(Q143=1,"High",IF(AND(P143="Explained: Starter",C143&gt;=1500),"High",IF(ABS(L143)&gt;=2000,"High",IF(ABS(L143)&gt;=500,"Medium","Low")))))</f>
        <v/>
      </c>
      <c r="T143">
        <f>SUMIFS('Payment Breakdown Prior'!$S$15:$S$164,'Payment Breakdown Prior'!$AE$15:$AE$164,$A143)</f>
        <v/>
      </c>
      <c r="U143">
        <f>SUMIFS('Payment Breakdown Current'!$S$15:$S$164,'Payment Breakdown Current'!$AE$15:$AE$164,$A143)</f>
        <v/>
      </c>
      <c r="V143">
        <f>IFERROR((U143-T143)/T143,"")</f>
        <v/>
      </c>
      <c r="W143">
        <f>(SUMIFS('Payment Breakdown Current'!$S$15:$S$164,'Payment Breakdown Current'!$AE$15:$AE$164,$A143))-(SUMIFS('Payment Breakdown Prior'!$S$15:$S$164,'Payment Breakdown Prior'!$AE$15:$AE$164,$A143))</f>
        <v/>
      </c>
      <c r="X143">
        <f>(SUMIFS('Payment Breakdown Current'!$T$15:$T$164,'Payment Breakdown Current'!$AE$15:$AE$164,$A143))-(SUMIFS('Payment Breakdown Prior'!$T$15:$T$164,'Payment Breakdown Prior'!$AE$15:$AE$164,$A143))</f>
        <v/>
      </c>
      <c r="Y143">
        <f>(SUMIFS('Payment Breakdown Current'!$U$15:$U$164,'Payment Breakdown Current'!$AE$15:$AE$164,$A143))-(SUMIFS('Payment Breakdown Prior'!$U$15:$U$164,'Payment Breakdown Prior'!$AE$15:$AE$164,$A143))</f>
        <v/>
      </c>
      <c r="Z143">
        <f>(SUMIFS('Payment Breakdown Current'!$V$15:$V$164,'Payment Breakdown Current'!$AE$15:$AE$164,$A143))-(SUMIFS('Payment Breakdown Prior'!$V$15:$V$164,'Payment Breakdown Prior'!$AE$15:$AE$164,$A143))</f>
        <v/>
      </c>
      <c r="AA143">
        <f>(SUMIFS('Payment Breakdown Current'!$W$15:$W$164,'Payment Breakdown Current'!$AE$15:$AE$164,$A143))-(SUMIFS('Payment Breakdown Prior'!$W$15:$W$164,'Payment Breakdown Prior'!$AE$15:$AE$164,$A143))</f>
        <v/>
      </c>
      <c r="AB143">
        <f>(SUMIFS('Payment Breakdown Current'!$X$15:$X$164,'Payment Breakdown Current'!$AE$15:$AE$164,$A143))-(SUMIFS('Payment Breakdown Prior'!$X$15:$X$164,'Payment Breakdown Prior'!$AE$15:$AE$164,$A143))</f>
        <v/>
      </c>
      <c r="AC143">
        <f>(SUMIFS('Payment Breakdown Current'!$Y$15:$Y$164,'Payment Breakdown Current'!$AE$15:$AE$164,$A143))-(SUMIFS('Payment Breakdown Prior'!$Y$15:$Y$164,'Payment Breakdown Prior'!$AE$15:$AE$164,$A143))</f>
        <v/>
      </c>
      <c r="AD143">
        <f>(SUMIFS('Payment Breakdown Current'!$Z$15:$Z$164,'Payment Breakdown Current'!$AE$15:$AE$164,$A143))-(SUMIFS('Payment Breakdown Prior'!$Z$15:$Z$164,'Payment Breakdown Prior'!$AE$15:$AE$164,$A143))</f>
        <v/>
      </c>
      <c r="AE143">
        <f>(SUMIFS('Payment Breakdown Current'!$AA$15:$AA$164,'Payment Breakdown Current'!$AE$15:$AE$164,$A143))-(SUMIFS('Payment Breakdown Prior'!$AA$15:$AA$164,'Payment Breakdown Prior'!$AE$15:$AE$164,$A143))</f>
        <v/>
      </c>
      <c r="AF143">
        <f>(SUMIFS('Payment Breakdown Current'!$AB$15:$AB$164,'Payment Breakdown Current'!$AE$15:$AE$164,$A143))-(SUMIFS('Payment Breakdown Prior'!$AB$15:$AB$164,'Payment Breakdown Prior'!$AE$15:$AE$164,$A143))</f>
        <v/>
      </c>
      <c r="AG143">
        <f>(SUMIFS('Payment Breakdown Current'!$AC$15:$AC$164,'Payment Breakdown Current'!$AE$15:$AE$164,$A143))-(SUMIFS('Payment Breakdown Prior'!$AC$15:$AC$164,'Payment Breakdown Prior'!$AE$15:$AE$164,$A143))</f>
        <v/>
      </c>
      <c r="AH143">
        <f>(SUMIFS('Payment Breakdown Current'!$AD$15:$AD$164,'Payment Breakdown Current'!$AE$15:$AE$164,$A143))-(SUMIFS('Payment Breakdown Prior'!$AD$15:$AD$164,'Payment Breakdown Prior'!$AE$15:$AE$164,$A143))</f>
        <v/>
      </c>
      <c r="AI143">
        <f t="array" ref="AI143">MAX(ABS(W143:AH143))</f>
        <v/>
      </c>
      <c r="AJ143">
        <f t="array" ref="AJ143">IF(AI143&lt;0.005,"",IFERROR(INDEX($W$1:$AH$1,MATCH(AI143,ABS(W143:AH143),0)),""))</f>
        <v/>
      </c>
      <c r="AK143">
        <f t="array" ref="AK143">IF(AI143&lt;0.005,"",IFERROR(INDEX(W143:AH143,MATCH(AI143,ABS(W143:AH143),0)),""))</f>
        <v/>
      </c>
      <c r="AL143">
        <f>IF(R143=1,ABS(L143)-ROW()/100000000,"")</f>
        <v/>
      </c>
    </row>
    <row r="144">
      <c r="A144">
        <f>IF('NPV Comparison'!D157="","",'NPV Comparison'!D157)</f>
        <v/>
      </c>
      <c r="B144">
        <f>IF('NPV Comparison'!E157="","",'NPV Comparison'!E157)</f>
        <v/>
      </c>
      <c r="C144">
        <f>IF('NPV Comparison'!F157="","",'NPV Comparison'!F157)</f>
        <v/>
      </c>
      <c r="D144">
        <f>IF($A144="","",IFERROR(INDEX(Structure!$E$13:$E$312,MATCH($A144,Structure!$P$13:$P$312,0)),""))</f>
        <v/>
      </c>
      <c r="E144">
        <f>IF($A144="",0,IF(COUNTIF(Structure!$P$13:$P$312,$A144)=0,0,IF(COUNTIFS(Structure!$P$13:$P$312,$A144,Structure!$N$13:$N$312,"&lt;&gt;Zero Hours")=0,1,0)))</f>
        <v/>
      </c>
      <c r="F144">
        <f>IF($A144="",0,1-E144)</f>
        <v/>
      </c>
      <c r="G144">
        <f>IF($A144="",0,IF(COUNTIF('New Starters'!$D$14:$D$73,$A144)&gt;0,1,0))</f>
        <v/>
      </c>
      <c r="H144">
        <f>IF($A144="",0,IF(COUNTIF('Leavers'!$D$12:$D$71,$A144)&gt;0,1,0))</f>
        <v/>
      </c>
      <c r="I144">
        <f>IF($A144="","",IFERROR(INDEX('New Starters'!$K$14:$K$73,MATCH($A144,'New Starters'!$D$14:$D$73,0)),IFERROR(INDEX('Leavers'!$K$12:$K$71,MATCH($A144,'Leavers'!$D$12:$D$71,0)),"")))</f>
        <v/>
      </c>
      <c r="J144">
        <f>IF(AND(G144=1,I144&lt;&gt;"",COUNTIF('Leavers'!$K$12:$K$71,I144)&gt;0),1,IF(AND(H144=1,I144&lt;&gt;"",COUNTIF('New Starters'!$K$14:$K$73,I144)&gt;0),1,0))</f>
        <v/>
      </c>
      <c r="K144">
        <f>IF(ISNUMBER(SEARCH("Head Office",D144)),'Control Sheet'!$C$6,'Control Sheet'!$C$5)</f>
        <v/>
      </c>
      <c r="L144">
        <f>IF(OR($A144="",AND(B144="",C144="")),"",IF(B144="",C144,IF(C144="",-B144,C144-B144)))</f>
        <v/>
      </c>
      <c r="M144">
        <f>IFERROR(L144/B144,"")</f>
        <v/>
      </c>
      <c r="N144">
        <f>IF($A144="",0,IF(OR(B144="",C144="",C144=0,AND(ISNUMBER(M144),ABS(M144)&gt;K144)),1,0))</f>
        <v/>
      </c>
      <c r="O144">
        <f>IF(AND(N144=1,ABS(L144)&gt;='Control Sheet'!$C$7,F144=1),1,0)</f>
        <v/>
      </c>
      <c r="P144">
        <f>IF($A144="","",IF(F144=0,"Zero Hours",IF(J144=1,"Explained: Paired transfer",IF(AND(G144=1,H144=0,J144=0),"Explained: Starter",IF(AND(H144=1,G144=0,J144=0),"Explained: Leaver",IF(O144=1,"Review required","OK"))))))</f>
        <v/>
      </c>
      <c r="Q144">
        <f>IF(AND(F144=1,OR(C144="",C144=0),H144=0,J144=0),1,0)</f>
        <v/>
      </c>
      <c r="R144">
        <f>IF(F144=0,0,IF(P144="Review required",1,IF(AND(P144="Explained: Starter",ISNUMBER(C144),C144&gt;=1500),1,0)))</f>
        <v/>
      </c>
      <c r="S144">
        <f>IF(R144=0,"",IF(Q144=1,"High",IF(AND(P144="Explained: Starter",C144&gt;=1500),"High",IF(ABS(L144)&gt;=2000,"High",IF(ABS(L144)&gt;=500,"Medium","Low")))))</f>
        <v/>
      </c>
      <c r="T144">
        <f>SUMIFS('Payment Breakdown Prior'!$S$15:$S$164,'Payment Breakdown Prior'!$AE$15:$AE$164,$A144)</f>
        <v/>
      </c>
      <c r="U144">
        <f>SUMIFS('Payment Breakdown Current'!$S$15:$S$164,'Payment Breakdown Current'!$AE$15:$AE$164,$A144)</f>
        <v/>
      </c>
      <c r="V144">
        <f>IFERROR((U144-T144)/T144,"")</f>
        <v/>
      </c>
      <c r="W144">
        <f>(SUMIFS('Payment Breakdown Current'!$S$15:$S$164,'Payment Breakdown Current'!$AE$15:$AE$164,$A144))-(SUMIFS('Payment Breakdown Prior'!$S$15:$S$164,'Payment Breakdown Prior'!$AE$15:$AE$164,$A144))</f>
        <v/>
      </c>
      <c r="X144">
        <f>(SUMIFS('Payment Breakdown Current'!$T$15:$T$164,'Payment Breakdown Current'!$AE$15:$AE$164,$A144))-(SUMIFS('Payment Breakdown Prior'!$T$15:$T$164,'Payment Breakdown Prior'!$AE$15:$AE$164,$A144))</f>
        <v/>
      </c>
      <c r="Y144">
        <f>(SUMIFS('Payment Breakdown Current'!$U$15:$U$164,'Payment Breakdown Current'!$AE$15:$AE$164,$A144))-(SUMIFS('Payment Breakdown Prior'!$U$15:$U$164,'Payment Breakdown Prior'!$AE$15:$AE$164,$A144))</f>
        <v/>
      </c>
      <c r="Z144">
        <f>(SUMIFS('Payment Breakdown Current'!$V$15:$V$164,'Payment Breakdown Current'!$AE$15:$AE$164,$A144))-(SUMIFS('Payment Breakdown Prior'!$V$15:$V$164,'Payment Breakdown Prior'!$AE$15:$AE$164,$A144))</f>
        <v/>
      </c>
      <c r="AA144">
        <f>(SUMIFS('Payment Breakdown Current'!$W$15:$W$164,'Payment Breakdown Current'!$AE$15:$AE$164,$A144))-(SUMIFS('Payment Breakdown Prior'!$W$15:$W$164,'Payment Breakdown Prior'!$AE$15:$AE$164,$A144))</f>
        <v/>
      </c>
      <c r="AB144">
        <f>(SUMIFS('Payment Breakdown Current'!$X$15:$X$164,'Payment Breakdown Current'!$AE$15:$AE$164,$A144))-(SUMIFS('Payment Breakdown Prior'!$X$15:$X$164,'Payment Breakdown Prior'!$AE$15:$AE$164,$A144))</f>
        <v/>
      </c>
      <c r="AC144">
        <f>(SUMIFS('Payment Breakdown Current'!$Y$15:$Y$164,'Payment Breakdown Current'!$AE$15:$AE$164,$A144))-(SUMIFS('Payment Breakdown Prior'!$Y$15:$Y$164,'Payment Breakdown Prior'!$AE$15:$AE$164,$A144))</f>
        <v/>
      </c>
      <c r="AD144">
        <f>(SUMIFS('Payment Breakdown Current'!$Z$15:$Z$164,'Payment Breakdown Current'!$AE$15:$AE$164,$A144))-(SUMIFS('Payment Breakdown Prior'!$Z$15:$Z$164,'Payment Breakdown Prior'!$AE$15:$AE$164,$A144))</f>
        <v/>
      </c>
      <c r="AE144">
        <f>(SUMIFS('Payment Breakdown Current'!$AA$15:$AA$164,'Payment Breakdown Current'!$AE$15:$AE$164,$A144))-(SUMIFS('Payment Breakdown Prior'!$AA$15:$AA$164,'Payment Breakdown Prior'!$AE$15:$AE$164,$A144))</f>
        <v/>
      </c>
      <c r="AF144">
        <f>(SUMIFS('Payment Breakdown Current'!$AB$15:$AB$164,'Payment Breakdown Current'!$AE$15:$AE$164,$A144))-(SUMIFS('Payment Breakdown Prior'!$AB$15:$AB$164,'Payment Breakdown Prior'!$AE$15:$AE$164,$A144))</f>
        <v/>
      </c>
      <c r="AG144">
        <f>(SUMIFS('Payment Breakdown Current'!$AC$15:$AC$164,'Payment Breakdown Current'!$AE$15:$AE$164,$A144))-(SUMIFS('Payment Breakdown Prior'!$AC$15:$AC$164,'Payment Breakdown Prior'!$AE$15:$AE$164,$A144))</f>
        <v/>
      </c>
      <c r="AH144">
        <f>(SUMIFS('Payment Breakdown Current'!$AD$15:$AD$164,'Payment Breakdown Current'!$AE$15:$AE$164,$A144))-(SUMIFS('Payment Breakdown Prior'!$AD$15:$AD$164,'Payment Breakdown Prior'!$AE$15:$AE$164,$A144))</f>
        <v/>
      </c>
      <c r="AI144">
        <f t="array" ref="AI144">MAX(ABS(W144:AH144))</f>
        <v/>
      </c>
      <c r="AJ144">
        <f t="array" ref="AJ144">IF(AI144&lt;0.005,"",IFERROR(INDEX($W$1:$AH$1,MATCH(AI144,ABS(W144:AH144),0)),""))</f>
        <v/>
      </c>
      <c r="AK144">
        <f t="array" ref="AK144">IF(AI144&lt;0.005,"",IFERROR(INDEX(W144:AH144,MATCH(AI144,ABS(W144:AH144),0)),""))</f>
        <v/>
      </c>
      <c r="AL144">
        <f>IF(R144=1,ABS(L144)-ROW()/100000000,"")</f>
        <v/>
      </c>
    </row>
    <row r="145">
      <c r="A145">
        <f>IF('NPV Comparison'!D158="","",'NPV Comparison'!D158)</f>
        <v/>
      </c>
      <c r="B145">
        <f>IF('NPV Comparison'!E158="","",'NPV Comparison'!E158)</f>
        <v/>
      </c>
      <c r="C145">
        <f>IF('NPV Comparison'!F158="","",'NPV Comparison'!F158)</f>
        <v/>
      </c>
      <c r="D145">
        <f>IF($A145="","",IFERROR(INDEX(Structure!$E$13:$E$312,MATCH($A145,Structure!$P$13:$P$312,0)),""))</f>
        <v/>
      </c>
      <c r="E145">
        <f>IF($A145="",0,IF(COUNTIF(Structure!$P$13:$P$312,$A145)=0,0,IF(COUNTIFS(Structure!$P$13:$P$312,$A145,Structure!$N$13:$N$312,"&lt;&gt;Zero Hours")=0,1,0)))</f>
        <v/>
      </c>
      <c r="F145">
        <f>IF($A145="",0,1-E145)</f>
        <v/>
      </c>
      <c r="G145">
        <f>IF($A145="",0,IF(COUNTIF('New Starters'!$D$14:$D$73,$A145)&gt;0,1,0))</f>
        <v/>
      </c>
      <c r="H145">
        <f>IF($A145="",0,IF(COUNTIF('Leavers'!$D$12:$D$71,$A145)&gt;0,1,0))</f>
        <v/>
      </c>
      <c r="I145">
        <f>IF($A145="","",IFERROR(INDEX('New Starters'!$K$14:$K$73,MATCH($A145,'New Starters'!$D$14:$D$73,0)),IFERROR(INDEX('Leavers'!$K$12:$K$71,MATCH($A145,'Leavers'!$D$12:$D$71,0)),"")))</f>
        <v/>
      </c>
      <c r="J145">
        <f>IF(AND(G145=1,I145&lt;&gt;"",COUNTIF('Leavers'!$K$12:$K$71,I145)&gt;0),1,IF(AND(H145=1,I145&lt;&gt;"",COUNTIF('New Starters'!$K$14:$K$73,I145)&gt;0),1,0))</f>
        <v/>
      </c>
      <c r="K145">
        <f>IF(ISNUMBER(SEARCH("Head Office",D145)),'Control Sheet'!$C$6,'Control Sheet'!$C$5)</f>
        <v/>
      </c>
      <c r="L145">
        <f>IF(OR($A145="",AND(B145="",C145="")),"",IF(B145="",C145,IF(C145="",-B145,C145-B145)))</f>
        <v/>
      </c>
      <c r="M145">
        <f>IFERROR(L145/B145,"")</f>
        <v/>
      </c>
      <c r="N145">
        <f>IF($A145="",0,IF(OR(B145="",C145="",C145=0,AND(ISNUMBER(M145),ABS(M145)&gt;K145)),1,0))</f>
        <v/>
      </c>
      <c r="O145">
        <f>IF(AND(N145=1,ABS(L145)&gt;='Control Sheet'!$C$7,F145=1),1,0)</f>
        <v/>
      </c>
      <c r="P145">
        <f>IF($A145="","",IF(F145=0,"Zero Hours",IF(J145=1,"Explained: Paired transfer",IF(AND(G145=1,H145=0,J145=0),"Explained: Starter",IF(AND(H145=1,G145=0,J145=0),"Explained: Leaver",IF(O145=1,"Review required","OK"))))))</f>
        <v/>
      </c>
      <c r="Q145">
        <f>IF(AND(F145=1,OR(C145="",C145=0),H145=0,J145=0),1,0)</f>
        <v/>
      </c>
      <c r="R145">
        <f>IF(F145=0,0,IF(P145="Review required",1,IF(AND(P145="Explained: Starter",ISNUMBER(C145),C145&gt;=1500),1,0)))</f>
        <v/>
      </c>
      <c r="S145">
        <f>IF(R145=0,"",IF(Q145=1,"High",IF(AND(P145="Explained: Starter",C145&gt;=1500),"High",IF(ABS(L145)&gt;=2000,"High",IF(ABS(L145)&gt;=500,"Medium","Low")))))</f>
        <v/>
      </c>
      <c r="T145">
        <f>SUMIFS('Payment Breakdown Prior'!$S$15:$S$164,'Payment Breakdown Prior'!$AE$15:$AE$164,$A145)</f>
        <v/>
      </c>
      <c r="U145">
        <f>SUMIFS('Payment Breakdown Current'!$S$15:$S$164,'Payment Breakdown Current'!$AE$15:$AE$164,$A145)</f>
        <v/>
      </c>
      <c r="V145">
        <f>IFERROR((U145-T145)/T145,"")</f>
        <v/>
      </c>
      <c r="W145">
        <f>(SUMIFS('Payment Breakdown Current'!$S$15:$S$164,'Payment Breakdown Current'!$AE$15:$AE$164,$A145))-(SUMIFS('Payment Breakdown Prior'!$S$15:$S$164,'Payment Breakdown Prior'!$AE$15:$AE$164,$A145))</f>
        <v/>
      </c>
      <c r="X145">
        <f>(SUMIFS('Payment Breakdown Current'!$T$15:$T$164,'Payment Breakdown Current'!$AE$15:$AE$164,$A145))-(SUMIFS('Payment Breakdown Prior'!$T$15:$T$164,'Payment Breakdown Prior'!$AE$15:$AE$164,$A145))</f>
        <v/>
      </c>
      <c r="Y145">
        <f>(SUMIFS('Payment Breakdown Current'!$U$15:$U$164,'Payment Breakdown Current'!$AE$15:$AE$164,$A145))-(SUMIFS('Payment Breakdown Prior'!$U$15:$U$164,'Payment Breakdown Prior'!$AE$15:$AE$164,$A145))</f>
        <v/>
      </c>
      <c r="Z145">
        <f>(SUMIFS('Payment Breakdown Current'!$V$15:$V$164,'Payment Breakdown Current'!$AE$15:$AE$164,$A145))-(SUMIFS('Payment Breakdown Prior'!$V$15:$V$164,'Payment Breakdown Prior'!$AE$15:$AE$164,$A145))</f>
        <v/>
      </c>
      <c r="AA145">
        <f>(SUMIFS('Payment Breakdown Current'!$W$15:$W$164,'Payment Breakdown Current'!$AE$15:$AE$164,$A145))-(SUMIFS('Payment Breakdown Prior'!$W$15:$W$164,'Payment Breakdown Prior'!$AE$15:$AE$164,$A145))</f>
        <v/>
      </c>
      <c r="AB145">
        <f>(SUMIFS('Payment Breakdown Current'!$X$15:$X$164,'Payment Breakdown Current'!$AE$15:$AE$164,$A145))-(SUMIFS('Payment Breakdown Prior'!$X$15:$X$164,'Payment Breakdown Prior'!$AE$15:$AE$164,$A145))</f>
        <v/>
      </c>
      <c r="AC145">
        <f>(SUMIFS('Payment Breakdown Current'!$Y$15:$Y$164,'Payment Breakdown Current'!$AE$15:$AE$164,$A145))-(SUMIFS('Payment Breakdown Prior'!$Y$15:$Y$164,'Payment Breakdown Prior'!$AE$15:$AE$164,$A145))</f>
        <v/>
      </c>
      <c r="AD145">
        <f>(SUMIFS('Payment Breakdown Current'!$Z$15:$Z$164,'Payment Breakdown Current'!$AE$15:$AE$164,$A145))-(SUMIFS('Payment Breakdown Prior'!$Z$15:$Z$164,'Payment Breakdown Prior'!$AE$15:$AE$164,$A145))</f>
        <v/>
      </c>
      <c r="AE145">
        <f>(SUMIFS('Payment Breakdown Current'!$AA$15:$AA$164,'Payment Breakdown Current'!$AE$15:$AE$164,$A145))-(SUMIFS('Payment Breakdown Prior'!$AA$15:$AA$164,'Payment Breakdown Prior'!$AE$15:$AE$164,$A145))</f>
        <v/>
      </c>
      <c r="AF145">
        <f>(SUMIFS('Payment Breakdown Current'!$AB$15:$AB$164,'Payment Breakdown Current'!$AE$15:$AE$164,$A145))-(SUMIFS('Payment Breakdown Prior'!$AB$15:$AB$164,'Payment Breakdown Prior'!$AE$15:$AE$164,$A145))</f>
        <v/>
      </c>
      <c r="AG145">
        <f>(SUMIFS('Payment Breakdown Current'!$AC$15:$AC$164,'Payment Breakdown Current'!$AE$15:$AE$164,$A145))-(SUMIFS('Payment Breakdown Prior'!$AC$15:$AC$164,'Payment Breakdown Prior'!$AE$15:$AE$164,$A145))</f>
        <v/>
      </c>
      <c r="AH145">
        <f>(SUMIFS('Payment Breakdown Current'!$AD$15:$AD$164,'Payment Breakdown Current'!$AE$15:$AE$164,$A145))-(SUMIFS('Payment Breakdown Prior'!$AD$15:$AD$164,'Payment Breakdown Prior'!$AE$15:$AE$164,$A145))</f>
        <v/>
      </c>
      <c r="AI145">
        <f t="array" ref="AI145">MAX(ABS(W145:AH145))</f>
        <v/>
      </c>
      <c r="AJ145">
        <f t="array" ref="AJ145">IF(AI145&lt;0.005,"",IFERROR(INDEX($W$1:$AH$1,MATCH(AI145,ABS(W145:AH145),0)),""))</f>
        <v/>
      </c>
      <c r="AK145">
        <f t="array" ref="AK145">IF(AI145&lt;0.005,"",IFERROR(INDEX(W145:AH145,MATCH(AI145,ABS(W145:AH145),0)),""))</f>
        <v/>
      </c>
      <c r="AL145">
        <f>IF(R145=1,ABS(L145)-ROW()/100000000,"")</f>
        <v/>
      </c>
    </row>
    <row r="146">
      <c r="A146">
        <f>IF('NPV Comparison'!D159="","",'NPV Comparison'!D159)</f>
        <v/>
      </c>
      <c r="B146">
        <f>IF('NPV Comparison'!E159="","",'NPV Comparison'!E159)</f>
        <v/>
      </c>
      <c r="C146">
        <f>IF('NPV Comparison'!F159="","",'NPV Comparison'!F159)</f>
        <v/>
      </c>
      <c r="D146">
        <f>IF($A146="","",IFERROR(INDEX(Structure!$E$13:$E$312,MATCH($A146,Structure!$P$13:$P$312,0)),""))</f>
        <v/>
      </c>
      <c r="E146">
        <f>IF($A146="",0,IF(COUNTIF(Structure!$P$13:$P$312,$A146)=0,0,IF(COUNTIFS(Structure!$P$13:$P$312,$A146,Structure!$N$13:$N$312,"&lt;&gt;Zero Hours")=0,1,0)))</f>
        <v/>
      </c>
      <c r="F146">
        <f>IF($A146="",0,1-E146)</f>
        <v/>
      </c>
      <c r="G146">
        <f>IF($A146="",0,IF(COUNTIF('New Starters'!$D$14:$D$73,$A146)&gt;0,1,0))</f>
        <v/>
      </c>
      <c r="H146">
        <f>IF($A146="",0,IF(COUNTIF('Leavers'!$D$12:$D$71,$A146)&gt;0,1,0))</f>
        <v/>
      </c>
      <c r="I146">
        <f>IF($A146="","",IFERROR(INDEX('New Starters'!$K$14:$K$73,MATCH($A146,'New Starters'!$D$14:$D$73,0)),IFERROR(INDEX('Leavers'!$K$12:$K$71,MATCH($A146,'Leavers'!$D$12:$D$71,0)),"")))</f>
        <v/>
      </c>
      <c r="J146">
        <f>IF(AND(G146=1,I146&lt;&gt;"",COUNTIF('Leavers'!$K$12:$K$71,I146)&gt;0),1,IF(AND(H146=1,I146&lt;&gt;"",COUNTIF('New Starters'!$K$14:$K$73,I146)&gt;0),1,0))</f>
        <v/>
      </c>
      <c r="K146">
        <f>IF(ISNUMBER(SEARCH("Head Office",D146)),'Control Sheet'!$C$6,'Control Sheet'!$C$5)</f>
        <v/>
      </c>
      <c r="L146">
        <f>IF(OR($A146="",AND(B146="",C146="")),"",IF(B146="",C146,IF(C146="",-B146,C146-B146)))</f>
        <v/>
      </c>
      <c r="M146">
        <f>IFERROR(L146/B146,"")</f>
        <v/>
      </c>
      <c r="N146">
        <f>IF($A146="",0,IF(OR(B146="",C146="",C146=0,AND(ISNUMBER(M146),ABS(M146)&gt;K146)),1,0))</f>
        <v/>
      </c>
      <c r="O146">
        <f>IF(AND(N146=1,ABS(L146)&gt;='Control Sheet'!$C$7,F146=1),1,0)</f>
        <v/>
      </c>
      <c r="P146">
        <f>IF($A146="","",IF(F146=0,"Zero Hours",IF(J146=1,"Explained: Paired transfer",IF(AND(G146=1,H146=0,J146=0),"Explained: Starter",IF(AND(H146=1,G146=0,J146=0),"Explained: Leaver",IF(O146=1,"Review required","OK"))))))</f>
        <v/>
      </c>
      <c r="Q146">
        <f>IF(AND(F146=1,OR(C146="",C146=0),H146=0,J146=0),1,0)</f>
        <v/>
      </c>
      <c r="R146">
        <f>IF(F146=0,0,IF(P146="Review required",1,IF(AND(P146="Explained: Starter",ISNUMBER(C146),C146&gt;=1500),1,0)))</f>
        <v/>
      </c>
      <c r="S146">
        <f>IF(R146=0,"",IF(Q146=1,"High",IF(AND(P146="Explained: Starter",C146&gt;=1500),"High",IF(ABS(L146)&gt;=2000,"High",IF(ABS(L146)&gt;=500,"Medium","Low")))))</f>
        <v/>
      </c>
      <c r="T146">
        <f>SUMIFS('Payment Breakdown Prior'!$S$15:$S$164,'Payment Breakdown Prior'!$AE$15:$AE$164,$A146)</f>
        <v/>
      </c>
      <c r="U146">
        <f>SUMIFS('Payment Breakdown Current'!$S$15:$S$164,'Payment Breakdown Current'!$AE$15:$AE$164,$A146)</f>
        <v/>
      </c>
      <c r="V146">
        <f>IFERROR((U146-T146)/T146,"")</f>
        <v/>
      </c>
      <c r="W146">
        <f>(SUMIFS('Payment Breakdown Current'!$S$15:$S$164,'Payment Breakdown Current'!$AE$15:$AE$164,$A146))-(SUMIFS('Payment Breakdown Prior'!$S$15:$S$164,'Payment Breakdown Prior'!$AE$15:$AE$164,$A146))</f>
        <v/>
      </c>
      <c r="X146">
        <f>(SUMIFS('Payment Breakdown Current'!$T$15:$T$164,'Payment Breakdown Current'!$AE$15:$AE$164,$A146))-(SUMIFS('Payment Breakdown Prior'!$T$15:$T$164,'Payment Breakdown Prior'!$AE$15:$AE$164,$A146))</f>
        <v/>
      </c>
      <c r="Y146">
        <f>(SUMIFS('Payment Breakdown Current'!$U$15:$U$164,'Payment Breakdown Current'!$AE$15:$AE$164,$A146))-(SUMIFS('Payment Breakdown Prior'!$U$15:$U$164,'Payment Breakdown Prior'!$AE$15:$AE$164,$A146))</f>
        <v/>
      </c>
      <c r="Z146">
        <f>(SUMIFS('Payment Breakdown Current'!$V$15:$V$164,'Payment Breakdown Current'!$AE$15:$AE$164,$A146))-(SUMIFS('Payment Breakdown Prior'!$V$15:$V$164,'Payment Breakdown Prior'!$AE$15:$AE$164,$A146))</f>
        <v/>
      </c>
      <c r="AA146">
        <f>(SUMIFS('Payment Breakdown Current'!$W$15:$W$164,'Payment Breakdown Current'!$AE$15:$AE$164,$A146))-(SUMIFS('Payment Breakdown Prior'!$W$15:$W$164,'Payment Breakdown Prior'!$AE$15:$AE$164,$A146))</f>
        <v/>
      </c>
      <c r="AB146">
        <f>(SUMIFS('Payment Breakdown Current'!$X$15:$X$164,'Payment Breakdown Current'!$AE$15:$AE$164,$A146))-(SUMIFS('Payment Breakdown Prior'!$X$15:$X$164,'Payment Breakdown Prior'!$AE$15:$AE$164,$A146))</f>
        <v/>
      </c>
      <c r="AC146">
        <f>(SUMIFS('Payment Breakdown Current'!$Y$15:$Y$164,'Payment Breakdown Current'!$AE$15:$AE$164,$A146))-(SUMIFS('Payment Breakdown Prior'!$Y$15:$Y$164,'Payment Breakdown Prior'!$AE$15:$AE$164,$A146))</f>
        <v/>
      </c>
      <c r="AD146">
        <f>(SUMIFS('Payment Breakdown Current'!$Z$15:$Z$164,'Payment Breakdown Current'!$AE$15:$AE$164,$A146))-(SUMIFS('Payment Breakdown Prior'!$Z$15:$Z$164,'Payment Breakdown Prior'!$AE$15:$AE$164,$A146))</f>
        <v/>
      </c>
      <c r="AE146">
        <f>(SUMIFS('Payment Breakdown Current'!$AA$15:$AA$164,'Payment Breakdown Current'!$AE$15:$AE$164,$A146))-(SUMIFS('Payment Breakdown Prior'!$AA$15:$AA$164,'Payment Breakdown Prior'!$AE$15:$AE$164,$A146))</f>
        <v/>
      </c>
      <c r="AF146">
        <f>(SUMIFS('Payment Breakdown Current'!$AB$15:$AB$164,'Payment Breakdown Current'!$AE$15:$AE$164,$A146))-(SUMIFS('Payment Breakdown Prior'!$AB$15:$AB$164,'Payment Breakdown Prior'!$AE$15:$AE$164,$A146))</f>
        <v/>
      </c>
      <c r="AG146">
        <f>(SUMIFS('Payment Breakdown Current'!$AC$15:$AC$164,'Payment Breakdown Current'!$AE$15:$AE$164,$A146))-(SUMIFS('Payment Breakdown Prior'!$AC$15:$AC$164,'Payment Breakdown Prior'!$AE$15:$AE$164,$A146))</f>
        <v/>
      </c>
      <c r="AH146">
        <f>(SUMIFS('Payment Breakdown Current'!$AD$15:$AD$164,'Payment Breakdown Current'!$AE$15:$AE$164,$A146))-(SUMIFS('Payment Breakdown Prior'!$AD$15:$AD$164,'Payment Breakdown Prior'!$AE$15:$AE$164,$A146))</f>
        <v/>
      </c>
      <c r="AI146">
        <f t="array" ref="AI146">MAX(ABS(W146:AH146))</f>
        <v/>
      </c>
      <c r="AJ146">
        <f t="array" ref="AJ146">IF(AI146&lt;0.005,"",IFERROR(INDEX($W$1:$AH$1,MATCH(AI146,ABS(W146:AH146),0)),""))</f>
        <v/>
      </c>
      <c r="AK146">
        <f t="array" ref="AK146">IF(AI146&lt;0.005,"",IFERROR(INDEX(W146:AH146,MATCH(AI146,ABS(W146:AH146),0)),""))</f>
        <v/>
      </c>
      <c r="AL146">
        <f>IF(R146=1,ABS(L146)-ROW()/100000000,"")</f>
        <v/>
      </c>
    </row>
    <row r="147">
      <c r="A147">
        <f>IF('NPV Comparison'!D160="","",'NPV Comparison'!D160)</f>
        <v/>
      </c>
      <c r="B147">
        <f>IF('NPV Comparison'!E160="","",'NPV Comparison'!E160)</f>
        <v/>
      </c>
      <c r="C147">
        <f>IF('NPV Comparison'!F160="","",'NPV Comparison'!F160)</f>
        <v/>
      </c>
      <c r="D147">
        <f>IF($A147="","",IFERROR(INDEX(Structure!$E$13:$E$312,MATCH($A147,Structure!$P$13:$P$312,0)),""))</f>
        <v/>
      </c>
      <c r="E147">
        <f>IF($A147="",0,IF(COUNTIF(Structure!$P$13:$P$312,$A147)=0,0,IF(COUNTIFS(Structure!$P$13:$P$312,$A147,Structure!$N$13:$N$312,"&lt;&gt;Zero Hours")=0,1,0)))</f>
        <v/>
      </c>
      <c r="F147">
        <f>IF($A147="",0,1-E147)</f>
        <v/>
      </c>
      <c r="G147">
        <f>IF($A147="",0,IF(COUNTIF('New Starters'!$D$14:$D$73,$A147)&gt;0,1,0))</f>
        <v/>
      </c>
      <c r="H147">
        <f>IF($A147="",0,IF(COUNTIF('Leavers'!$D$12:$D$71,$A147)&gt;0,1,0))</f>
        <v/>
      </c>
      <c r="I147">
        <f>IF($A147="","",IFERROR(INDEX('New Starters'!$K$14:$K$73,MATCH($A147,'New Starters'!$D$14:$D$73,0)),IFERROR(INDEX('Leavers'!$K$12:$K$71,MATCH($A147,'Leavers'!$D$12:$D$71,0)),"")))</f>
        <v/>
      </c>
      <c r="J147">
        <f>IF(AND(G147=1,I147&lt;&gt;"",COUNTIF('Leavers'!$K$12:$K$71,I147)&gt;0),1,IF(AND(H147=1,I147&lt;&gt;"",COUNTIF('New Starters'!$K$14:$K$73,I147)&gt;0),1,0))</f>
        <v/>
      </c>
      <c r="K147">
        <f>IF(ISNUMBER(SEARCH("Head Office",D147)),'Control Sheet'!$C$6,'Control Sheet'!$C$5)</f>
        <v/>
      </c>
      <c r="L147">
        <f>IF(OR($A147="",AND(B147="",C147="")),"",IF(B147="",C147,IF(C147="",-B147,C147-B147)))</f>
        <v/>
      </c>
      <c r="M147">
        <f>IFERROR(L147/B147,"")</f>
        <v/>
      </c>
      <c r="N147">
        <f>IF($A147="",0,IF(OR(B147="",C147="",C147=0,AND(ISNUMBER(M147),ABS(M147)&gt;K147)),1,0))</f>
        <v/>
      </c>
      <c r="O147">
        <f>IF(AND(N147=1,ABS(L147)&gt;='Control Sheet'!$C$7,F147=1),1,0)</f>
        <v/>
      </c>
      <c r="P147">
        <f>IF($A147="","",IF(F147=0,"Zero Hours",IF(J147=1,"Explained: Paired transfer",IF(AND(G147=1,H147=0,J147=0),"Explained: Starter",IF(AND(H147=1,G147=0,J147=0),"Explained: Leaver",IF(O147=1,"Review required","OK"))))))</f>
        <v/>
      </c>
      <c r="Q147">
        <f>IF(AND(F147=1,OR(C147="",C147=0),H147=0,J147=0),1,0)</f>
        <v/>
      </c>
      <c r="R147">
        <f>IF(F147=0,0,IF(P147="Review required",1,IF(AND(P147="Explained: Starter",ISNUMBER(C147),C147&gt;=1500),1,0)))</f>
        <v/>
      </c>
      <c r="S147">
        <f>IF(R147=0,"",IF(Q147=1,"High",IF(AND(P147="Explained: Starter",C147&gt;=1500),"High",IF(ABS(L147)&gt;=2000,"High",IF(ABS(L147)&gt;=500,"Medium","Low")))))</f>
        <v/>
      </c>
      <c r="T147">
        <f>SUMIFS('Payment Breakdown Prior'!$S$15:$S$164,'Payment Breakdown Prior'!$AE$15:$AE$164,$A147)</f>
        <v/>
      </c>
      <c r="U147">
        <f>SUMIFS('Payment Breakdown Current'!$S$15:$S$164,'Payment Breakdown Current'!$AE$15:$AE$164,$A147)</f>
        <v/>
      </c>
      <c r="V147">
        <f>IFERROR((U147-T147)/T147,"")</f>
        <v/>
      </c>
      <c r="W147">
        <f>(SUMIFS('Payment Breakdown Current'!$S$15:$S$164,'Payment Breakdown Current'!$AE$15:$AE$164,$A147))-(SUMIFS('Payment Breakdown Prior'!$S$15:$S$164,'Payment Breakdown Prior'!$AE$15:$AE$164,$A147))</f>
        <v/>
      </c>
      <c r="X147">
        <f>(SUMIFS('Payment Breakdown Current'!$T$15:$T$164,'Payment Breakdown Current'!$AE$15:$AE$164,$A147))-(SUMIFS('Payment Breakdown Prior'!$T$15:$T$164,'Payment Breakdown Prior'!$AE$15:$AE$164,$A147))</f>
        <v/>
      </c>
      <c r="Y147">
        <f>(SUMIFS('Payment Breakdown Current'!$U$15:$U$164,'Payment Breakdown Current'!$AE$15:$AE$164,$A147))-(SUMIFS('Payment Breakdown Prior'!$U$15:$U$164,'Payment Breakdown Prior'!$AE$15:$AE$164,$A147))</f>
        <v/>
      </c>
      <c r="Z147">
        <f>(SUMIFS('Payment Breakdown Current'!$V$15:$V$164,'Payment Breakdown Current'!$AE$15:$AE$164,$A147))-(SUMIFS('Payment Breakdown Prior'!$V$15:$V$164,'Payment Breakdown Prior'!$AE$15:$AE$164,$A147))</f>
        <v/>
      </c>
      <c r="AA147">
        <f>(SUMIFS('Payment Breakdown Current'!$W$15:$W$164,'Payment Breakdown Current'!$AE$15:$AE$164,$A147))-(SUMIFS('Payment Breakdown Prior'!$W$15:$W$164,'Payment Breakdown Prior'!$AE$15:$AE$164,$A147))</f>
        <v/>
      </c>
      <c r="AB147">
        <f>(SUMIFS('Payment Breakdown Current'!$X$15:$X$164,'Payment Breakdown Current'!$AE$15:$AE$164,$A147))-(SUMIFS('Payment Breakdown Prior'!$X$15:$X$164,'Payment Breakdown Prior'!$AE$15:$AE$164,$A147))</f>
        <v/>
      </c>
      <c r="AC147">
        <f>(SUMIFS('Payment Breakdown Current'!$Y$15:$Y$164,'Payment Breakdown Current'!$AE$15:$AE$164,$A147))-(SUMIFS('Payment Breakdown Prior'!$Y$15:$Y$164,'Payment Breakdown Prior'!$AE$15:$AE$164,$A147))</f>
        <v/>
      </c>
      <c r="AD147">
        <f>(SUMIFS('Payment Breakdown Current'!$Z$15:$Z$164,'Payment Breakdown Current'!$AE$15:$AE$164,$A147))-(SUMIFS('Payment Breakdown Prior'!$Z$15:$Z$164,'Payment Breakdown Prior'!$AE$15:$AE$164,$A147))</f>
        <v/>
      </c>
      <c r="AE147">
        <f>(SUMIFS('Payment Breakdown Current'!$AA$15:$AA$164,'Payment Breakdown Current'!$AE$15:$AE$164,$A147))-(SUMIFS('Payment Breakdown Prior'!$AA$15:$AA$164,'Payment Breakdown Prior'!$AE$15:$AE$164,$A147))</f>
        <v/>
      </c>
      <c r="AF147">
        <f>(SUMIFS('Payment Breakdown Current'!$AB$15:$AB$164,'Payment Breakdown Current'!$AE$15:$AE$164,$A147))-(SUMIFS('Payment Breakdown Prior'!$AB$15:$AB$164,'Payment Breakdown Prior'!$AE$15:$AE$164,$A147))</f>
        <v/>
      </c>
      <c r="AG147">
        <f>(SUMIFS('Payment Breakdown Current'!$AC$15:$AC$164,'Payment Breakdown Current'!$AE$15:$AE$164,$A147))-(SUMIFS('Payment Breakdown Prior'!$AC$15:$AC$164,'Payment Breakdown Prior'!$AE$15:$AE$164,$A147))</f>
        <v/>
      </c>
      <c r="AH147">
        <f>(SUMIFS('Payment Breakdown Current'!$AD$15:$AD$164,'Payment Breakdown Current'!$AE$15:$AE$164,$A147))-(SUMIFS('Payment Breakdown Prior'!$AD$15:$AD$164,'Payment Breakdown Prior'!$AE$15:$AE$164,$A147))</f>
        <v/>
      </c>
      <c r="AI147">
        <f t="array" ref="AI147">MAX(ABS(W147:AH147))</f>
        <v/>
      </c>
      <c r="AJ147">
        <f t="array" ref="AJ147">IF(AI147&lt;0.005,"",IFERROR(INDEX($W$1:$AH$1,MATCH(AI147,ABS(W147:AH147),0)),""))</f>
        <v/>
      </c>
      <c r="AK147">
        <f t="array" ref="AK147">IF(AI147&lt;0.005,"",IFERROR(INDEX(W147:AH147,MATCH(AI147,ABS(W147:AH147),0)),""))</f>
        <v/>
      </c>
      <c r="AL147">
        <f>IF(R147=1,ABS(L147)-ROW()/100000000,"")</f>
        <v/>
      </c>
    </row>
    <row r="148">
      <c r="A148">
        <f>IF('NPV Comparison'!D161="","",'NPV Comparison'!D161)</f>
        <v/>
      </c>
      <c r="B148">
        <f>IF('NPV Comparison'!E161="","",'NPV Comparison'!E161)</f>
        <v/>
      </c>
      <c r="C148">
        <f>IF('NPV Comparison'!F161="","",'NPV Comparison'!F161)</f>
        <v/>
      </c>
      <c r="D148">
        <f>IF($A148="","",IFERROR(INDEX(Structure!$E$13:$E$312,MATCH($A148,Structure!$P$13:$P$312,0)),""))</f>
        <v/>
      </c>
      <c r="E148">
        <f>IF($A148="",0,IF(COUNTIF(Structure!$P$13:$P$312,$A148)=0,0,IF(COUNTIFS(Structure!$P$13:$P$312,$A148,Structure!$N$13:$N$312,"&lt;&gt;Zero Hours")=0,1,0)))</f>
        <v/>
      </c>
      <c r="F148">
        <f>IF($A148="",0,1-E148)</f>
        <v/>
      </c>
      <c r="G148">
        <f>IF($A148="",0,IF(COUNTIF('New Starters'!$D$14:$D$73,$A148)&gt;0,1,0))</f>
        <v/>
      </c>
      <c r="H148">
        <f>IF($A148="",0,IF(COUNTIF('Leavers'!$D$12:$D$71,$A148)&gt;0,1,0))</f>
        <v/>
      </c>
      <c r="I148">
        <f>IF($A148="","",IFERROR(INDEX('New Starters'!$K$14:$K$73,MATCH($A148,'New Starters'!$D$14:$D$73,0)),IFERROR(INDEX('Leavers'!$K$12:$K$71,MATCH($A148,'Leavers'!$D$12:$D$71,0)),"")))</f>
        <v/>
      </c>
      <c r="J148">
        <f>IF(AND(G148=1,I148&lt;&gt;"",COUNTIF('Leavers'!$K$12:$K$71,I148)&gt;0),1,IF(AND(H148=1,I148&lt;&gt;"",COUNTIF('New Starters'!$K$14:$K$73,I148)&gt;0),1,0))</f>
        <v/>
      </c>
      <c r="K148">
        <f>IF(ISNUMBER(SEARCH("Head Office",D148)),'Control Sheet'!$C$6,'Control Sheet'!$C$5)</f>
        <v/>
      </c>
      <c r="L148">
        <f>IF(OR($A148="",AND(B148="",C148="")),"",IF(B148="",C148,IF(C148="",-B148,C148-B148)))</f>
        <v/>
      </c>
      <c r="M148">
        <f>IFERROR(L148/B148,"")</f>
        <v/>
      </c>
      <c r="N148">
        <f>IF($A148="",0,IF(OR(B148="",C148="",C148=0,AND(ISNUMBER(M148),ABS(M148)&gt;K148)),1,0))</f>
        <v/>
      </c>
      <c r="O148">
        <f>IF(AND(N148=1,ABS(L148)&gt;='Control Sheet'!$C$7,F148=1),1,0)</f>
        <v/>
      </c>
      <c r="P148">
        <f>IF($A148="","",IF(F148=0,"Zero Hours",IF(J148=1,"Explained: Paired transfer",IF(AND(G148=1,H148=0,J148=0),"Explained: Starter",IF(AND(H148=1,G148=0,J148=0),"Explained: Leaver",IF(O148=1,"Review required","OK"))))))</f>
        <v/>
      </c>
      <c r="Q148">
        <f>IF(AND(F148=1,OR(C148="",C148=0),H148=0,J148=0),1,0)</f>
        <v/>
      </c>
      <c r="R148">
        <f>IF(F148=0,0,IF(P148="Review required",1,IF(AND(P148="Explained: Starter",ISNUMBER(C148),C148&gt;=1500),1,0)))</f>
        <v/>
      </c>
      <c r="S148">
        <f>IF(R148=0,"",IF(Q148=1,"High",IF(AND(P148="Explained: Starter",C148&gt;=1500),"High",IF(ABS(L148)&gt;=2000,"High",IF(ABS(L148)&gt;=500,"Medium","Low")))))</f>
        <v/>
      </c>
      <c r="T148">
        <f>SUMIFS('Payment Breakdown Prior'!$S$15:$S$164,'Payment Breakdown Prior'!$AE$15:$AE$164,$A148)</f>
        <v/>
      </c>
      <c r="U148">
        <f>SUMIFS('Payment Breakdown Current'!$S$15:$S$164,'Payment Breakdown Current'!$AE$15:$AE$164,$A148)</f>
        <v/>
      </c>
      <c r="V148">
        <f>IFERROR((U148-T148)/T148,"")</f>
        <v/>
      </c>
      <c r="W148">
        <f>(SUMIFS('Payment Breakdown Current'!$S$15:$S$164,'Payment Breakdown Current'!$AE$15:$AE$164,$A148))-(SUMIFS('Payment Breakdown Prior'!$S$15:$S$164,'Payment Breakdown Prior'!$AE$15:$AE$164,$A148))</f>
        <v/>
      </c>
      <c r="X148">
        <f>(SUMIFS('Payment Breakdown Current'!$T$15:$T$164,'Payment Breakdown Current'!$AE$15:$AE$164,$A148))-(SUMIFS('Payment Breakdown Prior'!$T$15:$T$164,'Payment Breakdown Prior'!$AE$15:$AE$164,$A148))</f>
        <v/>
      </c>
      <c r="Y148">
        <f>(SUMIFS('Payment Breakdown Current'!$U$15:$U$164,'Payment Breakdown Current'!$AE$15:$AE$164,$A148))-(SUMIFS('Payment Breakdown Prior'!$U$15:$U$164,'Payment Breakdown Prior'!$AE$15:$AE$164,$A148))</f>
        <v/>
      </c>
      <c r="Z148">
        <f>(SUMIFS('Payment Breakdown Current'!$V$15:$V$164,'Payment Breakdown Current'!$AE$15:$AE$164,$A148))-(SUMIFS('Payment Breakdown Prior'!$V$15:$V$164,'Payment Breakdown Prior'!$AE$15:$AE$164,$A148))</f>
        <v/>
      </c>
      <c r="AA148">
        <f>(SUMIFS('Payment Breakdown Current'!$W$15:$W$164,'Payment Breakdown Current'!$AE$15:$AE$164,$A148))-(SUMIFS('Payment Breakdown Prior'!$W$15:$W$164,'Payment Breakdown Prior'!$AE$15:$AE$164,$A148))</f>
        <v/>
      </c>
      <c r="AB148">
        <f>(SUMIFS('Payment Breakdown Current'!$X$15:$X$164,'Payment Breakdown Current'!$AE$15:$AE$164,$A148))-(SUMIFS('Payment Breakdown Prior'!$X$15:$X$164,'Payment Breakdown Prior'!$AE$15:$AE$164,$A148))</f>
        <v/>
      </c>
      <c r="AC148">
        <f>(SUMIFS('Payment Breakdown Current'!$Y$15:$Y$164,'Payment Breakdown Current'!$AE$15:$AE$164,$A148))-(SUMIFS('Payment Breakdown Prior'!$Y$15:$Y$164,'Payment Breakdown Prior'!$AE$15:$AE$164,$A148))</f>
        <v/>
      </c>
      <c r="AD148">
        <f>(SUMIFS('Payment Breakdown Current'!$Z$15:$Z$164,'Payment Breakdown Current'!$AE$15:$AE$164,$A148))-(SUMIFS('Payment Breakdown Prior'!$Z$15:$Z$164,'Payment Breakdown Prior'!$AE$15:$AE$164,$A148))</f>
        <v/>
      </c>
      <c r="AE148">
        <f>(SUMIFS('Payment Breakdown Current'!$AA$15:$AA$164,'Payment Breakdown Current'!$AE$15:$AE$164,$A148))-(SUMIFS('Payment Breakdown Prior'!$AA$15:$AA$164,'Payment Breakdown Prior'!$AE$15:$AE$164,$A148))</f>
        <v/>
      </c>
      <c r="AF148">
        <f>(SUMIFS('Payment Breakdown Current'!$AB$15:$AB$164,'Payment Breakdown Current'!$AE$15:$AE$164,$A148))-(SUMIFS('Payment Breakdown Prior'!$AB$15:$AB$164,'Payment Breakdown Prior'!$AE$15:$AE$164,$A148))</f>
        <v/>
      </c>
      <c r="AG148">
        <f>(SUMIFS('Payment Breakdown Current'!$AC$15:$AC$164,'Payment Breakdown Current'!$AE$15:$AE$164,$A148))-(SUMIFS('Payment Breakdown Prior'!$AC$15:$AC$164,'Payment Breakdown Prior'!$AE$15:$AE$164,$A148))</f>
        <v/>
      </c>
      <c r="AH148">
        <f>(SUMIFS('Payment Breakdown Current'!$AD$15:$AD$164,'Payment Breakdown Current'!$AE$15:$AE$164,$A148))-(SUMIFS('Payment Breakdown Prior'!$AD$15:$AD$164,'Payment Breakdown Prior'!$AE$15:$AE$164,$A148))</f>
        <v/>
      </c>
      <c r="AI148">
        <f t="array" ref="AI148">MAX(ABS(W148:AH148))</f>
        <v/>
      </c>
      <c r="AJ148">
        <f t="array" ref="AJ148">IF(AI148&lt;0.005,"",IFERROR(INDEX($W$1:$AH$1,MATCH(AI148,ABS(W148:AH148),0)),""))</f>
        <v/>
      </c>
      <c r="AK148">
        <f t="array" ref="AK148">IF(AI148&lt;0.005,"",IFERROR(INDEX(W148:AH148,MATCH(AI148,ABS(W148:AH148),0)),""))</f>
        <v/>
      </c>
      <c r="AL148">
        <f>IF(R148=1,ABS(L148)-ROW()/100000000,"")</f>
        <v/>
      </c>
    </row>
    <row r="149">
      <c r="A149">
        <f>IF('NPV Comparison'!D162="","",'NPV Comparison'!D162)</f>
        <v/>
      </c>
      <c r="B149">
        <f>IF('NPV Comparison'!E162="","",'NPV Comparison'!E162)</f>
        <v/>
      </c>
      <c r="C149">
        <f>IF('NPV Comparison'!F162="","",'NPV Comparison'!F162)</f>
        <v/>
      </c>
      <c r="D149">
        <f>IF($A149="","",IFERROR(INDEX(Structure!$E$13:$E$312,MATCH($A149,Structure!$P$13:$P$312,0)),""))</f>
        <v/>
      </c>
      <c r="E149">
        <f>IF($A149="",0,IF(COUNTIF(Structure!$P$13:$P$312,$A149)=0,0,IF(COUNTIFS(Structure!$P$13:$P$312,$A149,Structure!$N$13:$N$312,"&lt;&gt;Zero Hours")=0,1,0)))</f>
        <v/>
      </c>
      <c r="F149">
        <f>IF($A149="",0,1-E149)</f>
        <v/>
      </c>
      <c r="G149">
        <f>IF($A149="",0,IF(COUNTIF('New Starters'!$D$14:$D$73,$A149)&gt;0,1,0))</f>
        <v/>
      </c>
      <c r="H149">
        <f>IF($A149="",0,IF(COUNTIF('Leavers'!$D$12:$D$71,$A149)&gt;0,1,0))</f>
        <v/>
      </c>
      <c r="I149">
        <f>IF($A149="","",IFERROR(INDEX('New Starters'!$K$14:$K$73,MATCH($A149,'New Starters'!$D$14:$D$73,0)),IFERROR(INDEX('Leavers'!$K$12:$K$71,MATCH($A149,'Leavers'!$D$12:$D$71,0)),"")))</f>
        <v/>
      </c>
      <c r="J149">
        <f>IF(AND(G149=1,I149&lt;&gt;"",COUNTIF('Leavers'!$K$12:$K$71,I149)&gt;0),1,IF(AND(H149=1,I149&lt;&gt;"",COUNTIF('New Starters'!$K$14:$K$73,I149)&gt;0),1,0))</f>
        <v/>
      </c>
      <c r="K149">
        <f>IF(ISNUMBER(SEARCH("Head Office",D149)),'Control Sheet'!$C$6,'Control Sheet'!$C$5)</f>
        <v/>
      </c>
      <c r="L149">
        <f>IF(OR($A149="",AND(B149="",C149="")),"",IF(B149="",C149,IF(C149="",-B149,C149-B149)))</f>
        <v/>
      </c>
      <c r="M149">
        <f>IFERROR(L149/B149,"")</f>
        <v/>
      </c>
      <c r="N149">
        <f>IF($A149="",0,IF(OR(B149="",C149="",C149=0,AND(ISNUMBER(M149),ABS(M149)&gt;K149)),1,0))</f>
        <v/>
      </c>
      <c r="O149">
        <f>IF(AND(N149=1,ABS(L149)&gt;='Control Sheet'!$C$7,F149=1),1,0)</f>
        <v/>
      </c>
      <c r="P149">
        <f>IF($A149="","",IF(F149=0,"Zero Hours",IF(J149=1,"Explained: Paired transfer",IF(AND(G149=1,H149=0,J149=0),"Explained: Starter",IF(AND(H149=1,G149=0,J149=0),"Explained: Leaver",IF(O149=1,"Review required","OK"))))))</f>
        <v/>
      </c>
      <c r="Q149">
        <f>IF(AND(F149=1,OR(C149="",C149=0),H149=0,J149=0),1,0)</f>
        <v/>
      </c>
      <c r="R149">
        <f>IF(F149=0,0,IF(P149="Review required",1,IF(AND(P149="Explained: Starter",ISNUMBER(C149),C149&gt;=1500),1,0)))</f>
        <v/>
      </c>
      <c r="S149">
        <f>IF(R149=0,"",IF(Q149=1,"High",IF(AND(P149="Explained: Starter",C149&gt;=1500),"High",IF(ABS(L149)&gt;=2000,"High",IF(ABS(L149)&gt;=500,"Medium","Low")))))</f>
        <v/>
      </c>
      <c r="T149">
        <f>SUMIFS('Payment Breakdown Prior'!$S$15:$S$164,'Payment Breakdown Prior'!$AE$15:$AE$164,$A149)</f>
        <v/>
      </c>
      <c r="U149">
        <f>SUMIFS('Payment Breakdown Current'!$S$15:$S$164,'Payment Breakdown Current'!$AE$15:$AE$164,$A149)</f>
        <v/>
      </c>
      <c r="V149">
        <f>IFERROR((U149-T149)/T149,"")</f>
        <v/>
      </c>
      <c r="W149">
        <f>(SUMIFS('Payment Breakdown Current'!$S$15:$S$164,'Payment Breakdown Current'!$AE$15:$AE$164,$A149))-(SUMIFS('Payment Breakdown Prior'!$S$15:$S$164,'Payment Breakdown Prior'!$AE$15:$AE$164,$A149))</f>
        <v/>
      </c>
      <c r="X149">
        <f>(SUMIFS('Payment Breakdown Current'!$T$15:$T$164,'Payment Breakdown Current'!$AE$15:$AE$164,$A149))-(SUMIFS('Payment Breakdown Prior'!$T$15:$T$164,'Payment Breakdown Prior'!$AE$15:$AE$164,$A149))</f>
        <v/>
      </c>
      <c r="Y149">
        <f>(SUMIFS('Payment Breakdown Current'!$U$15:$U$164,'Payment Breakdown Current'!$AE$15:$AE$164,$A149))-(SUMIFS('Payment Breakdown Prior'!$U$15:$U$164,'Payment Breakdown Prior'!$AE$15:$AE$164,$A149))</f>
        <v/>
      </c>
      <c r="Z149">
        <f>(SUMIFS('Payment Breakdown Current'!$V$15:$V$164,'Payment Breakdown Current'!$AE$15:$AE$164,$A149))-(SUMIFS('Payment Breakdown Prior'!$V$15:$V$164,'Payment Breakdown Prior'!$AE$15:$AE$164,$A149))</f>
        <v/>
      </c>
      <c r="AA149">
        <f>(SUMIFS('Payment Breakdown Current'!$W$15:$W$164,'Payment Breakdown Current'!$AE$15:$AE$164,$A149))-(SUMIFS('Payment Breakdown Prior'!$W$15:$W$164,'Payment Breakdown Prior'!$AE$15:$AE$164,$A149))</f>
        <v/>
      </c>
      <c r="AB149">
        <f>(SUMIFS('Payment Breakdown Current'!$X$15:$X$164,'Payment Breakdown Current'!$AE$15:$AE$164,$A149))-(SUMIFS('Payment Breakdown Prior'!$X$15:$X$164,'Payment Breakdown Prior'!$AE$15:$AE$164,$A149))</f>
        <v/>
      </c>
      <c r="AC149">
        <f>(SUMIFS('Payment Breakdown Current'!$Y$15:$Y$164,'Payment Breakdown Current'!$AE$15:$AE$164,$A149))-(SUMIFS('Payment Breakdown Prior'!$Y$15:$Y$164,'Payment Breakdown Prior'!$AE$15:$AE$164,$A149))</f>
        <v/>
      </c>
      <c r="AD149">
        <f>(SUMIFS('Payment Breakdown Current'!$Z$15:$Z$164,'Payment Breakdown Current'!$AE$15:$AE$164,$A149))-(SUMIFS('Payment Breakdown Prior'!$Z$15:$Z$164,'Payment Breakdown Prior'!$AE$15:$AE$164,$A149))</f>
        <v/>
      </c>
      <c r="AE149">
        <f>(SUMIFS('Payment Breakdown Current'!$AA$15:$AA$164,'Payment Breakdown Current'!$AE$15:$AE$164,$A149))-(SUMIFS('Payment Breakdown Prior'!$AA$15:$AA$164,'Payment Breakdown Prior'!$AE$15:$AE$164,$A149))</f>
        <v/>
      </c>
      <c r="AF149">
        <f>(SUMIFS('Payment Breakdown Current'!$AB$15:$AB$164,'Payment Breakdown Current'!$AE$15:$AE$164,$A149))-(SUMIFS('Payment Breakdown Prior'!$AB$15:$AB$164,'Payment Breakdown Prior'!$AE$15:$AE$164,$A149))</f>
        <v/>
      </c>
      <c r="AG149">
        <f>(SUMIFS('Payment Breakdown Current'!$AC$15:$AC$164,'Payment Breakdown Current'!$AE$15:$AE$164,$A149))-(SUMIFS('Payment Breakdown Prior'!$AC$15:$AC$164,'Payment Breakdown Prior'!$AE$15:$AE$164,$A149))</f>
        <v/>
      </c>
      <c r="AH149">
        <f>(SUMIFS('Payment Breakdown Current'!$AD$15:$AD$164,'Payment Breakdown Current'!$AE$15:$AE$164,$A149))-(SUMIFS('Payment Breakdown Prior'!$AD$15:$AD$164,'Payment Breakdown Prior'!$AE$15:$AE$164,$A149))</f>
        <v/>
      </c>
      <c r="AI149">
        <f t="array" ref="AI149">MAX(ABS(W149:AH149))</f>
        <v/>
      </c>
      <c r="AJ149">
        <f t="array" ref="AJ149">IF(AI149&lt;0.005,"",IFERROR(INDEX($W$1:$AH$1,MATCH(AI149,ABS(W149:AH149),0)),""))</f>
        <v/>
      </c>
      <c r="AK149">
        <f t="array" ref="AK149">IF(AI149&lt;0.005,"",IFERROR(INDEX(W149:AH149,MATCH(AI149,ABS(W149:AH149),0)),""))</f>
        <v/>
      </c>
      <c r="AL149">
        <f>IF(R149=1,ABS(L149)-ROW()/100000000,"")</f>
        <v/>
      </c>
    </row>
    <row r="150">
      <c r="A150">
        <f>IF('NPV Comparison'!D163="","",'NPV Comparison'!D163)</f>
        <v/>
      </c>
      <c r="B150">
        <f>IF('NPV Comparison'!E163="","",'NPV Comparison'!E163)</f>
        <v/>
      </c>
      <c r="C150">
        <f>IF('NPV Comparison'!F163="","",'NPV Comparison'!F163)</f>
        <v/>
      </c>
      <c r="D150">
        <f>IF($A150="","",IFERROR(INDEX(Structure!$E$13:$E$312,MATCH($A150,Structure!$P$13:$P$312,0)),""))</f>
        <v/>
      </c>
      <c r="E150">
        <f>IF($A150="",0,IF(COUNTIF(Structure!$P$13:$P$312,$A150)=0,0,IF(COUNTIFS(Structure!$P$13:$P$312,$A150,Structure!$N$13:$N$312,"&lt;&gt;Zero Hours")=0,1,0)))</f>
        <v/>
      </c>
      <c r="F150">
        <f>IF($A150="",0,1-E150)</f>
        <v/>
      </c>
      <c r="G150">
        <f>IF($A150="",0,IF(COUNTIF('New Starters'!$D$14:$D$73,$A150)&gt;0,1,0))</f>
        <v/>
      </c>
      <c r="H150">
        <f>IF($A150="",0,IF(COUNTIF('Leavers'!$D$12:$D$71,$A150)&gt;0,1,0))</f>
        <v/>
      </c>
      <c r="I150">
        <f>IF($A150="","",IFERROR(INDEX('New Starters'!$K$14:$K$73,MATCH($A150,'New Starters'!$D$14:$D$73,0)),IFERROR(INDEX('Leavers'!$K$12:$K$71,MATCH($A150,'Leavers'!$D$12:$D$71,0)),"")))</f>
        <v/>
      </c>
      <c r="J150">
        <f>IF(AND(G150=1,I150&lt;&gt;"",COUNTIF('Leavers'!$K$12:$K$71,I150)&gt;0),1,IF(AND(H150=1,I150&lt;&gt;"",COUNTIF('New Starters'!$K$14:$K$73,I150)&gt;0),1,0))</f>
        <v/>
      </c>
      <c r="K150">
        <f>IF(ISNUMBER(SEARCH("Head Office",D150)),'Control Sheet'!$C$6,'Control Sheet'!$C$5)</f>
        <v/>
      </c>
      <c r="L150">
        <f>IF(OR($A150="",AND(B150="",C150="")),"",IF(B150="",C150,IF(C150="",-B150,C150-B150)))</f>
        <v/>
      </c>
      <c r="M150">
        <f>IFERROR(L150/B150,"")</f>
        <v/>
      </c>
      <c r="N150">
        <f>IF($A150="",0,IF(OR(B150="",C150="",C150=0,AND(ISNUMBER(M150),ABS(M150)&gt;K150)),1,0))</f>
        <v/>
      </c>
      <c r="O150">
        <f>IF(AND(N150=1,ABS(L150)&gt;='Control Sheet'!$C$7,F150=1),1,0)</f>
        <v/>
      </c>
      <c r="P150">
        <f>IF($A150="","",IF(F150=0,"Zero Hours",IF(J150=1,"Explained: Paired transfer",IF(AND(G150=1,H150=0,J150=0),"Explained: Starter",IF(AND(H150=1,G150=0,J150=0),"Explained: Leaver",IF(O150=1,"Review required","OK"))))))</f>
        <v/>
      </c>
      <c r="Q150">
        <f>IF(AND(F150=1,OR(C150="",C150=0),H150=0,J150=0),1,0)</f>
        <v/>
      </c>
      <c r="R150">
        <f>IF(F150=0,0,IF(P150="Review required",1,IF(AND(P150="Explained: Starter",ISNUMBER(C150),C150&gt;=1500),1,0)))</f>
        <v/>
      </c>
      <c r="S150">
        <f>IF(R150=0,"",IF(Q150=1,"High",IF(AND(P150="Explained: Starter",C150&gt;=1500),"High",IF(ABS(L150)&gt;=2000,"High",IF(ABS(L150)&gt;=500,"Medium","Low")))))</f>
        <v/>
      </c>
      <c r="T150">
        <f>SUMIFS('Payment Breakdown Prior'!$S$15:$S$164,'Payment Breakdown Prior'!$AE$15:$AE$164,$A150)</f>
        <v/>
      </c>
      <c r="U150">
        <f>SUMIFS('Payment Breakdown Current'!$S$15:$S$164,'Payment Breakdown Current'!$AE$15:$AE$164,$A150)</f>
        <v/>
      </c>
      <c r="V150">
        <f>IFERROR((U150-T150)/T150,"")</f>
        <v/>
      </c>
      <c r="W150">
        <f>(SUMIFS('Payment Breakdown Current'!$S$15:$S$164,'Payment Breakdown Current'!$AE$15:$AE$164,$A150))-(SUMIFS('Payment Breakdown Prior'!$S$15:$S$164,'Payment Breakdown Prior'!$AE$15:$AE$164,$A150))</f>
        <v/>
      </c>
      <c r="X150">
        <f>(SUMIFS('Payment Breakdown Current'!$T$15:$T$164,'Payment Breakdown Current'!$AE$15:$AE$164,$A150))-(SUMIFS('Payment Breakdown Prior'!$T$15:$T$164,'Payment Breakdown Prior'!$AE$15:$AE$164,$A150))</f>
        <v/>
      </c>
      <c r="Y150">
        <f>(SUMIFS('Payment Breakdown Current'!$U$15:$U$164,'Payment Breakdown Current'!$AE$15:$AE$164,$A150))-(SUMIFS('Payment Breakdown Prior'!$U$15:$U$164,'Payment Breakdown Prior'!$AE$15:$AE$164,$A150))</f>
        <v/>
      </c>
      <c r="Z150">
        <f>(SUMIFS('Payment Breakdown Current'!$V$15:$V$164,'Payment Breakdown Current'!$AE$15:$AE$164,$A150))-(SUMIFS('Payment Breakdown Prior'!$V$15:$V$164,'Payment Breakdown Prior'!$AE$15:$AE$164,$A150))</f>
        <v/>
      </c>
      <c r="AA150">
        <f>(SUMIFS('Payment Breakdown Current'!$W$15:$W$164,'Payment Breakdown Current'!$AE$15:$AE$164,$A150))-(SUMIFS('Payment Breakdown Prior'!$W$15:$W$164,'Payment Breakdown Prior'!$AE$15:$AE$164,$A150))</f>
        <v/>
      </c>
      <c r="AB150">
        <f>(SUMIFS('Payment Breakdown Current'!$X$15:$X$164,'Payment Breakdown Current'!$AE$15:$AE$164,$A150))-(SUMIFS('Payment Breakdown Prior'!$X$15:$X$164,'Payment Breakdown Prior'!$AE$15:$AE$164,$A150))</f>
        <v/>
      </c>
      <c r="AC150">
        <f>(SUMIFS('Payment Breakdown Current'!$Y$15:$Y$164,'Payment Breakdown Current'!$AE$15:$AE$164,$A150))-(SUMIFS('Payment Breakdown Prior'!$Y$15:$Y$164,'Payment Breakdown Prior'!$AE$15:$AE$164,$A150))</f>
        <v/>
      </c>
      <c r="AD150">
        <f>(SUMIFS('Payment Breakdown Current'!$Z$15:$Z$164,'Payment Breakdown Current'!$AE$15:$AE$164,$A150))-(SUMIFS('Payment Breakdown Prior'!$Z$15:$Z$164,'Payment Breakdown Prior'!$AE$15:$AE$164,$A150))</f>
        <v/>
      </c>
      <c r="AE150">
        <f>(SUMIFS('Payment Breakdown Current'!$AA$15:$AA$164,'Payment Breakdown Current'!$AE$15:$AE$164,$A150))-(SUMIFS('Payment Breakdown Prior'!$AA$15:$AA$164,'Payment Breakdown Prior'!$AE$15:$AE$164,$A150))</f>
        <v/>
      </c>
      <c r="AF150">
        <f>(SUMIFS('Payment Breakdown Current'!$AB$15:$AB$164,'Payment Breakdown Current'!$AE$15:$AE$164,$A150))-(SUMIFS('Payment Breakdown Prior'!$AB$15:$AB$164,'Payment Breakdown Prior'!$AE$15:$AE$164,$A150))</f>
        <v/>
      </c>
      <c r="AG150">
        <f>(SUMIFS('Payment Breakdown Current'!$AC$15:$AC$164,'Payment Breakdown Current'!$AE$15:$AE$164,$A150))-(SUMIFS('Payment Breakdown Prior'!$AC$15:$AC$164,'Payment Breakdown Prior'!$AE$15:$AE$164,$A150))</f>
        <v/>
      </c>
      <c r="AH150">
        <f>(SUMIFS('Payment Breakdown Current'!$AD$15:$AD$164,'Payment Breakdown Current'!$AE$15:$AE$164,$A150))-(SUMIFS('Payment Breakdown Prior'!$AD$15:$AD$164,'Payment Breakdown Prior'!$AE$15:$AE$164,$A150))</f>
        <v/>
      </c>
      <c r="AI150">
        <f t="array" ref="AI150">MAX(ABS(W150:AH150))</f>
        <v/>
      </c>
      <c r="AJ150">
        <f t="array" ref="AJ150">IF(AI150&lt;0.005,"",IFERROR(INDEX($W$1:$AH$1,MATCH(AI150,ABS(W150:AH150),0)),""))</f>
        <v/>
      </c>
      <c r="AK150">
        <f t="array" ref="AK150">IF(AI150&lt;0.005,"",IFERROR(INDEX(W150:AH150,MATCH(AI150,ABS(W150:AH150),0)),""))</f>
        <v/>
      </c>
      <c r="AL150">
        <f>IF(R150=1,ABS(L150)-ROW()/100000000,"")</f>
        <v/>
      </c>
    </row>
    <row r="151">
      <c r="A151">
        <f>IF('NPV Comparison'!D164="","",'NPV Comparison'!D164)</f>
        <v/>
      </c>
      <c r="B151">
        <f>IF('NPV Comparison'!E164="","",'NPV Comparison'!E164)</f>
        <v/>
      </c>
      <c r="C151">
        <f>IF('NPV Comparison'!F164="","",'NPV Comparison'!F164)</f>
        <v/>
      </c>
      <c r="D151">
        <f>IF($A151="","",IFERROR(INDEX(Structure!$E$13:$E$312,MATCH($A151,Structure!$P$13:$P$312,0)),""))</f>
        <v/>
      </c>
      <c r="E151">
        <f>IF($A151="",0,IF(COUNTIF(Structure!$P$13:$P$312,$A151)=0,0,IF(COUNTIFS(Structure!$P$13:$P$312,$A151,Structure!$N$13:$N$312,"&lt;&gt;Zero Hours")=0,1,0)))</f>
        <v/>
      </c>
      <c r="F151">
        <f>IF($A151="",0,1-E151)</f>
        <v/>
      </c>
      <c r="G151">
        <f>IF($A151="",0,IF(COUNTIF('New Starters'!$D$14:$D$73,$A151)&gt;0,1,0))</f>
        <v/>
      </c>
      <c r="H151">
        <f>IF($A151="",0,IF(COUNTIF('Leavers'!$D$12:$D$71,$A151)&gt;0,1,0))</f>
        <v/>
      </c>
      <c r="I151">
        <f>IF($A151="","",IFERROR(INDEX('New Starters'!$K$14:$K$73,MATCH($A151,'New Starters'!$D$14:$D$73,0)),IFERROR(INDEX('Leavers'!$K$12:$K$71,MATCH($A151,'Leavers'!$D$12:$D$71,0)),"")))</f>
        <v/>
      </c>
      <c r="J151">
        <f>IF(AND(G151=1,I151&lt;&gt;"",COUNTIF('Leavers'!$K$12:$K$71,I151)&gt;0),1,IF(AND(H151=1,I151&lt;&gt;"",COUNTIF('New Starters'!$K$14:$K$73,I151)&gt;0),1,0))</f>
        <v/>
      </c>
      <c r="K151">
        <f>IF(ISNUMBER(SEARCH("Head Office",D151)),'Control Sheet'!$C$6,'Control Sheet'!$C$5)</f>
        <v/>
      </c>
      <c r="L151">
        <f>IF(OR($A151="",AND(B151="",C151="")),"",IF(B151="",C151,IF(C151="",-B151,C151-B151)))</f>
        <v/>
      </c>
      <c r="M151">
        <f>IFERROR(L151/B151,"")</f>
        <v/>
      </c>
      <c r="N151">
        <f>IF($A151="",0,IF(OR(B151="",C151="",C151=0,AND(ISNUMBER(M151),ABS(M151)&gt;K151)),1,0))</f>
        <v/>
      </c>
      <c r="O151">
        <f>IF(AND(N151=1,ABS(L151)&gt;='Control Sheet'!$C$7,F151=1),1,0)</f>
        <v/>
      </c>
      <c r="P151">
        <f>IF($A151="","",IF(F151=0,"Zero Hours",IF(J151=1,"Explained: Paired transfer",IF(AND(G151=1,H151=0,J151=0),"Explained: Starter",IF(AND(H151=1,G151=0,J151=0),"Explained: Leaver",IF(O151=1,"Review required","OK"))))))</f>
        <v/>
      </c>
      <c r="Q151">
        <f>IF(AND(F151=1,OR(C151="",C151=0),H151=0,J151=0),1,0)</f>
        <v/>
      </c>
      <c r="R151">
        <f>IF(F151=0,0,IF(P151="Review required",1,IF(AND(P151="Explained: Starter",ISNUMBER(C151),C151&gt;=1500),1,0)))</f>
        <v/>
      </c>
      <c r="S151">
        <f>IF(R151=0,"",IF(Q151=1,"High",IF(AND(P151="Explained: Starter",C151&gt;=1500),"High",IF(ABS(L151)&gt;=2000,"High",IF(ABS(L151)&gt;=500,"Medium","Low")))))</f>
        <v/>
      </c>
      <c r="T151">
        <f>SUMIFS('Payment Breakdown Prior'!$S$15:$S$164,'Payment Breakdown Prior'!$AE$15:$AE$164,$A151)</f>
        <v/>
      </c>
      <c r="U151">
        <f>SUMIFS('Payment Breakdown Current'!$S$15:$S$164,'Payment Breakdown Current'!$AE$15:$AE$164,$A151)</f>
        <v/>
      </c>
      <c r="V151">
        <f>IFERROR((U151-T151)/T151,"")</f>
        <v/>
      </c>
      <c r="W151">
        <f>(SUMIFS('Payment Breakdown Current'!$S$15:$S$164,'Payment Breakdown Current'!$AE$15:$AE$164,$A151))-(SUMIFS('Payment Breakdown Prior'!$S$15:$S$164,'Payment Breakdown Prior'!$AE$15:$AE$164,$A151))</f>
        <v/>
      </c>
      <c r="X151">
        <f>(SUMIFS('Payment Breakdown Current'!$T$15:$T$164,'Payment Breakdown Current'!$AE$15:$AE$164,$A151))-(SUMIFS('Payment Breakdown Prior'!$T$15:$T$164,'Payment Breakdown Prior'!$AE$15:$AE$164,$A151))</f>
        <v/>
      </c>
      <c r="Y151">
        <f>(SUMIFS('Payment Breakdown Current'!$U$15:$U$164,'Payment Breakdown Current'!$AE$15:$AE$164,$A151))-(SUMIFS('Payment Breakdown Prior'!$U$15:$U$164,'Payment Breakdown Prior'!$AE$15:$AE$164,$A151))</f>
        <v/>
      </c>
      <c r="Z151">
        <f>(SUMIFS('Payment Breakdown Current'!$V$15:$V$164,'Payment Breakdown Current'!$AE$15:$AE$164,$A151))-(SUMIFS('Payment Breakdown Prior'!$V$15:$V$164,'Payment Breakdown Prior'!$AE$15:$AE$164,$A151))</f>
        <v/>
      </c>
      <c r="AA151">
        <f>(SUMIFS('Payment Breakdown Current'!$W$15:$W$164,'Payment Breakdown Current'!$AE$15:$AE$164,$A151))-(SUMIFS('Payment Breakdown Prior'!$W$15:$W$164,'Payment Breakdown Prior'!$AE$15:$AE$164,$A151))</f>
        <v/>
      </c>
      <c r="AB151">
        <f>(SUMIFS('Payment Breakdown Current'!$X$15:$X$164,'Payment Breakdown Current'!$AE$15:$AE$164,$A151))-(SUMIFS('Payment Breakdown Prior'!$X$15:$X$164,'Payment Breakdown Prior'!$AE$15:$AE$164,$A151))</f>
        <v/>
      </c>
      <c r="AC151">
        <f>(SUMIFS('Payment Breakdown Current'!$Y$15:$Y$164,'Payment Breakdown Current'!$AE$15:$AE$164,$A151))-(SUMIFS('Payment Breakdown Prior'!$Y$15:$Y$164,'Payment Breakdown Prior'!$AE$15:$AE$164,$A151))</f>
        <v/>
      </c>
      <c r="AD151">
        <f>(SUMIFS('Payment Breakdown Current'!$Z$15:$Z$164,'Payment Breakdown Current'!$AE$15:$AE$164,$A151))-(SUMIFS('Payment Breakdown Prior'!$Z$15:$Z$164,'Payment Breakdown Prior'!$AE$15:$AE$164,$A151))</f>
        <v/>
      </c>
      <c r="AE151">
        <f>(SUMIFS('Payment Breakdown Current'!$AA$15:$AA$164,'Payment Breakdown Current'!$AE$15:$AE$164,$A151))-(SUMIFS('Payment Breakdown Prior'!$AA$15:$AA$164,'Payment Breakdown Prior'!$AE$15:$AE$164,$A151))</f>
        <v/>
      </c>
      <c r="AF151">
        <f>(SUMIFS('Payment Breakdown Current'!$AB$15:$AB$164,'Payment Breakdown Current'!$AE$15:$AE$164,$A151))-(SUMIFS('Payment Breakdown Prior'!$AB$15:$AB$164,'Payment Breakdown Prior'!$AE$15:$AE$164,$A151))</f>
        <v/>
      </c>
      <c r="AG151">
        <f>(SUMIFS('Payment Breakdown Current'!$AC$15:$AC$164,'Payment Breakdown Current'!$AE$15:$AE$164,$A151))-(SUMIFS('Payment Breakdown Prior'!$AC$15:$AC$164,'Payment Breakdown Prior'!$AE$15:$AE$164,$A151))</f>
        <v/>
      </c>
      <c r="AH151">
        <f>(SUMIFS('Payment Breakdown Current'!$AD$15:$AD$164,'Payment Breakdown Current'!$AE$15:$AE$164,$A151))-(SUMIFS('Payment Breakdown Prior'!$AD$15:$AD$164,'Payment Breakdown Prior'!$AE$15:$AE$164,$A151))</f>
        <v/>
      </c>
      <c r="AI151">
        <f t="array" ref="AI151">MAX(ABS(W151:AH151))</f>
        <v/>
      </c>
      <c r="AJ151">
        <f t="array" ref="AJ151">IF(AI151&lt;0.005,"",IFERROR(INDEX($W$1:$AH$1,MATCH(AI151,ABS(W151:AH151),0)),""))</f>
        <v/>
      </c>
      <c r="AK151">
        <f t="array" ref="AK151">IF(AI151&lt;0.005,"",IFERROR(INDEX(W151:AH151,MATCH(AI151,ABS(W151:AH151),0)),""))</f>
        <v/>
      </c>
      <c r="AL151">
        <f>IF(R151=1,ABS(L151)-ROW()/100000000,"")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3D315D"/>
    <outlinePr summaryBelow="1" summaryRight="1"/>
    <pageSetUpPr/>
  </sheetPr>
  <dimension ref="A1:L8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" customWidth="1" min="1" max="1"/>
    <col width="24" customWidth="1" min="2" max="2"/>
    <col width="15" customWidth="1" min="3" max="3"/>
    <col width="15" customWidth="1" min="4" max="4"/>
    <col width="15" customWidth="1" min="5" max="5"/>
    <col width="12" customWidth="1" min="6" max="6"/>
    <col width="12" customWidth="1" min="7" max="7"/>
    <col width="12" customWidth="1" min="8" max="8"/>
    <col width="22" customWidth="1" min="9" max="9"/>
    <col hidden="1" width="8" customWidth="1" min="10" max="10"/>
    <col width="12" customWidth="1" min="11" max="11"/>
    <col width="24" customWidth="1" min="12" max="12"/>
  </cols>
  <sheetData>
    <row r="1">
      <c r="A1" s="1" t="inlineStr">
        <is>
          <t>Payroll Reconciliation - Summary</t>
        </is>
      </c>
    </row>
    <row r="2"/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</row>
    <row r="4">
      <c r="A4" s="2" t="n"/>
      <c r="B4" s="3" t="inlineStr">
        <is>
          <t>Key Metrics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</row>
    <row r="5">
      <c r="A5" s="2" t="n"/>
      <c r="B5" s="4" t="inlineStr">
        <is>
          <t>Employee count (compared)</t>
        </is>
      </c>
      <c r="C5" s="2" t="n"/>
      <c r="D5" s="13">
        <f>COUNTIF(_Helpers!$F$2:$F$151,1)</f>
        <v/>
      </c>
      <c r="E5" s="2" t="n"/>
      <c r="F5" s="2" t="n"/>
      <c r="G5" s="2" t="n"/>
      <c r="H5" s="2" t="n"/>
      <c r="I5" s="2" t="n"/>
      <c r="J5" s="2" t="n"/>
      <c r="K5" s="2" t="n"/>
      <c r="L5" s="2" t="n"/>
    </row>
    <row r="6">
      <c r="A6" s="2" t="n"/>
      <c r="B6" s="4" t="inlineStr">
        <is>
          <t>Movements over tolerance</t>
        </is>
      </c>
      <c r="C6" s="2" t="n"/>
      <c r="D6" s="13">
        <f>SUMPRODUCT((_Helpers!$F$2:$F$151=1)*(_Helpers!$P$2:$P$151&lt;&gt;"OK")*(_Helpers!$P$2:$P$151&lt;&gt;""))</f>
        <v/>
      </c>
      <c r="E6" s="2" t="n"/>
      <c r="F6" s="2" t="n"/>
      <c r="G6" s="2" t="n"/>
      <c r="H6" s="2" t="n"/>
      <c r="I6" s="2" t="n"/>
      <c r="J6" s="2" t="n"/>
      <c r="K6" s="2" t="n"/>
      <c r="L6" s="2" t="n"/>
    </row>
    <row r="7">
      <c r="A7" s="2" t="n"/>
      <c r="B7" s="4" t="inlineStr">
        <is>
          <t>Explained starters/leavers</t>
        </is>
      </c>
      <c r="C7" s="2" t="n"/>
      <c r="D7" s="13">
        <f>SUMPRODUCT((_Helpers!$F$2:$F$151=1)*(LEFT(_Helpers!$P$2:$P$151,9)="Explained"))</f>
        <v/>
      </c>
      <c r="E7" s="2" t="n"/>
      <c r="F7" s="2" t="n"/>
      <c r="G7" s="2" t="n"/>
      <c r="H7" s="2" t="n"/>
      <c r="I7" s="2" t="n"/>
      <c r="J7" s="2" t="n"/>
      <c r="K7" s="2" t="n"/>
      <c r="L7" s="2" t="n"/>
    </row>
    <row r="8">
      <c r="A8" s="2" t="n"/>
      <c r="B8" s="4" t="inlineStr">
        <is>
          <t>Zero hours count</t>
        </is>
      </c>
      <c r="C8" s="2" t="n"/>
      <c r="D8" s="13">
        <f>COUNTIF(_Helpers!$E$2:$E$151,1)</f>
        <v/>
      </c>
      <c r="E8" s="2" t="n"/>
      <c r="F8" s="2" t="n"/>
      <c r="G8" s="2" t="n"/>
      <c r="H8" s="2" t="n"/>
      <c r="I8" s="2" t="n"/>
      <c r="J8" s="2" t="n"/>
      <c r="K8" s="2" t="n"/>
      <c r="L8" s="2" t="n"/>
    </row>
    <row r="9">
      <c r="A9" s="2" t="n"/>
      <c r="B9" s="4" t="inlineStr">
        <is>
          <t>Review required count</t>
        </is>
      </c>
      <c r="C9" s="2" t="n"/>
      <c r="D9" s="13">
        <f>COUNTIF(_Helpers!$R$2:$R$151,1)</f>
        <v/>
      </c>
      <c r="E9" s="2" t="n"/>
      <c r="F9" s="2" t="n"/>
      <c r="G9" s="2" t="n"/>
      <c r="H9" s="2" t="n"/>
      <c r="I9" s="2" t="n"/>
      <c r="J9" s="2" t="n"/>
      <c r="K9" s="2" t="n"/>
      <c r="L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</row>
    <row r="12">
      <c r="A12" s="2" t="n"/>
      <c r="B12" s="3" t="inlineStr">
        <is>
          <t>Top 20 review movements by £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</row>
    <row r="13" ht="22" customHeight="1">
      <c r="A13" s="2" t="n"/>
      <c r="B13" s="14" t="inlineStr">
        <is>
          <t>Rank</t>
        </is>
      </c>
      <c r="C13" s="14" t="inlineStr">
        <is>
          <t>Payroll Number</t>
        </is>
      </c>
      <c r="D13" s="14" t="inlineStr">
        <is>
          <t>Practice</t>
        </is>
      </c>
      <c r="E13" s="14" t="inlineStr">
        <is>
          <t>Prior Net</t>
        </is>
      </c>
      <c r="F13" s="14" t="inlineStr">
        <is>
          <t>Current Net</t>
        </is>
      </c>
      <c r="G13" s="14" t="inlineStr">
        <is>
          <t>Difference £</t>
        </is>
      </c>
      <c r="H13" s="14" t="inlineStr">
        <is>
          <t>Difference %</t>
        </is>
      </c>
      <c r="I13" s="14" t="inlineStr">
        <is>
          <t>Status</t>
        </is>
      </c>
      <c r="J13" s="14" t="inlineStr">
        <is>
          <t>Priority</t>
        </is>
      </c>
      <c r="K13" s="14" t="inlineStr">
        <is>
          <t>Main Movement</t>
        </is>
      </c>
      <c r="L13" s="2" t="n"/>
    </row>
    <row r="14">
      <c r="A14" s="2" t="n"/>
      <c r="B14" s="2" t="n">
        <v>1</v>
      </c>
      <c r="C14" s="11">
        <f>IF($J14="","",INDEX(_Helpers!$A$2:$A$151,$J14-2+1))</f>
        <v/>
      </c>
      <c r="D14" s="11">
        <f>IF($J14="","",INDEX(_Helpers!$D$2:$D$151,$J14-2+1))</f>
        <v/>
      </c>
      <c r="E14" s="15">
        <f>IF($J14="","",INDEX(_Helpers!$B$2:$B$151,$J14-2+1))</f>
        <v/>
      </c>
      <c r="F14" s="15">
        <f>IF($J14="","",INDEX(_Helpers!$C$2:$C$151,$J14-2+1))</f>
        <v/>
      </c>
      <c r="G14" s="15">
        <f>IF($J14="","",INDEX(_Helpers!$L$2:$L$151,$J14-2+1))</f>
        <v/>
      </c>
      <c r="H14" s="16">
        <f>IF($J14="","",INDEX(_Helpers!$M$2:$M$151,$J14-2+1))</f>
        <v/>
      </c>
      <c r="I14" s="11">
        <f>IF($J14="","",INDEX(_Helpers!$P$2:$P$151,$J14-2+1))</f>
        <v/>
      </c>
      <c r="J14" s="17">
        <f>IFERROR(MATCH(IFERROR(LARGE(_Helpers!$AL$2:$AL$151,1),""),_Helpers!$AL$2:$AL$151,0)+1,"")</f>
        <v/>
      </c>
      <c r="K14" s="11">
        <f>IF($J14="","",INDEX(_Helpers!$S$2:$S$151,$J14-2+1))</f>
        <v/>
      </c>
      <c r="L14" s="11">
        <f>IF($J14="","",INDEX(_Helpers!$AJ$2:$AJ$151,$J14-2+1))</f>
        <v/>
      </c>
    </row>
    <row r="15">
      <c r="A15" s="2" t="n"/>
      <c r="B15" s="2" t="n">
        <v>2</v>
      </c>
      <c r="C15" s="11">
        <f>IF($J15="","",INDEX(_Helpers!$A$2:$A$151,$J15-2+1))</f>
        <v/>
      </c>
      <c r="D15" s="11">
        <f>IF($J15="","",INDEX(_Helpers!$D$2:$D$151,$J15-2+1))</f>
        <v/>
      </c>
      <c r="E15" s="15">
        <f>IF($J15="","",INDEX(_Helpers!$B$2:$B$151,$J15-2+1))</f>
        <v/>
      </c>
      <c r="F15" s="15">
        <f>IF($J15="","",INDEX(_Helpers!$C$2:$C$151,$J15-2+1))</f>
        <v/>
      </c>
      <c r="G15" s="15">
        <f>IF($J15="","",INDEX(_Helpers!$L$2:$L$151,$J15-2+1))</f>
        <v/>
      </c>
      <c r="H15" s="16">
        <f>IF($J15="","",INDEX(_Helpers!$M$2:$M$151,$J15-2+1))</f>
        <v/>
      </c>
      <c r="I15" s="11">
        <f>IF($J15="","",INDEX(_Helpers!$P$2:$P$151,$J15-2+1))</f>
        <v/>
      </c>
      <c r="J15" s="17">
        <f>IFERROR(MATCH(IFERROR(LARGE(_Helpers!$AL$2:$AL$151,2),""),_Helpers!$AL$2:$AL$151,0)+1,"")</f>
        <v/>
      </c>
      <c r="K15" s="11">
        <f>IF($J15="","",INDEX(_Helpers!$S$2:$S$151,$J15-2+1))</f>
        <v/>
      </c>
      <c r="L15" s="11">
        <f>IF($J15="","",INDEX(_Helpers!$AJ$2:$AJ$151,$J15-2+1))</f>
        <v/>
      </c>
    </row>
    <row r="16">
      <c r="A16" s="2" t="n"/>
      <c r="B16" s="2" t="n">
        <v>3</v>
      </c>
      <c r="C16" s="11">
        <f>IF($J16="","",INDEX(_Helpers!$A$2:$A$151,$J16-2+1))</f>
        <v/>
      </c>
      <c r="D16" s="11">
        <f>IF($J16="","",INDEX(_Helpers!$D$2:$D$151,$J16-2+1))</f>
        <v/>
      </c>
      <c r="E16" s="15">
        <f>IF($J16="","",INDEX(_Helpers!$B$2:$B$151,$J16-2+1))</f>
        <v/>
      </c>
      <c r="F16" s="15">
        <f>IF($J16="","",INDEX(_Helpers!$C$2:$C$151,$J16-2+1))</f>
        <v/>
      </c>
      <c r="G16" s="15">
        <f>IF($J16="","",INDEX(_Helpers!$L$2:$L$151,$J16-2+1))</f>
        <v/>
      </c>
      <c r="H16" s="16">
        <f>IF($J16="","",INDEX(_Helpers!$M$2:$M$151,$J16-2+1))</f>
        <v/>
      </c>
      <c r="I16" s="11">
        <f>IF($J16="","",INDEX(_Helpers!$P$2:$P$151,$J16-2+1))</f>
        <v/>
      </c>
      <c r="J16" s="17">
        <f>IFERROR(MATCH(IFERROR(LARGE(_Helpers!$AL$2:$AL$151,3),""),_Helpers!$AL$2:$AL$151,0)+1,"")</f>
        <v/>
      </c>
      <c r="K16" s="11">
        <f>IF($J16="","",INDEX(_Helpers!$S$2:$S$151,$J16-2+1))</f>
        <v/>
      </c>
      <c r="L16" s="11">
        <f>IF($J16="","",INDEX(_Helpers!$AJ$2:$AJ$151,$J16-2+1))</f>
        <v/>
      </c>
    </row>
    <row r="17">
      <c r="A17" s="2" t="n"/>
      <c r="B17" s="2" t="n">
        <v>4</v>
      </c>
      <c r="C17" s="11">
        <f>IF($J17="","",INDEX(_Helpers!$A$2:$A$151,$J17-2+1))</f>
        <v/>
      </c>
      <c r="D17" s="11">
        <f>IF($J17="","",INDEX(_Helpers!$D$2:$D$151,$J17-2+1))</f>
        <v/>
      </c>
      <c r="E17" s="15">
        <f>IF($J17="","",INDEX(_Helpers!$B$2:$B$151,$J17-2+1))</f>
        <v/>
      </c>
      <c r="F17" s="15">
        <f>IF($J17="","",INDEX(_Helpers!$C$2:$C$151,$J17-2+1))</f>
        <v/>
      </c>
      <c r="G17" s="15">
        <f>IF($J17="","",INDEX(_Helpers!$L$2:$L$151,$J17-2+1))</f>
        <v/>
      </c>
      <c r="H17" s="16">
        <f>IF($J17="","",INDEX(_Helpers!$M$2:$M$151,$J17-2+1))</f>
        <v/>
      </c>
      <c r="I17" s="11">
        <f>IF($J17="","",INDEX(_Helpers!$P$2:$P$151,$J17-2+1))</f>
        <v/>
      </c>
      <c r="J17" s="17">
        <f>IFERROR(MATCH(IFERROR(LARGE(_Helpers!$AL$2:$AL$151,4),""),_Helpers!$AL$2:$AL$151,0)+1,"")</f>
        <v/>
      </c>
      <c r="K17" s="11">
        <f>IF($J17="","",INDEX(_Helpers!$S$2:$S$151,$J17-2+1))</f>
        <v/>
      </c>
      <c r="L17" s="11">
        <f>IF($J17="","",INDEX(_Helpers!$AJ$2:$AJ$151,$J17-2+1))</f>
        <v/>
      </c>
    </row>
    <row r="18">
      <c r="A18" s="2" t="n"/>
      <c r="B18" s="2" t="n">
        <v>5</v>
      </c>
      <c r="C18" s="11">
        <f>IF($J18="","",INDEX(_Helpers!$A$2:$A$151,$J18-2+1))</f>
        <v/>
      </c>
      <c r="D18" s="11">
        <f>IF($J18="","",INDEX(_Helpers!$D$2:$D$151,$J18-2+1))</f>
        <v/>
      </c>
      <c r="E18" s="15">
        <f>IF($J18="","",INDEX(_Helpers!$B$2:$B$151,$J18-2+1))</f>
        <v/>
      </c>
      <c r="F18" s="15">
        <f>IF($J18="","",INDEX(_Helpers!$C$2:$C$151,$J18-2+1))</f>
        <v/>
      </c>
      <c r="G18" s="15">
        <f>IF($J18="","",INDEX(_Helpers!$L$2:$L$151,$J18-2+1))</f>
        <v/>
      </c>
      <c r="H18" s="16">
        <f>IF($J18="","",INDEX(_Helpers!$M$2:$M$151,$J18-2+1))</f>
        <v/>
      </c>
      <c r="I18" s="11">
        <f>IF($J18="","",INDEX(_Helpers!$P$2:$P$151,$J18-2+1))</f>
        <v/>
      </c>
      <c r="J18" s="17">
        <f>IFERROR(MATCH(IFERROR(LARGE(_Helpers!$AL$2:$AL$151,5),""),_Helpers!$AL$2:$AL$151,0)+1,"")</f>
        <v/>
      </c>
      <c r="K18" s="11">
        <f>IF($J18="","",INDEX(_Helpers!$S$2:$S$151,$J18-2+1))</f>
        <v/>
      </c>
      <c r="L18" s="11">
        <f>IF($J18="","",INDEX(_Helpers!$AJ$2:$AJ$151,$J18-2+1))</f>
        <v/>
      </c>
    </row>
    <row r="19">
      <c r="A19" s="2" t="n"/>
      <c r="B19" s="2" t="n">
        <v>6</v>
      </c>
      <c r="C19" s="11">
        <f>IF($J19="","",INDEX(_Helpers!$A$2:$A$151,$J19-2+1))</f>
        <v/>
      </c>
      <c r="D19" s="11">
        <f>IF($J19="","",INDEX(_Helpers!$D$2:$D$151,$J19-2+1))</f>
        <v/>
      </c>
      <c r="E19" s="15">
        <f>IF($J19="","",INDEX(_Helpers!$B$2:$B$151,$J19-2+1))</f>
        <v/>
      </c>
      <c r="F19" s="15">
        <f>IF($J19="","",INDEX(_Helpers!$C$2:$C$151,$J19-2+1))</f>
        <v/>
      </c>
      <c r="G19" s="15">
        <f>IF($J19="","",INDEX(_Helpers!$L$2:$L$151,$J19-2+1))</f>
        <v/>
      </c>
      <c r="H19" s="16">
        <f>IF($J19="","",INDEX(_Helpers!$M$2:$M$151,$J19-2+1))</f>
        <v/>
      </c>
      <c r="I19" s="11">
        <f>IF($J19="","",INDEX(_Helpers!$P$2:$P$151,$J19-2+1))</f>
        <v/>
      </c>
      <c r="J19" s="17">
        <f>IFERROR(MATCH(IFERROR(LARGE(_Helpers!$AL$2:$AL$151,6),""),_Helpers!$AL$2:$AL$151,0)+1,"")</f>
        <v/>
      </c>
      <c r="K19" s="11">
        <f>IF($J19="","",INDEX(_Helpers!$S$2:$S$151,$J19-2+1))</f>
        <v/>
      </c>
      <c r="L19" s="11">
        <f>IF($J19="","",INDEX(_Helpers!$AJ$2:$AJ$151,$J19-2+1))</f>
        <v/>
      </c>
    </row>
    <row r="20">
      <c r="A20" s="2" t="n"/>
      <c r="B20" s="2" t="n">
        <v>7</v>
      </c>
      <c r="C20" s="11">
        <f>IF($J20="","",INDEX(_Helpers!$A$2:$A$151,$J20-2+1))</f>
        <v/>
      </c>
      <c r="D20" s="11">
        <f>IF($J20="","",INDEX(_Helpers!$D$2:$D$151,$J20-2+1))</f>
        <v/>
      </c>
      <c r="E20" s="15">
        <f>IF($J20="","",INDEX(_Helpers!$B$2:$B$151,$J20-2+1))</f>
        <v/>
      </c>
      <c r="F20" s="15">
        <f>IF($J20="","",INDEX(_Helpers!$C$2:$C$151,$J20-2+1))</f>
        <v/>
      </c>
      <c r="G20" s="15">
        <f>IF($J20="","",INDEX(_Helpers!$L$2:$L$151,$J20-2+1))</f>
        <v/>
      </c>
      <c r="H20" s="16">
        <f>IF($J20="","",INDEX(_Helpers!$M$2:$M$151,$J20-2+1))</f>
        <v/>
      </c>
      <c r="I20" s="11">
        <f>IF($J20="","",INDEX(_Helpers!$P$2:$P$151,$J20-2+1))</f>
        <v/>
      </c>
      <c r="J20" s="17">
        <f>IFERROR(MATCH(IFERROR(LARGE(_Helpers!$AL$2:$AL$151,7),""),_Helpers!$AL$2:$AL$151,0)+1,"")</f>
        <v/>
      </c>
      <c r="K20" s="11">
        <f>IF($J20="","",INDEX(_Helpers!$S$2:$S$151,$J20-2+1))</f>
        <v/>
      </c>
      <c r="L20" s="11">
        <f>IF($J20="","",INDEX(_Helpers!$AJ$2:$AJ$151,$J20-2+1))</f>
        <v/>
      </c>
    </row>
    <row r="21">
      <c r="A21" s="2" t="n"/>
      <c r="B21" s="2" t="n">
        <v>8</v>
      </c>
      <c r="C21" s="11">
        <f>IF($J21="","",INDEX(_Helpers!$A$2:$A$151,$J21-2+1))</f>
        <v/>
      </c>
      <c r="D21" s="11">
        <f>IF($J21="","",INDEX(_Helpers!$D$2:$D$151,$J21-2+1))</f>
        <v/>
      </c>
      <c r="E21" s="15">
        <f>IF($J21="","",INDEX(_Helpers!$B$2:$B$151,$J21-2+1))</f>
        <v/>
      </c>
      <c r="F21" s="15">
        <f>IF($J21="","",INDEX(_Helpers!$C$2:$C$151,$J21-2+1))</f>
        <v/>
      </c>
      <c r="G21" s="15">
        <f>IF($J21="","",INDEX(_Helpers!$L$2:$L$151,$J21-2+1))</f>
        <v/>
      </c>
      <c r="H21" s="16">
        <f>IF($J21="","",INDEX(_Helpers!$M$2:$M$151,$J21-2+1))</f>
        <v/>
      </c>
      <c r="I21" s="11">
        <f>IF($J21="","",INDEX(_Helpers!$P$2:$P$151,$J21-2+1))</f>
        <v/>
      </c>
      <c r="J21" s="17">
        <f>IFERROR(MATCH(IFERROR(LARGE(_Helpers!$AL$2:$AL$151,8),""),_Helpers!$AL$2:$AL$151,0)+1,"")</f>
        <v/>
      </c>
      <c r="K21" s="11">
        <f>IF($J21="","",INDEX(_Helpers!$S$2:$S$151,$J21-2+1))</f>
        <v/>
      </c>
      <c r="L21" s="11">
        <f>IF($J21="","",INDEX(_Helpers!$AJ$2:$AJ$151,$J21-2+1))</f>
        <v/>
      </c>
    </row>
    <row r="22">
      <c r="A22" s="2" t="n"/>
      <c r="B22" s="2" t="n">
        <v>9</v>
      </c>
      <c r="C22" s="11">
        <f>IF($J22="","",INDEX(_Helpers!$A$2:$A$151,$J22-2+1))</f>
        <v/>
      </c>
      <c r="D22" s="11">
        <f>IF($J22="","",INDEX(_Helpers!$D$2:$D$151,$J22-2+1))</f>
        <v/>
      </c>
      <c r="E22" s="15">
        <f>IF($J22="","",INDEX(_Helpers!$B$2:$B$151,$J22-2+1))</f>
        <v/>
      </c>
      <c r="F22" s="15">
        <f>IF($J22="","",INDEX(_Helpers!$C$2:$C$151,$J22-2+1))</f>
        <v/>
      </c>
      <c r="G22" s="15">
        <f>IF($J22="","",INDEX(_Helpers!$L$2:$L$151,$J22-2+1))</f>
        <v/>
      </c>
      <c r="H22" s="16">
        <f>IF($J22="","",INDEX(_Helpers!$M$2:$M$151,$J22-2+1))</f>
        <v/>
      </c>
      <c r="I22" s="11">
        <f>IF($J22="","",INDEX(_Helpers!$P$2:$P$151,$J22-2+1))</f>
        <v/>
      </c>
      <c r="J22" s="17">
        <f>IFERROR(MATCH(IFERROR(LARGE(_Helpers!$AL$2:$AL$151,9),""),_Helpers!$AL$2:$AL$151,0)+1,"")</f>
        <v/>
      </c>
      <c r="K22" s="11">
        <f>IF($J22="","",INDEX(_Helpers!$S$2:$S$151,$J22-2+1))</f>
        <v/>
      </c>
      <c r="L22" s="11">
        <f>IF($J22="","",INDEX(_Helpers!$AJ$2:$AJ$151,$J22-2+1))</f>
        <v/>
      </c>
    </row>
    <row r="23">
      <c r="A23" s="2" t="n"/>
      <c r="B23" s="2" t="n">
        <v>10</v>
      </c>
      <c r="C23" s="11">
        <f>IF($J23="","",INDEX(_Helpers!$A$2:$A$151,$J23-2+1))</f>
        <v/>
      </c>
      <c r="D23" s="11">
        <f>IF($J23="","",INDEX(_Helpers!$D$2:$D$151,$J23-2+1))</f>
        <v/>
      </c>
      <c r="E23" s="15">
        <f>IF($J23="","",INDEX(_Helpers!$B$2:$B$151,$J23-2+1))</f>
        <v/>
      </c>
      <c r="F23" s="15">
        <f>IF($J23="","",INDEX(_Helpers!$C$2:$C$151,$J23-2+1))</f>
        <v/>
      </c>
      <c r="G23" s="15">
        <f>IF($J23="","",INDEX(_Helpers!$L$2:$L$151,$J23-2+1))</f>
        <v/>
      </c>
      <c r="H23" s="16">
        <f>IF($J23="","",INDEX(_Helpers!$M$2:$M$151,$J23-2+1))</f>
        <v/>
      </c>
      <c r="I23" s="11">
        <f>IF($J23="","",INDEX(_Helpers!$P$2:$P$151,$J23-2+1))</f>
        <v/>
      </c>
      <c r="J23" s="17">
        <f>IFERROR(MATCH(IFERROR(LARGE(_Helpers!$AL$2:$AL$151,10),""),_Helpers!$AL$2:$AL$151,0)+1,"")</f>
        <v/>
      </c>
      <c r="K23" s="11">
        <f>IF($J23="","",INDEX(_Helpers!$S$2:$S$151,$J23-2+1))</f>
        <v/>
      </c>
      <c r="L23" s="11">
        <f>IF($J23="","",INDEX(_Helpers!$AJ$2:$AJ$151,$J23-2+1))</f>
        <v/>
      </c>
    </row>
    <row r="24">
      <c r="A24" s="2" t="n"/>
      <c r="B24" s="2" t="n">
        <v>11</v>
      </c>
      <c r="C24" s="11">
        <f>IF($J24="","",INDEX(_Helpers!$A$2:$A$151,$J24-2+1))</f>
        <v/>
      </c>
      <c r="D24" s="11">
        <f>IF($J24="","",INDEX(_Helpers!$D$2:$D$151,$J24-2+1))</f>
        <v/>
      </c>
      <c r="E24" s="15">
        <f>IF($J24="","",INDEX(_Helpers!$B$2:$B$151,$J24-2+1))</f>
        <v/>
      </c>
      <c r="F24" s="15">
        <f>IF($J24="","",INDEX(_Helpers!$C$2:$C$151,$J24-2+1))</f>
        <v/>
      </c>
      <c r="G24" s="15">
        <f>IF($J24="","",INDEX(_Helpers!$L$2:$L$151,$J24-2+1))</f>
        <v/>
      </c>
      <c r="H24" s="16">
        <f>IF($J24="","",INDEX(_Helpers!$M$2:$M$151,$J24-2+1))</f>
        <v/>
      </c>
      <c r="I24" s="11">
        <f>IF($J24="","",INDEX(_Helpers!$P$2:$P$151,$J24-2+1))</f>
        <v/>
      </c>
      <c r="J24" s="17">
        <f>IFERROR(MATCH(IFERROR(LARGE(_Helpers!$AL$2:$AL$151,11),""),_Helpers!$AL$2:$AL$151,0)+1,"")</f>
        <v/>
      </c>
      <c r="K24" s="11">
        <f>IF($J24="","",INDEX(_Helpers!$S$2:$S$151,$J24-2+1))</f>
        <v/>
      </c>
      <c r="L24" s="11">
        <f>IF($J24="","",INDEX(_Helpers!$AJ$2:$AJ$151,$J24-2+1))</f>
        <v/>
      </c>
    </row>
    <row r="25">
      <c r="A25" s="2" t="n"/>
      <c r="B25" s="2" t="n">
        <v>12</v>
      </c>
      <c r="C25" s="11">
        <f>IF($J25="","",INDEX(_Helpers!$A$2:$A$151,$J25-2+1))</f>
        <v/>
      </c>
      <c r="D25" s="11">
        <f>IF($J25="","",INDEX(_Helpers!$D$2:$D$151,$J25-2+1))</f>
        <v/>
      </c>
      <c r="E25" s="15">
        <f>IF($J25="","",INDEX(_Helpers!$B$2:$B$151,$J25-2+1))</f>
        <v/>
      </c>
      <c r="F25" s="15">
        <f>IF($J25="","",INDEX(_Helpers!$C$2:$C$151,$J25-2+1))</f>
        <v/>
      </c>
      <c r="G25" s="15">
        <f>IF($J25="","",INDEX(_Helpers!$L$2:$L$151,$J25-2+1))</f>
        <v/>
      </c>
      <c r="H25" s="16">
        <f>IF($J25="","",INDEX(_Helpers!$M$2:$M$151,$J25-2+1))</f>
        <v/>
      </c>
      <c r="I25" s="11">
        <f>IF($J25="","",INDEX(_Helpers!$P$2:$P$151,$J25-2+1))</f>
        <v/>
      </c>
      <c r="J25" s="17">
        <f>IFERROR(MATCH(IFERROR(LARGE(_Helpers!$AL$2:$AL$151,12),""),_Helpers!$AL$2:$AL$151,0)+1,"")</f>
        <v/>
      </c>
      <c r="K25" s="11">
        <f>IF($J25="","",INDEX(_Helpers!$S$2:$S$151,$J25-2+1))</f>
        <v/>
      </c>
      <c r="L25" s="11">
        <f>IF($J25="","",INDEX(_Helpers!$AJ$2:$AJ$151,$J25-2+1))</f>
        <v/>
      </c>
    </row>
    <row r="26">
      <c r="A26" s="2" t="n"/>
      <c r="B26" s="2" t="n">
        <v>13</v>
      </c>
      <c r="C26" s="11">
        <f>IF($J26="","",INDEX(_Helpers!$A$2:$A$151,$J26-2+1))</f>
        <v/>
      </c>
      <c r="D26" s="11">
        <f>IF($J26="","",INDEX(_Helpers!$D$2:$D$151,$J26-2+1))</f>
        <v/>
      </c>
      <c r="E26" s="15">
        <f>IF($J26="","",INDEX(_Helpers!$B$2:$B$151,$J26-2+1))</f>
        <v/>
      </c>
      <c r="F26" s="15">
        <f>IF($J26="","",INDEX(_Helpers!$C$2:$C$151,$J26-2+1))</f>
        <v/>
      </c>
      <c r="G26" s="15">
        <f>IF($J26="","",INDEX(_Helpers!$L$2:$L$151,$J26-2+1))</f>
        <v/>
      </c>
      <c r="H26" s="16">
        <f>IF($J26="","",INDEX(_Helpers!$M$2:$M$151,$J26-2+1))</f>
        <v/>
      </c>
      <c r="I26" s="11">
        <f>IF($J26="","",INDEX(_Helpers!$P$2:$P$151,$J26-2+1))</f>
        <v/>
      </c>
      <c r="J26" s="17">
        <f>IFERROR(MATCH(IFERROR(LARGE(_Helpers!$AL$2:$AL$151,13),""),_Helpers!$AL$2:$AL$151,0)+1,"")</f>
        <v/>
      </c>
      <c r="K26" s="11">
        <f>IF($J26="","",INDEX(_Helpers!$S$2:$S$151,$J26-2+1))</f>
        <v/>
      </c>
      <c r="L26" s="11">
        <f>IF($J26="","",INDEX(_Helpers!$AJ$2:$AJ$151,$J26-2+1))</f>
        <v/>
      </c>
    </row>
    <row r="27">
      <c r="A27" s="2" t="n"/>
      <c r="B27" s="2" t="n">
        <v>14</v>
      </c>
      <c r="C27" s="11">
        <f>IF($J27="","",INDEX(_Helpers!$A$2:$A$151,$J27-2+1))</f>
        <v/>
      </c>
      <c r="D27" s="11">
        <f>IF($J27="","",INDEX(_Helpers!$D$2:$D$151,$J27-2+1))</f>
        <v/>
      </c>
      <c r="E27" s="15">
        <f>IF($J27="","",INDEX(_Helpers!$B$2:$B$151,$J27-2+1))</f>
        <v/>
      </c>
      <c r="F27" s="15">
        <f>IF($J27="","",INDEX(_Helpers!$C$2:$C$151,$J27-2+1))</f>
        <v/>
      </c>
      <c r="G27" s="15">
        <f>IF($J27="","",INDEX(_Helpers!$L$2:$L$151,$J27-2+1))</f>
        <v/>
      </c>
      <c r="H27" s="16">
        <f>IF($J27="","",INDEX(_Helpers!$M$2:$M$151,$J27-2+1))</f>
        <v/>
      </c>
      <c r="I27" s="11">
        <f>IF($J27="","",INDEX(_Helpers!$P$2:$P$151,$J27-2+1))</f>
        <v/>
      </c>
      <c r="J27" s="17">
        <f>IFERROR(MATCH(IFERROR(LARGE(_Helpers!$AL$2:$AL$151,14),""),_Helpers!$AL$2:$AL$151,0)+1,"")</f>
        <v/>
      </c>
      <c r="K27" s="11">
        <f>IF($J27="","",INDEX(_Helpers!$S$2:$S$151,$J27-2+1))</f>
        <v/>
      </c>
      <c r="L27" s="11">
        <f>IF($J27="","",INDEX(_Helpers!$AJ$2:$AJ$151,$J27-2+1))</f>
        <v/>
      </c>
    </row>
    <row r="28">
      <c r="A28" s="2" t="n"/>
      <c r="B28" s="2" t="n">
        <v>15</v>
      </c>
      <c r="C28" s="11">
        <f>IF($J28="","",INDEX(_Helpers!$A$2:$A$151,$J28-2+1))</f>
        <v/>
      </c>
      <c r="D28" s="11">
        <f>IF($J28="","",INDEX(_Helpers!$D$2:$D$151,$J28-2+1))</f>
        <v/>
      </c>
      <c r="E28" s="15">
        <f>IF($J28="","",INDEX(_Helpers!$B$2:$B$151,$J28-2+1))</f>
        <v/>
      </c>
      <c r="F28" s="15">
        <f>IF($J28="","",INDEX(_Helpers!$C$2:$C$151,$J28-2+1))</f>
        <v/>
      </c>
      <c r="G28" s="15">
        <f>IF($J28="","",INDEX(_Helpers!$L$2:$L$151,$J28-2+1))</f>
        <v/>
      </c>
      <c r="H28" s="16">
        <f>IF($J28="","",INDEX(_Helpers!$M$2:$M$151,$J28-2+1))</f>
        <v/>
      </c>
      <c r="I28" s="11">
        <f>IF($J28="","",INDEX(_Helpers!$P$2:$P$151,$J28-2+1))</f>
        <v/>
      </c>
      <c r="J28" s="17">
        <f>IFERROR(MATCH(IFERROR(LARGE(_Helpers!$AL$2:$AL$151,15),""),_Helpers!$AL$2:$AL$151,0)+1,"")</f>
        <v/>
      </c>
      <c r="K28" s="11">
        <f>IF($J28="","",INDEX(_Helpers!$S$2:$S$151,$J28-2+1))</f>
        <v/>
      </c>
      <c r="L28" s="11">
        <f>IF($J28="","",INDEX(_Helpers!$AJ$2:$AJ$151,$J28-2+1))</f>
        <v/>
      </c>
    </row>
    <row r="29">
      <c r="A29" s="2" t="n"/>
      <c r="B29" s="2" t="n">
        <v>16</v>
      </c>
      <c r="C29" s="11">
        <f>IF($J29="","",INDEX(_Helpers!$A$2:$A$151,$J29-2+1))</f>
        <v/>
      </c>
      <c r="D29" s="11">
        <f>IF($J29="","",INDEX(_Helpers!$D$2:$D$151,$J29-2+1))</f>
        <v/>
      </c>
      <c r="E29" s="15">
        <f>IF($J29="","",INDEX(_Helpers!$B$2:$B$151,$J29-2+1))</f>
        <v/>
      </c>
      <c r="F29" s="15">
        <f>IF($J29="","",INDEX(_Helpers!$C$2:$C$151,$J29-2+1))</f>
        <v/>
      </c>
      <c r="G29" s="15">
        <f>IF($J29="","",INDEX(_Helpers!$L$2:$L$151,$J29-2+1))</f>
        <v/>
      </c>
      <c r="H29" s="16">
        <f>IF($J29="","",INDEX(_Helpers!$M$2:$M$151,$J29-2+1))</f>
        <v/>
      </c>
      <c r="I29" s="11">
        <f>IF($J29="","",INDEX(_Helpers!$P$2:$P$151,$J29-2+1))</f>
        <v/>
      </c>
      <c r="J29" s="17">
        <f>IFERROR(MATCH(IFERROR(LARGE(_Helpers!$AL$2:$AL$151,16),""),_Helpers!$AL$2:$AL$151,0)+1,"")</f>
        <v/>
      </c>
      <c r="K29" s="11">
        <f>IF($J29="","",INDEX(_Helpers!$S$2:$S$151,$J29-2+1))</f>
        <v/>
      </c>
      <c r="L29" s="11">
        <f>IF($J29="","",INDEX(_Helpers!$AJ$2:$AJ$151,$J29-2+1))</f>
        <v/>
      </c>
    </row>
    <row r="30">
      <c r="A30" s="2" t="n"/>
      <c r="B30" s="2" t="n">
        <v>17</v>
      </c>
      <c r="C30" s="11">
        <f>IF($J30="","",INDEX(_Helpers!$A$2:$A$151,$J30-2+1))</f>
        <v/>
      </c>
      <c r="D30" s="11">
        <f>IF($J30="","",INDEX(_Helpers!$D$2:$D$151,$J30-2+1))</f>
        <v/>
      </c>
      <c r="E30" s="15">
        <f>IF($J30="","",INDEX(_Helpers!$B$2:$B$151,$J30-2+1))</f>
        <v/>
      </c>
      <c r="F30" s="15">
        <f>IF($J30="","",INDEX(_Helpers!$C$2:$C$151,$J30-2+1))</f>
        <v/>
      </c>
      <c r="G30" s="15">
        <f>IF($J30="","",INDEX(_Helpers!$L$2:$L$151,$J30-2+1))</f>
        <v/>
      </c>
      <c r="H30" s="16">
        <f>IF($J30="","",INDEX(_Helpers!$M$2:$M$151,$J30-2+1))</f>
        <v/>
      </c>
      <c r="I30" s="11">
        <f>IF($J30="","",INDEX(_Helpers!$P$2:$P$151,$J30-2+1))</f>
        <v/>
      </c>
      <c r="J30" s="17">
        <f>IFERROR(MATCH(IFERROR(LARGE(_Helpers!$AL$2:$AL$151,17),""),_Helpers!$AL$2:$AL$151,0)+1,"")</f>
        <v/>
      </c>
      <c r="K30" s="11">
        <f>IF($J30="","",INDEX(_Helpers!$S$2:$S$151,$J30-2+1))</f>
        <v/>
      </c>
      <c r="L30" s="11">
        <f>IF($J30="","",INDEX(_Helpers!$AJ$2:$AJ$151,$J30-2+1))</f>
        <v/>
      </c>
    </row>
    <row r="31">
      <c r="A31" s="2" t="n"/>
      <c r="B31" s="2" t="n">
        <v>18</v>
      </c>
      <c r="C31" s="11">
        <f>IF($J31="","",INDEX(_Helpers!$A$2:$A$151,$J31-2+1))</f>
        <v/>
      </c>
      <c r="D31" s="11">
        <f>IF($J31="","",INDEX(_Helpers!$D$2:$D$151,$J31-2+1))</f>
        <v/>
      </c>
      <c r="E31" s="15">
        <f>IF($J31="","",INDEX(_Helpers!$B$2:$B$151,$J31-2+1))</f>
        <v/>
      </c>
      <c r="F31" s="15">
        <f>IF($J31="","",INDEX(_Helpers!$C$2:$C$151,$J31-2+1))</f>
        <v/>
      </c>
      <c r="G31" s="15">
        <f>IF($J31="","",INDEX(_Helpers!$L$2:$L$151,$J31-2+1))</f>
        <v/>
      </c>
      <c r="H31" s="16">
        <f>IF($J31="","",INDEX(_Helpers!$M$2:$M$151,$J31-2+1))</f>
        <v/>
      </c>
      <c r="I31" s="11">
        <f>IF($J31="","",INDEX(_Helpers!$P$2:$P$151,$J31-2+1))</f>
        <v/>
      </c>
      <c r="J31" s="17">
        <f>IFERROR(MATCH(IFERROR(LARGE(_Helpers!$AL$2:$AL$151,18),""),_Helpers!$AL$2:$AL$151,0)+1,"")</f>
        <v/>
      </c>
      <c r="K31" s="11">
        <f>IF($J31="","",INDEX(_Helpers!$S$2:$S$151,$J31-2+1))</f>
        <v/>
      </c>
      <c r="L31" s="11">
        <f>IF($J31="","",INDEX(_Helpers!$AJ$2:$AJ$151,$J31-2+1))</f>
        <v/>
      </c>
    </row>
    <row r="32">
      <c r="A32" s="2" t="n"/>
      <c r="B32" s="2" t="n">
        <v>19</v>
      </c>
      <c r="C32" s="11">
        <f>IF($J32="","",INDEX(_Helpers!$A$2:$A$151,$J32-2+1))</f>
        <v/>
      </c>
      <c r="D32" s="11">
        <f>IF($J32="","",INDEX(_Helpers!$D$2:$D$151,$J32-2+1))</f>
        <v/>
      </c>
      <c r="E32" s="15">
        <f>IF($J32="","",INDEX(_Helpers!$B$2:$B$151,$J32-2+1))</f>
        <v/>
      </c>
      <c r="F32" s="15">
        <f>IF($J32="","",INDEX(_Helpers!$C$2:$C$151,$J32-2+1))</f>
        <v/>
      </c>
      <c r="G32" s="15">
        <f>IF($J32="","",INDEX(_Helpers!$L$2:$L$151,$J32-2+1))</f>
        <v/>
      </c>
      <c r="H32" s="16">
        <f>IF($J32="","",INDEX(_Helpers!$M$2:$M$151,$J32-2+1))</f>
        <v/>
      </c>
      <c r="I32" s="11">
        <f>IF($J32="","",INDEX(_Helpers!$P$2:$P$151,$J32-2+1))</f>
        <v/>
      </c>
      <c r="J32" s="17">
        <f>IFERROR(MATCH(IFERROR(LARGE(_Helpers!$AL$2:$AL$151,19),""),_Helpers!$AL$2:$AL$151,0)+1,"")</f>
        <v/>
      </c>
      <c r="K32" s="11">
        <f>IF($J32="","",INDEX(_Helpers!$S$2:$S$151,$J32-2+1))</f>
        <v/>
      </c>
      <c r="L32" s="11">
        <f>IF($J32="","",INDEX(_Helpers!$AJ$2:$AJ$151,$J32-2+1))</f>
        <v/>
      </c>
    </row>
    <row r="33">
      <c r="A33" s="2" t="n"/>
      <c r="B33" s="2" t="n">
        <v>20</v>
      </c>
      <c r="C33" s="11">
        <f>IF($J33="","",INDEX(_Helpers!$A$2:$A$151,$J33-2+1))</f>
        <v/>
      </c>
      <c r="D33" s="11">
        <f>IF($J33="","",INDEX(_Helpers!$D$2:$D$151,$J33-2+1))</f>
        <v/>
      </c>
      <c r="E33" s="15">
        <f>IF($J33="","",INDEX(_Helpers!$B$2:$B$151,$J33-2+1))</f>
        <v/>
      </c>
      <c r="F33" s="15">
        <f>IF($J33="","",INDEX(_Helpers!$C$2:$C$151,$J33-2+1))</f>
        <v/>
      </c>
      <c r="G33" s="15">
        <f>IF($J33="","",INDEX(_Helpers!$L$2:$L$151,$J33-2+1))</f>
        <v/>
      </c>
      <c r="H33" s="16">
        <f>IF($J33="","",INDEX(_Helpers!$M$2:$M$151,$J33-2+1))</f>
        <v/>
      </c>
      <c r="I33" s="11">
        <f>IF($J33="","",INDEX(_Helpers!$P$2:$P$151,$J33-2+1))</f>
        <v/>
      </c>
      <c r="J33" s="17">
        <f>IFERROR(MATCH(IFERROR(LARGE(_Helpers!$AL$2:$AL$151,20),""),_Helpers!$AL$2:$AL$151,0)+1,"")</f>
        <v/>
      </c>
      <c r="K33" s="11">
        <f>IF($J33="","",INDEX(_Helpers!$S$2:$S$151,$J33-2+1))</f>
        <v/>
      </c>
      <c r="L33" s="11">
        <f>IF($J33="","",INDEX(_Helpers!$AJ$2:$AJ$151,$J33-2+1))</f>
        <v/>
      </c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</row>
    <row r="36">
      <c r="A36" s="2" t="n"/>
      <c r="B36" s="3" t="inlineStr">
        <is>
          <t>Totals reconciliation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</row>
    <row r="37" ht="22" customHeight="1">
      <c r="A37" s="2" t="n"/>
      <c r="B37" s="14" t="inlineStr">
        <is>
          <t>Figure</t>
        </is>
      </c>
      <c r="C37" s="14" t="inlineStr">
        <is>
          <t>Prior</t>
        </is>
      </c>
      <c r="D37" s="14" t="inlineStr">
        <is>
          <t>Current</t>
        </is>
      </c>
      <c r="E37" s="14" t="inlineStr">
        <is>
          <t>Difference</t>
        </is>
      </c>
      <c r="F37" s="2" t="n"/>
      <c r="G37" s="2" t="n"/>
      <c r="H37" s="2" t="n"/>
      <c r="I37" s="2" t="n"/>
      <c r="J37" s="2" t="n"/>
      <c r="K37" s="2" t="n"/>
      <c r="L37" s="2" t="n"/>
    </row>
    <row r="38">
      <c r="A38" s="2" t="n"/>
      <c r="B38" s="4" t="inlineStr">
        <is>
          <t>Net Pay</t>
        </is>
      </c>
      <c r="C38" s="18">
        <f>SUM('NPV Comparison'!$E$15:$E$164)</f>
        <v/>
      </c>
      <c r="D38" s="18">
        <f>SUM('NPV Comparison'!$F$15:$F$164)</f>
        <v/>
      </c>
      <c r="E38" s="18">
        <f>D38-C38</f>
        <v/>
      </c>
      <c r="F38" s="2" t="n"/>
      <c r="G38" s="2" t="n"/>
      <c r="H38" s="2" t="n"/>
      <c r="I38" s="2" t="n"/>
      <c r="J38" s="2" t="n"/>
      <c r="K38" s="2" t="n"/>
      <c r="L38" s="2" t="n"/>
    </row>
    <row r="39">
      <c r="A39" s="2" t="n"/>
      <c r="B39" s="4" t="inlineStr">
        <is>
          <t>Total Gross</t>
        </is>
      </c>
      <c r="C39" s="18">
        <f>SUM('Payment Breakdown Prior'!$K$15:$K$164)</f>
        <v/>
      </c>
      <c r="D39" s="18">
        <f>SUM('Payment Breakdown Current'!$K$15:$K$164)</f>
        <v/>
      </c>
      <c r="E39" s="18">
        <f>D39-C39</f>
        <v/>
      </c>
      <c r="F39" s="2" t="n"/>
      <c r="G39" s="2" t="n"/>
      <c r="H39" s="2" t="n"/>
      <c r="I39" s="2" t="n"/>
      <c r="J39" s="2" t="n"/>
      <c r="K39" s="2" t="n"/>
      <c r="L39" s="2" t="n"/>
    </row>
    <row r="40">
      <c r="A40" s="2" t="n"/>
      <c r="B40" s="4" t="inlineStr">
        <is>
          <t>Employer NI</t>
        </is>
      </c>
      <c r="C40" s="18">
        <f>SUM('Payment Breakdown Prior'!$P$15:$P$164)</f>
        <v/>
      </c>
      <c r="D40" s="18">
        <f>SUM('Payment Breakdown Current'!$P$15:$P$164)</f>
        <v/>
      </c>
      <c r="E40" s="18">
        <f>D40-C40</f>
        <v/>
      </c>
      <c r="F40" s="2" t="n"/>
      <c r="G40" s="2" t="n"/>
      <c r="H40" s="2" t="n"/>
      <c r="I40" s="2" t="n"/>
      <c r="J40" s="2" t="n"/>
      <c r="K40" s="2" t="n"/>
      <c r="L40" s="2" t="n"/>
    </row>
    <row r="41">
      <c r="A41" s="2" t="n"/>
      <c r="B41" s="4" t="inlineStr">
        <is>
          <t>Employer Pension</t>
        </is>
      </c>
      <c r="C41" s="18">
        <f>SUM('Payment Breakdown Prior'!$Q$15:$Q$164)</f>
        <v/>
      </c>
      <c r="D41" s="18">
        <f>SUM('Payment Breakdown Current'!$Q$15:$Q$164)</f>
        <v/>
      </c>
      <c r="E41" s="18">
        <f>D41-C41</f>
        <v/>
      </c>
      <c r="F41" s="2" t="n"/>
      <c r="G41" s="2" t="n"/>
      <c r="H41" s="2" t="n"/>
      <c r="I41" s="2" t="n"/>
      <c r="J41" s="2" t="n"/>
      <c r="K41" s="2" t="n"/>
      <c r="L41" s="2" t="n"/>
    </row>
    <row r="42">
      <c r="A42" s="2" t="n"/>
      <c r="B42" s="4" t="inlineStr">
        <is>
          <t>Apprenticeship Levy</t>
        </is>
      </c>
      <c r="C42" s="18">
        <f>SUM('Payment Breakdown Prior'!$R$15:$R$164)</f>
        <v/>
      </c>
      <c r="D42" s="18">
        <f>SUM('Payment Breakdown Current'!$R$15:$R$164)</f>
        <v/>
      </c>
      <c r="E42" s="18">
        <f>D42-C42</f>
        <v/>
      </c>
      <c r="F42" s="2" t="n"/>
      <c r="G42" s="2" t="n"/>
      <c r="H42" s="2" t="n"/>
      <c r="I42" s="2" t="n"/>
      <c r="J42" s="2" t="n"/>
      <c r="K42" s="2" t="n"/>
      <c r="L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</row>
    <row r="44" ht="28" customHeight="1">
      <c r="A44" s="2" t="n"/>
      <c r="B44" s="19" t="inlineStr">
        <is>
          <t>Note: agree Net Pay above to BACS. Agree Total Gross / Employer NI / Employer Pension / Apprenticeship Levy to the payroll submissions (FPS/EPS).</t>
        </is>
      </c>
      <c r="F44" s="2" t="n"/>
      <c r="G44" s="2" t="n"/>
      <c r="H44" s="2" t="n"/>
      <c r="I44" s="2" t="n"/>
      <c r="J44" s="2" t="n"/>
      <c r="K44" s="2" t="n"/>
      <c r="L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</row>
    <row r="47">
      <c r="A47" s="2" t="n"/>
      <c r="B47" s="3" t="inlineStr">
        <is>
          <t>Headcount reconciliation</t>
        </is>
      </c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</row>
    <row r="48">
      <c r="A48" s="2" t="n"/>
      <c r="B48" s="4" t="inlineStr">
        <is>
          <t>Prior records</t>
        </is>
      </c>
      <c r="C48" s="2" t="n"/>
      <c r="D48" s="20">
        <f>COUNT('NPV Comparison'!$E$15:$E$164)</f>
        <v/>
      </c>
      <c r="E48" s="2" t="n"/>
      <c r="F48" s="2" t="n"/>
      <c r="G48" s="2" t="n"/>
      <c r="H48" s="2" t="n"/>
      <c r="I48" s="2" t="n"/>
      <c r="J48" s="2" t="n"/>
      <c r="K48" s="2" t="n"/>
      <c r="L48" s="2" t="n"/>
    </row>
    <row r="49">
      <c r="A49" s="2" t="n"/>
      <c r="B49" s="4" t="inlineStr">
        <is>
          <t>+ Starters</t>
        </is>
      </c>
      <c r="C49" s="2" t="n"/>
      <c r="D49" s="20">
        <f>COUNTA('New Starters'!$D$14:$D$73)</f>
        <v/>
      </c>
      <c r="E49" s="2" t="n"/>
      <c r="F49" s="2" t="n"/>
      <c r="G49" s="2" t="n"/>
      <c r="H49" s="2" t="n"/>
      <c r="I49" s="2" t="n"/>
      <c r="J49" s="2" t="n"/>
      <c r="K49" s="2" t="n"/>
      <c r="L49" s="2" t="n"/>
    </row>
    <row r="50">
      <c r="A50" s="2" t="n"/>
      <c r="B50" s="4" t="inlineStr">
        <is>
          <t>- Leavers</t>
        </is>
      </c>
      <c r="C50" s="2" t="n"/>
      <c r="D50" s="20">
        <f>COUNTA('Leavers'!$D$12:$D$71)</f>
        <v/>
      </c>
      <c r="E50" s="2" t="n"/>
      <c r="F50" s="2" t="n"/>
      <c r="G50" s="2" t="n"/>
      <c r="H50" s="2" t="n"/>
      <c r="I50" s="2" t="n"/>
      <c r="J50" s="2" t="n"/>
      <c r="K50" s="2" t="n"/>
      <c r="L50" s="2" t="n"/>
    </row>
    <row r="51">
      <c r="A51" s="2" t="n"/>
      <c r="B51" s="4">
        <f> Expected current records</f>
        <v/>
      </c>
      <c r="C51" s="2" t="n"/>
      <c r="D51" s="21">
        <f>D48+D49-D50</f>
        <v/>
      </c>
      <c r="E51" s="2" t="n"/>
      <c r="F51" s="2" t="n"/>
      <c r="G51" s="2" t="n"/>
      <c r="H51" s="2" t="n"/>
      <c r="I51" s="2" t="n"/>
      <c r="J51" s="2" t="n"/>
      <c r="K51" s="2" t="n"/>
      <c r="L51" s="2" t="n"/>
    </row>
    <row r="52">
      <c r="A52" s="2" t="n"/>
      <c r="B52" s="4" t="inlineStr">
        <is>
          <t>Actual current records</t>
        </is>
      </c>
      <c r="C52" s="2" t="n"/>
      <c r="D52" s="20">
        <f>COUNT('NPV Comparison'!$F$15:$F$164)</f>
        <v/>
      </c>
      <c r="E52" s="2" t="n"/>
      <c r="F52" s="2" t="n"/>
      <c r="G52" s="2" t="n"/>
      <c r="H52" s="2" t="n"/>
      <c r="I52" s="2" t="n"/>
      <c r="J52" s="2" t="n"/>
      <c r="K52" s="2" t="n"/>
      <c r="L52" s="2" t="n"/>
    </row>
    <row r="53">
      <c r="A53" s="2" t="n"/>
      <c r="B53" s="4" t="inlineStr">
        <is>
          <t>Check</t>
        </is>
      </c>
      <c r="C53" s="2" t="n"/>
      <c r="D53" s="21">
        <f>IF(D51=D52,"Reconciled","Check required")</f>
        <v/>
      </c>
      <c r="E53" s="2" t="n"/>
      <c r="F53" s="2" t="n"/>
      <c r="G53" s="2" t="n"/>
      <c r="H53" s="2" t="n"/>
      <c r="I53" s="2" t="n"/>
      <c r="J53" s="2" t="n"/>
      <c r="K53" s="2" t="n"/>
      <c r="L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</row>
  </sheetData>
  <mergeCells count="2">
    <mergeCell ref="B44:E44"/>
    <mergeCell ref="A1:L2"/>
  </mergeCells>
  <conditionalFormatting sqref="B14:L33">
    <cfRule type="expression" priority="1" dxfId="0">
      <formula>$I14="Review required"</formula>
    </cfRule>
  </conditionalFormatting>
  <conditionalFormatting sqref="D53">
    <cfRule type="expression" priority="2" dxfId="1">
      <formula>D53="Check required"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3D315D"/>
    <outlinePr summaryBelow="1" summaryRight="1"/>
    <pageSetUpPr/>
  </sheetPr>
  <dimension ref="A1:O15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2" customWidth="1" min="3" max="3"/>
    <col width="12" customWidth="1" min="4" max="4"/>
    <col width="12" customWidth="1" min="5" max="5"/>
    <col width="11" customWidth="1" min="6" max="6"/>
    <col width="9" customWidth="1" min="7" max="7"/>
    <col width="9" customWidth="1" min="8" max="8"/>
    <col width="20" customWidth="1" min="9" max="9"/>
    <col width="12" customWidth="1" min="10" max="10"/>
    <col width="20" customWidth="1" min="11" max="11"/>
    <col width="13" customWidth="1" min="12" max="12"/>
    <col width="26" customWidth="1" min="13" max="13"/>
    <col hidden="1" width="13" customWidth="1" min="15" max="15"/>
  </cols>
  <sheetData>
    <row r="1">
      <c r="A1" s="1" t="inlineStr">
        <is>
          <t>Exceptions - Net Pay Movements</t>
        </is>
      </c>
      <c r="N1" s="2" t="n"/>
      <c r="O1" s="2" t="n"/>
    </row>
    <row r="2">
      <c r="A2" s="22" t="inlineStr">
        <is>
          <t>Zero-hours-only staff are excluded here - see the Zero Hours tab. Gold 'Notes' cells are the only cells to type into.</t>
        </is>
      </c>
      <c r="N2" s="2" t="n"/>
      <c r="O2" s="2" t="n"/>
    </row>
    <row r="3" ht="22" customHeight="1">
      <c r="A3" s="14" t="inlineStr">
        <is>
          <t>Payroll Number</t>
        </is>
      </c>
      <c r="B3" s="14" t="inlineStr">
        <is>
          <t>Practice</t>
        </is>
      </c>
      <c r="C3" s="14" t="inlineStr">
        <is>
          <t>Prior Net</t>
        </is>
      </c>
      <c r="D3" s="14" t="inlineStr">
        <is>
          <t>Current Net</t>
        </is>
      </c>
      <c r="E3" s="14" t="inlineStr">
        <is>
          <t>Difference £</t>
        </is>
      </c>
      <c r="F3" s="14" t="inlineStr">
        <is>
          <t>Difference %</t>
        </is>
      </c>
      <c r="G3" s="14" t="inlineStr">
        <is>
          <t>Starter?</t>
        </is>
      </c>
      <c r="H3" s="14" t="inlineStr">
        <is>
          <t>Leaver?</t>
        </is>
      </c>
      <c r="I3" s="14" t="inlineStr">
        <is>
          <t>Status</t>
        </is>
      </c>
      <c r="J3" s="14" t="inlineStr">
        <is>
          <t>Basic Salary % Change</t>
        </is>
      </c>
      <c r="K3" s="14" t="inlineStr">
        <is>
          <t>Main Movement (Element)</t>
        </is>
      </c>
      <c r="L3" s="14" t="inlineStr">
        <is>
          <t>Main Movement (£)</t>
        </is>
      </c>
      <c r="M3" s="14" t="inlineStr">
        <is>
          <t>Notes</t>
        </is>
      </c>
      <c r="N3" s="2" t="n"/>
      <c r="O3" s="17" t="inlineStr">
        <is>
          <t>Helper: rank pointer</t>
        </is>
      </c>
    </row>
    <row r="4">
      <c r="A4" s="23">
        <f>IF($O4="","",INDEX(_Helpers!$A$2:$A$151,$O4-2+1))</f>
        <v/>
      </c>
      <c r="B4" s="23">
        <f>IF($O4="","",INDEX(_Helpers!$D$2:$D$151,$O4-2+1))</f>
        <v/>
      </c>
      <c r="C4" s="24">
        <f>IF($O4="","",INDEX(_Helpers!$B$2:$B$151,$O4-2+1))</f>
        <v/>
      </c>
      <c r="D4" s="24">
        <f>IF($O4="","",INDEX(_Helpers!$C$2:$C$151,$O4-2+1))</f>
        <v/>
      </c>
      <c r="E4" s="24">
        <f>IF($O4="","",INDEX(_Helpers!$L$2:$L$151,$O4-2+1))</f>
        <v/>
      </c>
      <c r="F4" s="25">
        <f>IF($O4="","",INDEX(_Helpers!$M$2:$M$151,$O4-2+1))</f>
        <v/>
      </c>
      <c r="G4" s="26">
        <f>IF($O4="","",IF(INDEX(_Helpers!$G$2:$G$151,$O4-2+1)=1,"Starter",""))</f>
        <v/>
      </c>
      <c r="H4" s="26">
        <f>IF($O4="","",IF(INDEX(_Helpers!$H$2:$H$151,$O4-2+1)=1,"Leaver",""))</f>
        <v/>
      </c>
      <c r="I4" s="26">
        <f>IF($O4="","",INDEX(_Helpers!$P$2:$P$151,$O4-2+1))</f>
        <v/>
      </c>
      <c r="J4" s="25">
        <f>IF($O4="","",INDEX(_Helpers!$V$2:$V$151,$O4-2+1))</f>
        <v/>
      </c>
      <c r="K4" s="26">
        <f>IF($O4="","",INDEX(_Helpers!$AJ$2:$AJ$151,$O4-2+1))</f>
        <v/>
      </c>
      <c r="L4" s="24">
        <f>IF($O4="","",INDEX(_Helpers!$AK$2:$AK$151,$O4-2+1))</f>
        <v/>
      </c>
      <c r="M4" s="27" t="n"/>
      <c r="N4" s="2" t="n"/>
      <c r="O4" s="17">
        <f t="array" ref="O4">IFERROR(SMALL(IF(_Helpers!$F$2:$F$151=1,ROW(_Helpers!$F$2:$F$151)),ROWS($A$4:A4)),"")</f>
        <v/>
      </c>
    </row>
    <row r="5">
      <c r="A5" s="23">
        <f>IF($O5="","",INDEX(_Helpers!$A$2:$A$151,$O5-2+1))</f>
        <v/>
      </c>
      <c r="B5" s="23">
        <f>IF($O5="","",INDEX(_Helpers!$D$2:$D$151,$O5-2+1))</f>
        <v/>
      </c>
      <c r="C5" s="24">
        <f>IF($O5="","",INDEX(_Helpers!$B$2:$B$151,$O5-2+1))</f>
        <v/>
      </c>
      <c r="D5" s="24">
        <f>IF($O5="","",INDEX(_Helpers!$C$2:$C$151,$O5-2+1))</f>
        <v/>
      </c>
      <c r="E5" s="24">
        <f>IF($O5="","",INDEX(_Helpers!$L$2:$L$151,$O5-2+1))</f>
        <v/>
      </c>
      <c r="F5" s="25">
        <f>IF($O5="","",INDEX(_Helpers!$M$2:$M$151,$O5-2+1))</f>
        <v/>
      </c>
      <c r="G5" s="26">
        <f>IF($O5="","",IF(INDEX(_Helpers!$G$2:$G$151,$O5-2+1)=1,"Starter",""))</f>
        <v/>
      </c>
      <c r="H5" s="26">
        <f>IF($O5="","",IF(INDEX(_Helpers!$H$2:$H$151,$O5-2+1)=1,"Leaver",""))</f>
        <v/>
      </c>
      <c r="I5" s="26">
        <f>IF($O5="","",INDEX(_Helpers!$P$2:$P$151,$O5-2+1))</f>
        <v/>
      </c>
      <c r="J5" s="25">
        <f>IF($O5="","",INDEX(_Helpers!$V$2:$V$151,$O5-2+1))</f>
        <v/>
      </c>
      <c r="K5" s="26">
        <f>IF($O5="","",INDEX(_Helpers!$AJ$2:$AJ$151,$O5-2+1))</f>
        <v/>
      </c>
      <c r="L5" s="24">
        <f>IF($O5="","",INDEX(_Helpers!$AK$2:$AK$151,$O5-2+1))</f>
        <v/>
      </c>
      <c r="M5" s="27" t="n"/>
      <c r="N5" s="2" t="n"/>
      <c r="O5" s="17">
        <f t="array" ref="O5">IFERROR(SMALL(IF(_Helpers!$F$2:$F$151=1,ROW(_Helpers!$F$2:$F$151)),ROWS($A$4:A5)),"")</f>
        <v/>
      </c>
    </row>
    <row r="6">
      <c r="A6" s="23">
        <f>IF($O6="","",INDEX(_Helpers!$A$2:$A$151,$O6-2+1))</f>
        <v/>
      </c>
      <c r="B6" s="23">
        <f>IF($O6="","",INDEX(_Helpers!$D$2:$D$151,$O6-2+1))</f>
        <v/>
      </c>
      <c r="C6" s="24">
        <f>IF($O6="","",INDEX(_Helpers!$B$2:$B$151,$O6-2+1))</f>
        <v/>
      </c>
      <c r="D6" s="24">
        <f>IF($O6="","",INDEX(_Helpers!$C$2:$C$151,$O6-2+1))</f>
        <v/>
      </c>
      <c r="E6" s="24">
        <f>IF($O6="","",INDEX(_Helpers!$L$2:$L$151,$O6-2+1))</f>
        <v/>
      </c>
      <c r="F6" s="25">
        <f>IF($O6="","",INDEX(_Helpers!$M$2:$M$151,$O6-2+1))</f>
        <v/>
      </c>
      <c r="G6" s="26">
        <f>IF($O6="","",IF(INDEX(_Helpers!$G$2:$G$151,$O6-2+1)=1,"Starter",""))</f>
        <v/>
      </c>
      <c r="H6" s="26">
        <f>IF($O6="","",IF(INDEX(_Helpers!$H$2:$H$151,$O6-2+1)=1,"Leaver",""))</f>
        <v/>
      </c>
      <c r="I6" s="26">
        <f>IF($O6="","",INDEX(_Helpers!$P$2:$P$151,$O6-2+1))</f>
        <v/>
      </c>
      <c r="J6" s="25">
        <f>IF($O6="","",INDEX(_Helpers!$V$2:$V$151,$O6-2+1))</f>
        <v/>
      </c>
      <c r="K6" s="26">
        <f>IF($O6="","",INDEX(_Helpers!$AJ$2:$AJ$151,$O6-2+1))</f>
        <v/>
      </c>
      <c r="L6" s="24">
        <f>IF($O6="","",INDEX(_Helpers!$AK$2:$AK$151,$O6-2+1))</f>
        <v/>
      </c>
      <c r="M6" s="27" t="n"/>
      <c r="N6" s="2" t="n"/>
      <c r="O6" s="17">
        <f t="array" ref="O6">IFERROR(SMALL(IF(_Helpers!$F$2:$F$151=1,ROW(_Helpers!$F$2:$F$151)),ROWS($A$4:A6)),"")</f>
        <v/>
      </c>
    </row>
    <row r="7">
      <c r="A7" s="23">
        <f>IF($O7="","",INDEX(_Helpers!$A$2:$A$151,$O7-2+1))</f>
        <v/>
      </c>
      <c r="B7" s="23">
        <f>IF($O7="","",INDEX(_Helpers!$D$2:$D$151,$O7-2+1))</f>
        <v/>
      </c>
      <c r="C7" s="24">
        <f>IF($O7="","",INDEX(_Helpers!$B$2:$B$151,$O7-2+1))</f>
        <v/>
      </c>
      <c r="D7" s="24">
        <f>IF($O7="","",INDEX(_Helpers!$C$2:$C$151,$O7-2+1))</f>
        <v/>
      </c>
      <c r="E7" s="24">
        <f>IF($O7="","",INDEX(_Helpers!$L$2:$L$151,$O7-2+1))</f>
        <v/>
      </c>
      <c r="F7" s="25">
        <f>IF($O7="","",INDEX(_Helpers!$M$2:$M$151,$O7-2+1))</f>
        <v/>
      </c>
      <c r="G7" s="26">
        <f>IF($O7="","",IF(INDEX(_Helpers!$G$2:$G$151,$O7-2+1)=1,"Starter",""))</f>
        <v/>
      </c>
      <c r="H7" s="26">
        <f>IF($O7="","",IF(INDEX(_Helpers!$H$2:$H$151,$O7-2+1)=1,"Leaver",""))</f>
        <v/>
      </c>
      <c r="I7" s="26">
        <f>IF($O7="","",INDEX(_Helpers!$P$2:$P$151,$O7-2+1))</f>
        <v/>
      </c>
      <c r="J7" s="25">
        <f>IF($O7="","",INDEX(_Helpers!$V$2:$V$151,$O7-2+1))</f>
        <v/>
      </c>
      <c r="K7" s="26">
        <f>IF($O7="","",INDEX(_Helpers!$AJ$2:$AJ$151,$O7-2+1))</f>
        <v/>
      </c>
      <c r="L7" s="24">
        <f>IF($O7="","",INDEX(_Helpers!$AK$2:$AK$151,$O7-2+1))</f>
        <v/>
      </c>
      <c r="M7" s="27" t="n"/>
      <c r="N7" s="2" t="n"/>
      <c r="O7" s="17">
        <f t="array" ref="O7">IFERROR(SMALL(IF(_Helpers!$F$2:$F$151=1,ROW(_Helpers!$F$2:$F$151)),ROWS($A$4:A7)),"")</f>
        <v/>
      </c>
    </row>
    <row r="8">
      <c r="A8" s="23">
        <f>IF($O8="","",INDEX(_Helpers!$A$2:$A$151,$O8-2+1))</f>
        <v/>
      </c>
      <c r="B8" s="23">
        <f>IF($O8="","",INDEX(_Helpers!$D$2:$D$151,$O8-2+1))</f>
        <v/>
      </c>
      <c r="C8" s="24">
        <f>IF($O8="","",INDEX(_Helpers!$B$2:$B$151,$O8-2+1))</f>
        <v/>
      </c>
      <c r="D8" s="24">
        <f>IF($O8="","",INDEX(_Helpers!$C$2:$C$151,$O8-2+1))</f>
        <v/>
      </c>
      <c r="E8" s="24">
        <f>IF($O8="","",INDEX(_Helpers!$L$2:$L$151,$O8-2+1))</f>
        <v/>
      </c>
      <c r="F8" s="25">
        <f>IF($O8="","",INDEX(_Helpers!$M$2:$M$151,$O8-2+1))</f>
        <v/>
      </c>
      <c r="G8" s="26">
        <f>IF($O8="","",IF(INDEX(_Helpers!$G$2:$G$151,$O8-2+1)=1,"Starter",""))</f>
        <v/>
      </c>
      <c r="H8" s="26">
        <f>IF($O8="","",IF(INDEX(_Helpers!$H$2:$H$151,$O8-2+1)=1,"Leaver",""))</f>
        <v/>
      </c>
      <c r="I8" s="26">
        <f>IF($O8="","",INDEX(_Helpers!$P$2:$P$151,$O8-2+1))</f>
        <v/>
      </c>
      <c r="J8" s="25">
        <f>IF($O8="","",INDEX(_Helpers!$V$2:$V$151,$O8-2+1))</f>
        <v/>
      </c>
      <c r="K8" s="26">
        <f>IF($O8="","",INDEX(_Helpers!$AJ$2:$AJ$151,$O8-2+1))</f>
        <v/>
      </c>
      <c r="L8" s="24">
        <f>IF($O8="","",INDEX(_Helpers!$AK$2:$AK$151,$O8-2+1))</f>
        <v/>
      </c>
      <c r="M8" s="27" t="n"/>
      <c r="N8" s="2" t="n"/>
      <c r="O8" s="17">
        <f t="array" ref="O8">IFERROR(SMALL(IF(_Helpers!$F$2:$F$151=1,ROW(_Helpers!$F$2:$F$151)),ROWS($A$4:A8)),"")</f>
        <v/>
      </c>
    </row>
    <row r="9">
      <c r="A9" s="23">
        <f>IF($O9="","",INDEX(_Helpers!$A$2:$A$151,$O9-2+1))</f>
        <v/>
      </c>
      <c r="B9" s="23">
        <f>IF($O9="","",INDEX(_Helpers!$D$2:$D$151,$O9-2+1))</f>
        <v/>
      </c>
      <c r="C9" s="24">
        <f>IF($O9="","",INDEX(_Helpers!$B$2:$B$151,$O9-2+1))</f>
        <v/>
      </c>
      <c r="D9" s="24">
        <f>IF($O9="","",INDEX(_Helpers!$C$2:$C$151,$O9-2+1))</f>
        <v/>
      </c>
      <c r="E9" s="24">
        <f>IF($O9="","",INDEX(_Helpers!$L$2:$L$151,$O9-2+1))</f>
        <v/>
      </c>
      <c r="F9" s="25">
        <f>IF($O9="","",INDEX(_Helpers!$M$2:$M$151,$O9-2+1))</f>
        <v/>
      </c>
      <c r="G9" s="26">
        <f>IF($O9="","",IF(INDEX(_Helpers!$G$2:$G$151,$O9-2+1)=1,"Starter",""))</f>
        <v/>
      </c>
      <c r="H9" s="26">
        <f>IF($O9="","",IF(INDEX(_Helpers!$H$2:$H$151,$O9-2+1)=1,"Leaver",""))</f>
        <v/>
      </c>
      <c r="I9" s="26">
        <f>IF($O9="","",INDEX(_Helpers!$P$2:$P$151,$O9-2+1))</f>
        <v/>
      </c>
      <c r="J9" s="25">
        <f>IF($O9="","",INDEX(_Helpers!$V$2:$V$151,$O9-2+1))</f>
        <v/>
      </c>
      <c r="K9" s="26">
        <f>IF($O9="","",INDEX(_Helpers!$AJ$2:$AJ$151,$O9-2+1))</f>
        <v/>
      </c>
      <c r="L9" s="24">
        <f>IF($O9="","",INDEX(_Helpers!$AK$2:$AK$151,$O9-2+1))</f>
        <v/>
      </c>
      <c r="M9" s="27" t="n"/>
      <c r="N9" s="2" t="n"/>
      <c r="O9" s="17">
        <f t="array" ref="O9">IFERROR(SMALL(IF(_Helpers!$F$2:$F$151=1,ROW(_Helpers!$F$2:$F$151)),ROWS($A$4:A9)),"")</f>
        <v/>
      </c>
    </row>
    <row r="10">
      <c r="A10" s="23">
        <f>IF($O10="","",INDEX(_Helpers!$A$2:$A$151,$O10-2+1))</f>
        <v/>
      </c>
      <c r="B10" s="23">
        <f>IF($O10="","",INDEX(_Helpers!$D$2:$D$151,$O10-2+1))</f>
        <v/>
      </c>
      <c r="C10" s="24">
        <f>IF($O10="","",INDEX(_Helpers!$B$2:$B$151,$O10-2+1))</f>
        <v/>
      </c>
      <c r="D10" s="24">
        <f>IF($O10="","",INDEX(_Helpers!$C$2:$C$151,$O10-2+1))</f>
        <v/>
      </c>
      <c r="E10" s="24">
        <f>IF($O10="","",INDEX(_Helpers!$L$2:$L$151,$O10-2+1))</f>
        <v/>
      </c>
      <c r="F10" s="25">
        <f>IF($O10="","",INDEX(_Helpers!$M$2:$M$151,$O10-2+1))</f>
        <v/>
      </c>
      <c r="G10" s="26">
        <f>IF($O10="","",IF(INDEX(_Helpers!$G$2:$G$151,$O10-2+1)=1,"Starter",""))</f>
        <v/>
      </c>
      <c r="H10" s="26">
        <f>IF($O10="","",IF(INDEX(_Helpers!$H$2:$H$151,$O10-2+1)=1,"Leaver",""))</f>
        <v/>
      </c>
      <c r="I10" s="26">
        <f>IF($O10="","",INDEX(_Helpers!$P$2:$P$151,$O10-2+1))</f>
        <v/>
      </c>
      <c r="J10" s="25">
        <f>IF($O10="","",INDEX(_Helpers!$V$2:$V$151,$O10-2+1))</f>
        <v/>
      </c>
      <c r="K10" s="26">
        <f>IF($O10="","",INDEX(_Helpers!$AJ$2:$AJ$151,$O10-2+1))</f>
        <v/>
      </c>
      <c r="L10" s="24">
        <f>IF($O10="","",INDEX(_Helpers!$AK$2:$AK$151,$O10-2+1))</f>
        <v/>
      </c>
      <c r="M10" s="27" t="n"/>
      <c r="N10" s="2" t="n"/>
      <c r="O10" s="17">
        <f t="array" ref="O10">IFERROR(SMALL(IF(_Helpers!$F$2:$F$151=1,ROW(_Helpers!$F$2:$F$151)),ROWS($A$4:A10)),"")</f>
        <v/>
      </c>
    </row>
    <row r="11">
      <c r="A11" s="23">
        <f>IF($O11="","",INDEX(_Helpers!$A$2:$A$151,$O11-2+1))</f>
        <v/>
      </c>
      <c r="B11" s="23">
        <f>IF($O11="","",INDEX(_Helpers!$D$2:$D$151,$O11-2+1))</f>
        <v/>
      </c>
      <c r="C11" s="24">
        <f>IF($O11="","",INDEX(_Helpers!$B$2:$B$151,$O11-2+1))</f>
        <v/>
      </c>
      <c r="D11" s="24">
        <f>IF($O11="","",INDEX(_Helpers!$C$2:$C$151,$O11-2+1))</f>
        <v/>
      </c>
      <c r="E11" s="24">
        <f>IF($O11="","",INDEX(_Helpers!$L$2:$L$151,$O11-2+1))</f>
        <v/>
      </c>
      <c r="F11" s="25">
        <f>IF($O11="","",INDEX(_Helpers!$M$2:$M$151,$O11-2+1))</f>
        <v/>
      </c>
      <c r="G11" s="26">
        <f>IF($O11="","",IF(INDEX(_Helpers!$G$2:$G$151,$O11-2+1)=1,"Starter",""))</f>
        <v/>
      </c>
      <c r="H11" s="26">
        <f>IF($O11="","",IF(INDEX(_Helpers!$H$2:$H$151,$O11-2+1)=1,"Leaver",""))</f>
        <v/>
      </c>
      <c r="I11" s="26">
        <f>IF($O11="","",INDEX(_Helpers!$P$2:$P$151,$O11-2+1))</f>
        <v/>
      </c>
      <c r="J11" s="25">
        <f>IF($O11="","",INDEX(_Helpers!$V$2:$V$151,$O11-2+1))</f>
        <v/>
      </c>
      <c r="K11" s="26">
        <f>IF($O11="","",INDEX(_Helpers!$AJ$2:$AJ$151,$O11-2+1))</f>
        <v/>
      </c>
      <c r="L11" s="24">
        <f>IF($O11="","",INDEX(_Helpers!$AK$2:$AK$151,$O11-2+1))</f>
        <v/>
      </c>
      <c r="M11" s="27" t="n"/>
      <c r="N11" s="2" t="n"/>
      <c r="O11" s="17">
        <f t="array" ref="O11">IFERROR(SMALL(IF(_Helpers!$F$2:$F$151=1,ROW(_Helpers!$F$2:$F$151)),ROWS($A$4:A11)),"")</f>
        <v/>
      </c>
    </row>
    <row r="12">
      <c r="A12" s="23">
        <f>IF($O12="","",INDEX(_Helpers!$A$2:$A$151,$O12-2+1))</f>
        <v/>
      </c>
      <c r="B12" s="23">
        <f>IF($O12="","",INDEX(_Helpers!$D$2:$D$151,$O12-2+1))</f>
        <v/>
      </c>
      <c r="C12" s="24">
        <f>IF($O12="","",INDEX(_Helpers!$B$2:$B$151,$O12-2+1))</f>
        <v/>
      </c>
      <c r="D12" s="24">
        <f>IF($O12="","",INDEX(_Helpers!$C$2:$C$151,$O12-2+1))</f>
        <v/>
      </c>
      <c r="E12" s="24">
        <f>IF($O12="","",INDEX(_Helpers!$L$2:$L$151,$O12-2+1))</f>
        <v/>
      </c>
      <c r="F12" s="25">
        <f>IF($O12="","",INDEX(_Helpers!$M$2:$M$151,$O12-2+1))</f>
        <v/>
      </c>
      <c r="G12" s="26">
        <f>IF($O12="","",IF(INDEX(_Helpers!$G$2:$G$151,$O12-2+1)=1,"Starter",""))</f>
        <v/>
      </c>
      <c r="H12" s="26">
        <f>IF($O12="","",IF(INDEX(_Helpers!$H$2:$H$151,$O12-2+1)=1,"Leaver",""))</f>
        <v/>
      </c>
      <c r="I12" s="26">
        <f>IF($O12="","",INDEX(_Helpers!$P$2:$P$151,$O12-2+1))</f>
        <v/>
      </c>
      <c r="J12" s="25">
        <f>IF($O12="","",INDEX(_Helpers!$V$2:$V$151,$O12-2+1))</f>
        <v/>
      </c>
      <c r="K12" s="26">
        <f>IF($O12="","",INDEX(_Helpers!$AJ$2:$AJ$151,$O12-2+1))</f>
        <v/>
      </c>
      <c r="L12" s="24">
        <f>IF($O12="","",INDEX(_Helpers!$AK$2:$AK$151,$O12-2+1))</f>
        <v/>
      </c>
      <c r="M12" s="27" t="n"/>
      <c r="N12" s="2" t="n"/>
      <c r="O12" s="17">
        <f t="array" ref="O12">IFERROR(SMALL(IF(_Helpers!$F$2:$F$151=1,ROW(_Helpers!$F$2:$F$151)),ROWS($A$4:A12)),"")</f>
        <v/>
      </c>
    </row>
    <row r="13">
      <c r="A13" s="23">
        <f>IF($O13="","",INDEX(_Helpers!$A$2:$A$151,$O13-2+1))</f>
        <v/>
      </c>
      <c r="B13" s="23">
        <f>IF($O13="","",INDEX(_Helpers!$D$2:$D$151,$O13-2+1))</f>
        <v/>
      </c>
      <c r="C13" s="24">
        <f>IF($O13="","",INDEX(_Helpers!$B$2:$B$151,$O13-2+1))</f>
        <v/>
      </c>
      <c r="D13" s="24">
        <f>IF($O13="","",INDEX(_Helpers!$C$2:$C$151,$O13-2+1))</f>
        <v/>
      </c>
      <c r="E13" s="24">
        <f>IF($O13="","",INDEX(_Helpers!$L$2:$L$151,$O13-2+1))</f>
        <v/>
      </c>
      <c r="F13" s="25">
        <f>IF($O13="","",INDEX(_Helpers!$M$2:$M$151,$O13-2+1))</f>
        <v/>
      </c>
      <c r="G13" s="26">
        <f>IF($O13="","",IF(INDEX(_Helpers!$G$2:$G$151,$O13-2+1)=1,"Starter",""))</f>
        <v/>
      </c>
      <c r="H13" s="26">
        <f>IF($O13="","",IF(INDEX(_Helpers!$H$2:$H$151,$O13-2+1)=1,"Leaver",""))</f>
        <v/>
      </c>
      <c r="I13" s="26">
        <f>IF($O13="","",INDEX(_Helpers!$P$2:$P$151,$O13-2+1))</f>
        <v/>
      </c>
      <c r="J13" s="25">
        <f>IF($O13="","",INDEX(_Helpers!$V$2:$V$151,$O13-2+1))</f>
        <v/>
      </c>
      <c r="K13" s="26">
        <f>IF($O13="","",INDEX(_Helpers!$AJ$2:$AJ$151,$O13-2+1))</f>
        <v/>
      </c>
      <c r="L13" s="24">
        <f>IF($O13="","",INDEX(_Helpers!$AK$2:$AK$151,$O13-2+1))</f>
        <v/>
      </c>
      <c r="M13" s="27" t="n"/>
      <c r="N13" s="2" t="n"/>
      <c r="O13" s="17">
        <f t="array" ref="O13">IFERROR(SMALL(IF(_Helpers!$F$2:$F$151=1,ROW(_Helpers!$F$2:$F$151)),ROWS($A$4:A13)),"")</f>
        <v/>
      </c>
    </row>
    <row r="14">
      <c r="A14" s="23">
        <f>IF($O14="","",INDEX(_Helpers!$A$2:$A$151,$O14-2+1))</f>
        <v/>
      </c>
      <c r="B14" s="23">
        <f>IF($O14="","",INDEX(_Helpers!$D$2:$D$151,$O14-2+1))</f>
        <v/>
      </c>
      <c r="C14" s="24">
        <f>IF($O14="","",INDEX(_Helpers!$B$2:$B$151,$O14-2+1))</f>
        <v/>
      </c>
      <c r="D14" s="24">
        <f>IF($O14="","",INDEX(_Helpers!$C$2:$C$151,$O14-2+1))</f>
        <v/>
      </c>
      <c r="E14" s="24">
        <f>IF($O14="","",INDEX(_Helpers!$L$2:$L$151,$O14-2+1))</f>
        <v/>
      </c>
      <c r="F14" s="25">
        <f>IF($O14="","",INDEX(_Helpers!$M$2:$M$151,$O14-2+1))</f>
        <v/>
      </c>
      <c r="G14" s="26">
        <f>IF($O14="","",IF(INDEX(_Helpers!$G$2:$G$151,$O14-2+1)=1,"Starter",""))</f>
        <v/>
      </c>
      <c r="H14" s="26">
        <f>IF($O14="","",IF(INDEX(_Helpers!$H$2:$H$151,$O14-2+1)=1,"Leaver",""))</f>
        <v/>
      </c>
      <c r="I14" s="26">
        <f>IF($O14="","",INDEX(_Helpers!$P$2:$P$151,$O14-2+1))</f>
        <v/>
      </c>
      <c r="J14" s="25">
        <f>IF($O14="","",INDEX(_Helpers!$V$2:$V$151,$O14-2+1))</f>
        <v/>
      </c>
      <c r="K14" s="26">
        <f>IF($O14="","",INDEX(_Helpers!$AJ$2:$AJ$151,$O14-2+1))</f>
        <v/>
      </c>
      <c r="L14" s="24">
        <f>IF($O14="","",INDEX(_Helpers!$AK$2:$AK$151,$O14-2+1))</f>
        <v/>
      </c>
      <c r="M14" s="27" t="n"/>
      <c r="N14" s="2" t="n"/>
      <c r="O14" s="17">
        <f t="array" ref="O14">IFERROR(SMALL(IF(_Helpers!$F$2:$F$151=1,ROW(_Helpers!$F$2:$F$151)),ROWS($A$4:A14)),"")</f>
        <v/>
      </c>
    </row>
    <row r="15">
      <c r="A15" s="23">
        <f>IF($O15="","",INDEX(_Helpers!$A$2:$A$151,$O15-2+1))</f>
        <v/>
      </c>
      <c r="B15" s="23">
        <f>IF($O15="","",INDEX(_Helpers!$D$2:$D$151,$O15-2+1))</f>
        <v/>
      </c>
      <c r="C15" s="24">
        <f>IF($O15="","",INDEX(_Helpers!$B$2:$B$151,$O15-2+1))</f>
        <v/>
      </c>
      <c r="D15" s="24">
        <f>IF($O15="","",INDEX(_Helpers!$C$2:$C$151,$O15-2+1))</f>
        <v/>
      </c>
      <c r="E15" s="24">
        <f>IF($O15="","",INDEX(_Helpers!$L$2:$L$151,$O15-2+1))</f>
        <v/>
      </c>
      <c r="F15" s="25">
        <f>IF($O15="","",INDEX(_Helpers!$M$2:$M$151,$O15-2+1))</f>
        <v/>
      </c>
      <c r="G15" s="26">
        <f>IF($O15="","",IF(INDEX(_Helpers!$G$2:$G$151,$O15-2+1)=1,"Starter",""))</f>
        <v/>
      </c>
      <c r="H15" s="26">
        <f>IF($O15="","",IF(INDEX(_Helpers!$H$2:$H$151,$O15-2+1)=1,"Leaver",""))</f>
        <v/>
      </c>
      <c r="I15" s="26">
        <f>IF($O15="","",INDEX(_Helpers!$P$2:$P$151,$O15-2+1))</f>
        <v/>
      </c>
      <c r="J15" s="25">
        <f>IF($O15="","",INDEX(_Helpers!$V$2:$V$151,$O15-2+1))</f>
        <v/>
      </c>
      <c r="K15" s="26">
        <f>IF($O15="","",INDEX(_Helpers!$AJ$2:$AJ$151,$O15-2+1))</f>
        <v/>
      </c>
      <c r="L15" s="24">
        <f>IF($O15="","",INDEX(_Helpers!$AK$2:$AK$151,$O15-2+1))</f>
        <v/>
      </c>
      <c r="M15" s="27" t="n"/>
      <c r="N15" s="2" t="n"/>
      <c r="O15" s="17">
        <f t="array" ref="O15">IFERROR(SMALL(IF(_Helpers!$F$2:$F$151=1,ROW(_Helpers!$F$2:$F$151)),ROWS($A$4:A15)),"")</f>
        <v/>
      </c>
    </row>
    <row r="16">
      <c r="A16" s="23">
        <f>IF($O16="","",INDEX(_Helpers!$A$2:$A$151,$O16-2+1))</f>
        <v/>
      </c>
      <c r="B16" s="23">
        <f>IF($O16="","",INDEX(_Helpers!$D$2:$D$151,$O16-2+1))</f>
        <v/>
      </c>
      <c r="C16" s="24">
        <f>IF($O16="","",INDEX(_Helpers!$B$2:$B$151,$O16-2+1))</f>
        <v/>
      </c>
      <c r="D16" s="24">
        <f>IF($O16="","",INDEX(_Helpers!$C$2:$C$151,$O16-2+1))</f>
        <v/>
      </c>
      <c r="E16" s="24">
        <f>IF($O16="","",INDEX(_Helpers!$L$2:$L$151,$O16-2+1))</f>
        <v/>
      </c>
      <c r="F16" s="25">
        <f>IF($O16="","",INDEX(_Helpers!$M$2:$M$151,$O16-2+1))</f>
        <v/>
      </c>
      <c r="G16" s="26">
        <f>IF($O16="","",IF(INDEX(_Helpers!$G$2:$G$151,$O16-2+1)=1,"Starter",""))</f>
        <v/>
      </c>
      <c r="H16" s="26">
        <f>IF($O16="","",IF(INDEX(_Helpers!$H$2:$H$151,$O16-2+1)=1,"Leaver",""))</f>
        <v/>
      </c>
      <c r="I16" s="26">
        <f>IF($O16="","",INDEX(_Helpers!$P$2:$P$151,$O16-2+1))</f>
        <v/>
      </c>
      <c r="J16" s="25">
        <f>IF($O16="","",INDEX(_Helpers!$V$2:$V$151,$O16-2+1))</f>
        <v/>
      </c>
      <c r="K16" s="26">
        <f>IF($O16="","",INDEX(_Helpers!$AJ$2:$AJ$151,$O16-2+1))</f>
        <v/>
      </c>
      <c r="L16" s="24">
        <f>IF($O16="","",INDEX(_Helpers!$AK$2:$AK$151,$O16-2+1))</f>
        <v/>
      </c>
      <c r="M16" s="27" t="n"/>
      <c r="N16" s="2" t="n"/>
      <c r="O16" s="17">
        <f t="array" ref="O16">IFERROR(SMALL(IF(_Helpers!$F$2:$F$151=1,ROW(_Helpers!$F$2:$F$151)),ROWS($A$4:A16)),"")</f>
        <v/>
      </c>
    </row>
    <row r="17">
      <c r="A17" s="23">
        <f>IF($O17="","",INDEX(_Helpers!$A$2:$A$151,$O17-2+1))</f>
        <v/>
      </c>
      <c r="B17" s="23">
        <f>IF($O17="","",INDEX(_Helpers!$D$2:$D$151,$O17-2+1))</f>
        <v/>
      </c>
      <c r="C17" s="24">
        <f>IF($O17="","",INDEX(_Helpers!$B$2:$B$151,$O17-2+1))</f>
        <v/>
      </c>
      <c r="D17" s="24">
        <f>IF($O17="","",INDEX(_Helpers!$C$2:$C$151,$O17-2+1))</f>
        <v/>
      </c>
      <c r="E17" s="24">
        <f>IF($O17="","",INDEX(_Helpers!$L$2:$L$151,$O17-2+1))</f>
        <v/>
      </c>
      <c r="F17" s="25">
        <f>IF($O17="","",INDEX(_Helpers!$M$2:$M$151,$O17-2+1))</f>
        <v/>
      </c>
      <c r="G17" s="26">
        <f>IF($O17="","",IF(INDEX(_Helpers!$G$2:$G$151,$O17-2+1)=1,"Starter",""))</f>
        <v/>
      </c>
      <c r="H17" s="26">
        <f>IF($O17="","",IF(INDEX(_Helpers!$H$2:$H$151,$O17-2+1)=1,"Leaver",""))</f>
        <v/>
      </c>
      <c r="I17" s="26">
        <f>IF($O17="","",INDEX(_Helpers!$P$2:$P$151,$O17-2+1))</f>
        <v/>
      </c>
      <c r="J17" s="25">
        <f>IF($O17="","",INDEX(_Helpers!$V$2:$V$151,$O17-2+1))</f>
        <v/>
      </c>
      <c r="K17" s="26">
        <f>IF($O17="","",INDEX(_Helpers!$AJ$2:$AJ$151,$O17-2+1))</f>
        <v/>
      </c>
      <c r="L17" s="24">
        <f>IF($O17="","",INDEX(_Helpers!$AK$2:$AK$151,$O17-2+1))</f>
        <v/>
      </c>
      <c r="M17" s="27" t="n"/>
      <c r="N17" s="2" t="n"/>
      <c r="O17" s="17">
        <f t="array" ref="O17">IFERROR(SMALL(IF(_Helpers!$F$2:$F$151=1,ROW(_Helpers!$F$2:$F$151)),ROWS($A$4:A17)),"")</f>
        <v/>
      </c>
    </row>
    <row r="18">
      <c r="A18" s="23">
        <f>IF($O18="","",INDEX(_Helpers!$A$2:$A$151,$O18-2+1))</f>
        <v/>
      </c>
      <c r="B18" s="23">
        <f>IF($O18="","",INDEX(_Helpers!$D$2:$D$151,$O18-2+1))</f>
        <v/>
      </c>
      <c r="C18" s="24">
        <f>IF($O18="","",INDEX(_Helpers!$B$2:$B$151,$O18-2+1))</f>
        <v/>
      </c>
      <c r="D18" s="24">
        <f>IF($O18="","",INDEX(_Helpers!$C$2:$C$151,$O18-2+1))</f>
        <v/>
      </c>
      <c r="E18" s="24">
        <f>IF($O18="","",INDEX(_Helpers!$L$2:$L$151,$O18-2+1))</f>
        <v/>
      </c>
      <c r="F18" s="25">
        <f>IF($O18="","",INDEX(_Helpers!$M$2:$M$151,$O18-2+1))</f>
        <v/>
      </c>
      <c r="G18" s="26">
        <f>IF($O18="","",IF(INDEX(_Helpers!$G$2:$G$151,$O18-2+1)=1,"Starter",""))</f>
        <v/>
      </c>
      <c r="H18" s="26">
        <f>IF($O18="","",IF(INDEX(_Helpers!$H$2:$H$151,$O18-2+1)=1,"Leaver",""))</f>
        <v/>
      </c>
      <c r="I18" s="26">
        <f>IF($O18="","",INDEX(_Helpers!$P$2:$P$151,$O18-2+1))</f>
        <v/>
      </c>
      <c r="J18" s="25">
        <f>IF($O18="","",INDEX(_Helpers!$V$2:$V$151,$O18-2+1))</f>
        <v/>
      </c>
      <c r="K18" s="26">
        <f>IF($O18="","",INDEX(_Helpers!$AJ$2:$AJ$151,$O18-2+1))</f>
        <v/>
      </c>
      <c r="L18" s="24">
        <f>IF($O18="","",INDEX(_Helpers!$AK$2:$AK$151,$O18-2+1))</f>
        <v/>
      </c>
      <c r="M18" s="27" t="n"/>
      <c r="N18" s="2" t="n"/>
      <c r="O18" s="17">
        <f t="array" ref="O18">IFERROR(SMALL(IF(_Helpers!$F$2:$F$151=1,ROW(_Helpers!$F$2:$F$151)),ROWS($A$4:A18)),"")</f>
        <v/>
      </c>
    </row>
    <row r="19">
      <c r="A19" s="23">
        <f>IF($O19="","",INDEX(_Helpers!$A$2:$A$151,$O19-2+1))</f>
        <v/>
      </c>
      <c r="B19" s="23">
        <f>IF($O19="","",INDEX(_Helpers!$D$2:$D$151,$O19-2+1))</f>
        <v/>
      </c>
      <c r="C19" s="24">
        <f>IF($O19="","",INDEX(_Helpers!$B$2:$B$151,$O19-2+1))</f>
        <v/>
      </c>
      <c r="D19" s="24">
        <f>IF($O19="","",INDEX(_Helpers!$C$2:$C$151,$O19-2+1))</f>
        <v/>
      </c>
      <c r="E19" s="24">
        <f>IF($O19="","",INDEX(_Helpers!$L$2:$L$151,$O19-2+1))</f>
        <v/>
      </c>
      <c r="F19" s="25">
        <f>IF($O19="","",INDEX(_Helpers!$M$2:$M$151,$O19-2+1))</f>
        <v/>
      </c>
      <c r="G19" s="26">
        <f>IF($O19="","",IF(INDEX(_Helpers!$G$2:$G$151,$O19-2+1)=1,"Starter",""))</f>
        <v/>
      </c>
      <c r="H19" s="26">
        <f>IF($O19="","",IF(INDEX(_Helpers!$H$2:$H$151,$O19-2+1)=1,"Leaver",""))</f>
        <v/>
      </c>
      <c r="I19" s="26">
        <f>IF($O19="","",INDEX(_Helpers!$P$2:$P$151,$O19-2+1))</f>
        <v/>
      </c>
      <c r="J19" s="25">
        <f>IF($O19="","",INDEX(_Helpers!$V$2:$V$151,$O19-2+1))</f>
        <v/>
      </c>
      <c r="K19" s="26">
        <f>IF($O19="","",INDEX(_Helpers!$AJ$2:$AJ$151,$O19-2+1))</f>
        <v/>
      </c>
      <c r="L19" s="24">
        <f>IF($O19="","",INDEX(_Helpers!$AK$2:$AK$151,$O19-2+1))</f>
        <v/>
      </c>
      <c r="M19" s="27" t="n"/>
      <c r="N19" s="2" t="n"/>
      <c r="O19" s="17">
        <f t="array" ref="O19">IFERROR(SMALL(IF(_Helpers!$F$2:$F$151=1,ROW(_Helpers!$F$2:$F$151)),ROWS($A$4:A19)),"")</f>
        <v/>
      </c>
    </row>
    <row r="20">
      <c r="A20" s="23">
        <f>IF($O20="","",INDEX(_Helpers!$A$2:$A$151,$O20-2+1))</f>
        <v/>
      </c>
      <c r="B20" s="23">
        <f>IF($O20="","",INDEX(_Helpers!$D$2:$D$151,$O20-2+1))</f>
        <v/>
      </c>
      <c r="C20" s="24">
        <f>IF($O20="","",INDEX(_Helpers!$B$2:$B$151,$O20-2+1))</f>
        <v/>
      </c>
      <c r="D20" s="24">
        <f>IF($O20="","",INDEX(_Helpers!$C$2:$C$151,$O20-2+1))</f>
        <v/>
      </c>
      <c r="E20" s="24">
        <f>IF($O20="","",INDEX(_Helpers!$L$2:$L$151,$O20-2+1))</f>
        <v/>
      </c>
      <c r="F20" s="25">
        <f>IF($O20="","",INDEX(_Helpers!$M$2:$M$151,$O20-2+1))</f>
        <v/>
      </c>
      <c r="G20" s="26">
        <f>IF($O20="","",IF(INDEX(_Helpers!$G$2:$G$151,$O20-2+1)=1,"Starter",""))</f>
        <v/>
      </c>
      <c r="H20" s="26">
        <f>IF($O20="","",IF(INDEX(_Helpers!$H$2:$H$151,$O20-2+1)=1,"Leaver",""))</f>
        <v/>
      </c>
      <c r="I20" s="26">
        <f>IF($O20="","",INDEX(_Helpers!$P$2:$P$151,$O20-2+1))</f>
        <v/>
      </c>
      <c r="J20" s="25">
        <f>IF($O20="","",INDEX(_Helpers!$V$2:$V$151,$O20-2+1))</f>
        <v/>
      </c>
      <c r="K20" s="26">
        <f>IF($O20="","",INDEX(_Helpers!$AJ$2:$AJ$151,$O20-2+1))</f>
        <v/>
      </c>
      <c r="L20" s="24">
        <f>IF($O20="","",INDEX(_Helpers!$AK$2:$AK$151,$O20-2+1))</f>
        <v/>
      </c>
      <c r="M20" s="27" t="n"/>
      <c r="N20" s="2" t="n"/>
      <c r="O20" s="17">
        <f t="array" ref="O20">IFERROR(SMALL(IF(_Helpers!$F$2:$F$151=1,ROW(_Helpers!$F$2:$F$151)),ROWS($A$4:A20)),"")</f>
        <v/>
      </c>
    </row>
    <row r="21">
      <c r="A21" s="23">
        <f>IF($O21="","",INDEX(_Helpers!$A$2:$A$151,$O21-2+1))</f>
        <v/>
      </c>
      <c r="B21" s="23">
        <f>IF($O21="","",INDEX(_Helpers!$D$2:$D$151,$O21-2+1))</f>
        <v/>
      </c>
      <c r="C21" s="24">
        <f>IF($O21="","",INDEX(_Helpers!$B$2:$B$151,$O21-2+1))</f>
        <v/>
      </c>
      <c r="D21" s="24">
        <f>IF($O21="","",INDEX(_Helpers!$C$2:$C$151,$O21-2+1))</f>
        <v/>
      </c>
      <c r="E21" s="24">
        <f>IF($O21="","",INDEX(_Helpers!$L$2:$L$151,$O21-2+1))</f>
        <v/>
      </c>
      <c r="F21" s="25">
        <f>IF($O21="","",INDEX(_Helpers!$M$2:$M$151,$O21-2+1))</f>
        <v/>
      </c>
      <c r="G21" s="26">
        <f>IF($O21="","",IF(INDEX(_Helpers!$G$2:$G$151,$O21-2+1)=1,"Starter",""))</f>
        <v/>
      </c>
      <c r="H21" s="26">
        <f>IF($O21="","",IF(INDEX(_Helpers!$H$2:$H$151,$O21-2+1)=1,"Leaver",""))</f>
        <v/>
      </c>
      <c r="I21" s="26">
        <f>IF($O21="","",INDEX(_Helpers!$P$2:$P$151,$O21-2+1))</f>
        <v/>
      </c>
      <c r="J21" s="25">
        <f>IF($O21="","",INDEX(_Helpers!$V$2:$V$151,$O21-2+1))</f>
        <v/>
      </c>
      <c r="K21" s="26">
        <f>IF($O21="","",INDEX(_Helpers!$AJ$2:$AJ$151,$O21-2+1))</f>
        <v/>
      </c>
      <c r="L21" s="24">
        <f>IF($O21="","",INDEX(_Helpers!$AK$2:$AK$151,$O21-2+1))</f>
        <v/>
      </c>
      <c r="M21" s="27" t="n"/>
      <c r="N21" s="2" t="n"/>
      <c r="O21" s="17">
        <f t="array" ref="O21">IFERROR(SMALL(IF(_Helpers!$F$2:$F$151=1,ROW(_Helpers!$F$2:$F$151)),ROWS($A$4:A21)),"")</f>
        <v/>
      </c>
    </row>
    <row r="22">
      <c r="A22" s="23">
        <f>IF($O22="","",INDEX(_Helpers!$A$2:$A$151,$O22-2+1))</f>
        <v/>
      </c>
      <c r="B22" s="23">
        <f>IF($O22="","",INDEX(_Helpers!$D$2:$D$151,$O22-2+1))</f>
        <v/>
      </c>
      <c r="C22" s="24">
        <f>IF($O22="","",INDEX(_Helpers!$B$2:$B$151,$O22-2+1))</f>
        <v/>
      </c>
      <c r="D22" s="24">
        <f>IF($O22="","",INDEX(_Helpers!$C$2:$C$151,$O22-2+1))</f>
        <v/>
      </c>
      <c r="E22" s="24">
        <f>IF($O22="","",INDEX(_Helpers!$L$2:$L$151,$O22-2+1))</f>
        <v/>
      </c>
      <c r="F22" s="25">
        <f>IF($O22="","",INDEX(_Helpers!$M$2:$M$151,$O22-2+1))</f>
        <v/>
      </c>
      <c r="G22" s="26">
        <f>IF($O22="","",IF(INDEX(_Helpers!$G$2:$G$151,$O22-2+1)=1,"Starter",""))</f>
        <v/>
      </c>
      <c r="H22" s="26">
        <f>IF($O22="","",IF(INDEX(_Helpers!$H$2:$H$151,$O22-2+1)=1,"Leaver",""))</f>
        <v/>
      </c>
      <c r="I22" s="26">
        <f>IF($O22="","",INDEX(_Helpers!$P$2:$P$151,$O22-2+1))</f>
        <v/>
      </c>
      <c r="J22" s="25">
        <f>IF($O22="","",INDEX(_Helpers!$V$2:$V$151,$O22-2+1))</f>
        <v/>
      </c>
      <c r="K22" s="26">
        <f>IF($O22="","",INDEX(_Helpers!$AJ$2:$AJ$151,$O22-2+1))</f>
        <v/>
      </c>
      <c r="L22" s="24">
        <f>IF($O22="","",INDEX(_Helpers!$AK$2:$AK$151,$O22-2+1))</f>
        <v/>
      </c>
      <c r="M22" s="27" t="n"/>
      <c r="N22" s="2" t="n"/>
      <c r="O22" s="17">
        <f t="array" ref="O22">IFERROR(SMALL(IF(_Helpers!$F$2:$F$151=1,ROW(_Helpers!$F$2:$F$151)),ROWS($A$4:A22)),"")</f>
        <v/>
      </c>
    </row>
    <row r="23">
      <c r="A23" s="23">
        <f>IF($O23="","",INDEX(_Helpers!$A$2:$A$151,$O23-2+1))</f>
        <v/>
      </c>
      <c r="B23" s="23">
        <f>IF($O23="","",INDEX(_Helpers!$D$2:$D$151,$O23-2+1))</f>
        <v/>
      </c>
      <c r="C23" s="24">
        <f>IF($O23="","",INDEX(_Helpers!$B$2:$B$151,$O23-2+1))</f>
        <v/>
      </c>
      <c r="D23" s="24">
        <f>IF($O23="","",INDEX(_Helpers!$C$2:$C$151,$O23-2+1))</f>
        <v/>
      </c>
      <c r="E23" s="24">
        <f>IF($O23="","",INDEX(_Helpers!$L$2:$L$151,$O23-2+1))</f>
        <v/>
      </c>
      <c r="F23" s="25">
        <f>IF($O23="","",INDEX(_Helpers!$M$2:$M$151,$O23-2+1))</f>
        <v/>
      </c>
      <c r="G23" s="26">
        <f>IF($O23="","",IF(INDEX(_Helpers!$G$2:$G$151,$O23-2+1)=1,"Starter",""))</f>
        <v/>
      </c>
      <c r="H23" s="26">
        <f>IF($O23="","",IF(INDEX(_Helpers!$H$2:$H$151,$O23-2+1)=1,"Leaver",""))</f>
        <v/>
      </c>
      <c r="I23" s="26">
        <f>IF($O23="","",INDEX(_Helpers!$P$2:$P$151,$O23-2+1))</f>
        <v/>
      </c>
      <c r="J23" s="25">
        <f>IF($O23="","",INDEX(_Helpers!$V$2:$V$151,$O23-2+1))</f>
        <v/>
      </c>
      <c r="K23" s="26">
        <f>IF($O23="","",INDEX(_Helpers!$AJ$2:$AJ$151,$O23-2+1))</f>
        <v/>
      </c>
      <c r="L23" s="24">
        <f>IF($O23="","",INDEX(_Helpers!$AK$2:$AK$151,$O23-2+1))</f>
        <v/>
      </c>
      <c r="M23" s="27" t="n"/>
      <c r="N23" s="2" t="n"/>
      <c r="O23" s="17">
        <f t="array" ref="O23">IFERROR(SMALL(IF(_Helpers!$F$2:$F$151=1,ROW(_Helpers!$F$2:$F$151)),ROWS($A$4:A23)),"")</f>
        <v/>
      </c>
    </row>
    <row r="24">
      <c r="A24" s="23">
        <f>IF($O24="","",INDEX(_Helpers!$A$2:$A$151,$O24-2+1))</f>
        <v/>
      </c>
      <c r="B24" s="23">
        <f>IF($O24="","",INDEX(_Helpers!$D$2:$D$151,$O24-2+1))</f>
        <v/>
      </c>
      <c r="C24" s="24">
        <f>IF($O24="","",INDEX(_Helpers!$B$2:$B$151,$O24-2+1))</f>
        <v/>
      </c>
      <c r="D24" s="24">
        <f>IF($O24="","",INDEX(_Helpers!$C$2:$C$151,$O24-2+1))</f>
        <v/>
      </c>
      <c r="E24" s="24">
        <f>IF($O24="","",INDEX(_Helpers!$L$2:$L$151,$O24-2+1))</f>
        <v/>
      </c>
      <c r="F24" s="25">
        <f>IF($O24="","",INDEX(_Helpers!$M$2:$M$151,$O24-2+1))</f>
        <v/>
      </c>
      <c r="G24" s="26">
        <f>IF($O24="","",IF(INDEX(_Helpers!$G$2:$G$151,$O24-2+1)=1,"Starter",""))</f>
        <v/>
      </c>
      <c r="H24" s="26">
        <f>IF($O24="","",IF(INDEX(_Helpers!$H$2:$H$151,$O24-2+1)=1,"Leaver",""))</f>
        <v/>
      </c>
      <c r="I24" s="26">
        <f>IF($O24="","",INDEX(_Helpers!$P$2:$P$151,$O24-2+1))</f>
        <v/>
      </c>
      <c r="J24" s="25">
        <f>IF($O24="","",INDEX(_Helpers!$V$2:$V$151,$O24-2+1))</f>
        <v/>
      </c>
      <c r="K24" s="26">
        <f>IF($O24="","",INDEX(_Helpers!$AJ$2:$AJ$151,$O24-2+1))</f>
        <v/>
      </c>
      <c r="L24" s="24">
        <f>IF($O24="","",INDEX(_Helpers!$AK$2:$AK$151,$O24-2+1))</f>
        <v/>
      </c>
      <c r="M24" s="27" t="n"/>
      <c r="N24" s="2" t="n"/>
      <c r="O24" s="17">
        <f t="array" ref="O24">IFERROR(SMALL(IF(_Helpers!$F$2:$F$151=1,ROW(_Helpers!$F$2:$F$151)),ROWS($A$4:A24)),"")</f>
        <v/>
      </c>
    </row>
    <row r="25">
      <c r="A25" s="23">
        <f>IF($O25="","",INDEX(_Helpers!$A$2:$A$151,$O25-2+1))</f>
        <v/>
      </c>
      <c r="B25" s="23">
        <f>IF($O25="","",INDEX(_Helpers!$D$2:$D$151,$O25-2+1))</f>
        <v/>
      </c>
      <c r="C25" s="24">
        <f>IF($O25="","",INDEX(_Helpers!$B$2:$B$151,$O25-2+1))</f>
        <v/>
      </c>
      <c r="D25" s="24">
        <f>IF($O25="","",INDEX(_Helpers!$C$2:$C$151,$O25-2+1))</f>
        <v/>
      </c>
      <c r="E25" s="24">
        <f>IF($O25="","",INDEX(_Helpers!$L$2:$L$151,$O25-2+1))</f>
        <v/>
      </c>
      <c r="F25" s="25">
        <f>IF($O25="","",INDEX(_Helpers!$M$2:$M$151,$O25-2+1))</f>
        <v/>
      </c>
      <c r="G25" s="26">
        <f>IF($O25="","",IF(INDEX(_Helpers!$G$2:$G$151,$O25-2+1)=1,"Starter",""))</f>
        <v/>
      </c>
      <c r="H25" s="26">
        <f>IF($O25="","",IF(INDEX(_Helpers!$H$2:$H$151,$O25-2+1)=1,"Leaver",""))</f>
        <v/>
      </c>
      <c r="I25" s="26">
        <f>IF($O25="","",INDEX(_Helpers!$P$2:$P$151,$O25-2+1))</f>
        <v/>
      </c>
      <c r="J25" s="25">
        <f>IF($O25="","",INDEX(_Helpers!$V$2:$V$151,$O25-2+1))</f>
        <v/>
      </c>
      <c r="K25" s="26">
        <f>IF($O25="","",INDEX(_Helpers!$AJ$2:$AJ$151,$O25-2+1))</f>
        <v/>
      </c>
      <c r="L25" s="24">
        <f>IF($O25="","",INDEX(_Helpers!$AK$2:$AK$151,$O25-2+1))</f>
        <v/>
      </c>
      <c r="M25" s="27" t="n"/>
      <c r="N25" s="2" t="n"/>
      <c r="O25" s="17">
        <f t="array" ref="O25">IFERROR(SMALL(IF(_Helpers!$F$2:$F$151=1,ROW(_Helpers!$F$2:$F$151)),ROWS($A$4:A25)),"")</f>
        <v/>
      </c>
    </row>
    <row r="26">
      <c r="A26" s="23">
        <f>IF($O26="","",INDEX(_Helpers!$A$2:$A$151,$O26-2+1))</f>
        <v/>
      </c>
      <c r="B26" s="23">
        <f>IF($O26="","",INDEX(_Helpers!$D$2:$D$151,$O26-2+1))</f>
        <v/>
      </c>
      <c r="C26" s="24">
        <f>IF($O26="","",INDEX(_Helpers!$B$2:$B$151,$O26-2+1))</f>
        <v/>
      </c>
      <c r="D26" s="24">
        <f>IF($O26="","",INDEX(_Helpers!$C$2:$C$151,$O26-2+1))</f>
        <v/>
      </c>
      <c r="E26" s="24">
        <f>IF($O26="","",INDEX(_Helpers!$L$2:$L$151,$O26-2+1))</f>
        <v/>
      </c>
      <c r="F26" s="25">
        <f>IF($O26="","",INDEX(_Helpers!$M$2:$M$151,$O26-2+1))</f>
        <v/>
      </c>
      <c r="G26" s="26">
        <f>IF($O26="","",IF(INDEX(_Helpers!$G$2:$G$151,$O26-2+1)=1,"Starter",""))</f>
        <v/>
      </c>
      <c r="H26" s="26">
        <f>IF($O26="","",IF(INDEX(_Helpers!$H$2:$H$151,$O26-2+1)=1,"Leaver",""))</f>
        <v/>
      </c>
      <c r="I26" s="26">
        <f>IF($O26="","",INDEX(_Helpers!$P$2:$P$151,$O26-2+1))</f>
        <v/>
      </c>
      <c r="J26" s="25">
        <f>IF($O26="","",INDEX(_Helpers!$V$2:$V$151,$O26-2+1))</f>
        <v/>
      </c>
      <c r="K26" s="26">
        <f>IF($O26="","",INDEX(_Helpers!$AJ$2:$AJ$151,$O26-2+1))</f>
        <v/>
      </c>
      <c r="L26" s="24">
        <f>IF($O26="","",INDEX(_Helpers!$AK$2:$AK$151,$O26-2+1))</f>
        <v/>
      </c>
      <c r="M26" s="27" t="n"/>
      <c r="N26" s="2" t="n"/>
      <c r="O26" s="17">
        <f t="array" ref="O26">IFERROR(SMALL(IF(_Helpers!$F$2:$F$151=1,ROW(_Helpers!$F$2:$F$151)),ROWS($A$4:A26)),"")</f>
        <v/>
      </c>
    </row>
    <row r="27">
      <c r="A27" s="23">
        <f>IF($O27="","",INDEX(_Helpers!$A$2:$A$151,$O27-2+1))</f>
        <v/>
      </c>
      <c r="B27" s="23">
        <f>IF($O27="","",INDEX(_Helpers!$D$2:$D$151,$O27-2+1))</f>
        <v/>
      </c>
      <c r="C27" s="24">
        <f>IF($O27="","",INDEX(_Helpers!$B$2:$B$151,$O27-2+1))</f>
        <v/>
      </c>
      <c r="D27" s="24">
        <f>IF($O27="","",INDEX(_Helpers!$C$2:$C$151,$O27-2+1))</f>
        <v/>
      </c>
      <c r="E27" s="24">
        <f>IF($O27="","",INDEX(_Helpers!$L$2:$L$151,$O27-2+1))</f>
        <v/>
      </c>
      <c r="F27" s="25">
        <f>IF($O27="","",INDEX(_Helpers!$M$2:$M$151,$O27-2+1))</f>
        <v/>
      </c>
      <c r="G27" s="26">
        <f>IF($O27="","",IF(INDEX(_Helpers!$G$2:$G$151,$O27-2+1)=1,"Starter",""))</f>
        <v/>
      </c>
      <c r="H27" s="26">
        <f>IF($O27="","",IF(INDEX(_Helpers!$H$2:$H$151,$O27-2+1)=1,"Leaver",""))</f>
        <v/>
      </c>
      <c r="I27" s="26">
        <f>IF($O27="","",INDEX(_Helpers!$P$2:$P$151,$O27-2+1))</f>
        <v/>
      </c>
      <c r="J27" s="25">
        <f>IF($O27="","",INDEX(_Helpers!$V$2:$V$151,$O27-2+1))</f>
        <v/>
      </c>
      <c r="K27" s="26">
        <f>IF($O27="","",INDEX(_Helpers!$AJ$2:$AJ$151,$O27-2+1))</f>
        <v/>
      </c>
      <c r="L27" s="24">
        <f>IF($O27="","",INDEX(_Helpers!$AK$2:$AK$151,$O27-2+1))</f>
        <v/>
      </c>
      <c r="M27" s="27" t="n"/>
      <c r="N27" s="2" t="n"/>
      <c r="O27" s="17">
        <f t="array" ref="O27">IFERROR(SMALL(IF(_Helpers!$F$2:$F$151=1,ROW(_Helpers!$F$2:$F$151)),ROWS($A$4:A27)),"")</f>
        <v/>
      </c>
    </row>
    <row r="28">
      <c r="A28" s="23">
        <f>IF($O28="","",INDEX(_Helpers!$A$2:$A$151,$O28-2+1))</f>
        <v/>
      </c>
      <c r="B28" s="23">
        <f>IF($O28="","",INDEX(_Helpers!$D$2:$D$151,$O28-2+1))</f>
        <v/>
      </c>
      <c r="C28" s="24">
        <f>IF($O28="","",INDEX(_Helpers!$B$2:$B$151,$O28-2+1))</f>
        <v/>
      </c>
      <c r="D28" s="24">
        <f>IF($O28="","",INDEX(_Helpers!$C$2:$C$151,$O28-2+1))</f>
        <v/>
      </c>
      <c r="E28" s="24">
        <f>IF($O28="","",INDEX(_Helpers!$L$2:$L$151,$O28-2+1))</f>
        <v/>
      </c>
      <c r="F28" s="25">
        <f>IF($O28="","",INDEX(_Helpers!$M$2:$M$151,$O28-2+1))</f>
        <v/>
      </c>
      <c r="G28" s="26">
        <f>IF($O28="","",IF(INDEX(_Helpers!$G$2:$G$151,$O28-2+1)=1,"Starter",""))</f>
        <v/>
      </c>
      <c r="H28" s="26">
        <f>IF($O28="","",IF(INDEX(_Helpers!$H$2:$H$151,$O28-2+1)=1,"Leaver",""))</f>
        <v/>
      </c>
      <c r="I28" s="26">
        <f>IF($O28="","",INDEX(_Helpers!$P$2:$P$151,$O28-2+1))</f>
        <v/>
      </c>
      <c r="J28" s="25">
        <f>IF($O28="","",INDEX(_Helpers!$V$2:$V$151,$O28-2+1))</f>
        <v/>
      </c>
      <c r="K28" s="26">
        <f>IF($O28="","",INDEX(_Helpers!$AJ$2:$AJ$151,$O28-2+1))</f>
        <v/>
      </c>
      <c r="L28" s="24">
        <f>IF($O28="","",INDEX(_Helpers!$AK$2:$AK$151,$O28-2+1))</f>
        <v/>
      </c>
      <c r="M28" s="27" t="n"/>
      <c r="N28" s="2" t="n"/>
      <c r="O28" s="17">
        <f t="array" ref="O28">IFERROR(SMALL(IF(_Helpers!$F$2:$F$151=1,ROW(_Helpers!$F$2:$F$151)),ROWS($A$4:A28)),"")</f>
        <v/>
      </c>
    </row>
    <row r="29">
      <c r="A29" s="23">
        <f>IF($O29="","",INDEX(_Helpers!$A$2:$A$151,$O29-2+1))</f>
        <v/>
      </c>
      <c r="B29" s="23">
        <f>IF($O29="","",INDEX(_Helpers!$D$2:$D$151,$O29-2+1))</f>
        <v/>
      </c>
      <c r="C29" s="24">
        <f>IF($O29="","",INDEX(_Helpers!$B$2:$B$151,$O29-2+1))</f>
        <v/>
      </c>
      <c r="D29" s="24">
        <f>IF($O29="","",INDEX(_Helpers!$C$2:$C$151,$O29-2+1))</f>
        <v/>
      </c>
      <c r="E29" s="24">
        <f>IF($O29="","",INDEX(_Helpers!$L$2:$L$151,$O29-2+1))</f>
        <v/>
      </c>
      <c r="F29" s="25">
        <f>IF($O29="","",INDEX(_Helpers!$M$2:$M$151,$O29-2+1))</f>
        <v/>
      </c>
      <c r="G29" s="26">
        <f>IF($O29="","",IF(INDEX(_Helpers!$G$2:$G$151,$O29-2+1)=1,"Starter",""))</f>
        <v/>
      </c>
      <c r="H29" s="26">
        <f>IF($O29="","",IF(INDEX(_Helpers!$H$2:$H$151,$O29-2+1)=1,"Leaver",""))</f>
        <v/>
      </c>
      <c r="I29" s="26">
        <f>IF($O29="","",INDEX(_Helpers!$P$2:$P$151,$O29-2+1))</f>
        <v/>
      </c>
      <c r="J29" s="25">
        <f>IF($O29="","",INDEX(_Helpers!$V$2:$V$151,$O29-2+1))</f>
        <v/>
      </c>
      <c r="K29" s="26">
        <f>IF($O29="","",INDEX(_Helpers!$AJ$2:$AJ$151,$O29-2+1))</f>
        <v/>
      </c>
      <c r="L29" s="24">
        <f>IF($O29="","",INDEX(_Helpers!$AK$2:$AK$151,$O29-2+1))</f>
        <v/>
      </c>
      <c r="M29" s="27" t="n"/>
      <c r="N29" s="2" t="n"/>
      <c r="O29" s="17">
        <f t="array" ref="O29">IFERROR(SMALL(IF(_Helpers!$F$2:$F$151=1,ROW(_Helpers!$F$2:$F$151)),ROWS($A$4:A29)),"")</f>
        <v/>
      </c>
    </row>
    <row r="30">
      <c r="A30" s="23">
        <f>IF($O30="","",INDEX(_Helpers!$A$2:$A$151,$O30-2+1))</f>
        <v/>
      </c>
      <c r="B30" s="23">
        <f>IF($O30="","",INDEX(_Helpers!$D$2:$D$151,$O30-2+1))</f>
        <v/>
      </c>
      <c r="C30" s="24">
        <f>IF($O30="","",INDEX(_Helpers!$B$2:$B$151,$O30-2+1))</f>
        <v/>
      </c>
      <c r="D30" s="24">
        <f>IF($O30="","",INDEX(_Helpers!$C$2:$C$151,$O30-2+1))</f>
        <v/>
      </c>
      <c r="E30" s="24">
        <f>IF($O30="","",INDEX(_Helpers!$L$2:$L$151,$O30-2+1))</f>
        <v/>
      </c>
      <c r="F30" s="25">
        <f>IF($O30="","",INDEX(_Helpers!$M$2:$M$151,$O30-2+1))</f>
        <v/>
      </c>
      <c r="G30" s="26">
        <f>IF($O30="","",IF(INDEX(_Helpers!$G$2:$G$151,$O30-2+1)=1,"Starter",""))</f>
        <v/>
      </c>
      <c r="H30" s="26">
        <f>IF($O30="","",IF(INDEX(_Helpers!$H$2:$H$151,$O30-2+1)=1,"Leaver",""))</f>
        <v/>
      </c>
      <c r="I30" s="26">
        <f>IF($O30="","",INDEX(_Helpers!$P$2:$P$151,$O30-2+1))</f>
        <v/>
      </c>
      <c r="J30" s="25">
        <f>IF($O30="","",INDEX(_Helpers!$V$2:$V$151,$O30-2+1))</f>
        <v/>
      </c>
      <c r="K30" s="26">
        <f>IF($O30="","",INDEX(_Helpers!$AJ$2:$AJ$151,$O30-2+1))</f>
        <v/>
      </c>
      <c r="L30" s="24">
        <f>IF($O30="","",INDEX(_Helpers!$AK$2:$AK$151,$O30-2+1))</f>
        <v/>
      </c>
      <c r="M30" s="27" t="n"/>
      <c r="N30" s="2" t="n"/>
      <c r="O30" s="17">
        <f t="array" ref="O30">IFERROR(SMALL(IF(_Helpers!$F$2:$F$151=1,ROW(_Helpers!$F$2:$F$151)),ROWS($A$4:A30)),"")</f>
        <v/>
      </c>
    </row>
    <row r="31">
      <c r="A31" s="23">
        <f>IF($O31="","",INDEX(_Helpers!$A$2:$A$151,$O31-2+1))</f>
        <v/>
      </c>
      <c r="B31" s="23">
        <f>IF($O31="","",INDEX(_Helpers!$D$2:$D$151,$O31-2+1))</f>
        <v/>
      </c>
      <c r="C31" s="24">
        <f>IF($O31="","",INDEX(_Helpers!$B$2:$B$151,$O31-2+1))</f>
        <v/>
      </c>
      <c r="D31" s="24">
        <f>IF($O31="","",INDEX(_Helpers!$C$2:$C$151,$O31-2+1))</f>
        <v/>
      </c>
      <c r="E31" s="24">
        <f>IF($O31="","",INDEX(_Helpers!$L$2:$L$151,$O31-2+1))</f>
        <v/>
      </c>
      <c r="F31" s="25">
        <f>IF($O31="","",INDEX(_Helpers!$M$2:$M$151,$O31-2+1))</f>
        <v/>
      </c>
      <c r="G31" s="26">
        <f>IF($O31="","",IF(INDEX(_Helpers!$G$2:$G$151,$O31-2+1)=1,"Starter",""))</f>
        <v/>
      </c>
      <c r="H31" s="26">
        <f>IF($O31="","",IF(INDEX(_Helpers!$H$2:$H$151,$O31-2+1)=1,"Leaver",""))</f>
        <v/>
      </c>
      <c r="I31" s="26">
        <f>IF($O31="","",INDEX(_Helpers!$P$2:$P$151,$O31-2+1))</f>
        <v/>
      </c>
      <c r="J31" s="25">
        <f>IF($O31="","",INDEX(_Helpers!$V$2:$V$151,$O31-2+1))</f>
        <v/>
      </c>
      <c r="K31" s="26">
        <f>IF($O31="","",INDEX(_Helpers!$AJ$2:$AJ$151,$O31-2+1))</f>
        <v/>
      </c>
      <c r="L31" s="24">
        <f>IF($O31="","",INDEX(_Helpers!$AK$2:$AK$151,$O31-2+1))</f>
        <v/>
      </c>
      <c r="M31" s="27" t="n"/>
      <c r="N31" s="2" t="n"/>
      <c r="O31" s="17">
        <f t="array" ref="O31">IFERROR(SMALL(IF(_Helpers!$F$2:$F$151=1,ROW(_Helpers!$F$2:$F$151)),ROWS($A$4:A31)),"")</f>
        <v/>
      </c>
    </row>
    <row r="32">
      <c r="A32" s="23">
        <f>IF($O32="","",INDEX(_Helpers!$A$2:$A$151,$O32-2+1))</f>
        <v/>
      </c>
      <c r="B32" s="23">
        <f>IF($O32="","",INDEX(_Helpers!$D$2:$D$151,$O32-2+1))</f>
        <v/>
      </c>
      <c r="C32" s="24">
        <f>IF($O32="","",INDEX(_Helpers!$B$2:$B$151,$O32-2+1))</f>
        <v/>
      </c>
      <c r="D32" s="24">
        <f>IF($O32="","",INDEX(_Helpers!$C$2:$C$151,$O32-2+1))</f>
        <v/>
      </c>
      <c r="E32" s="24">
        <f>IF($O32="","",INDEX(_Helpers!$L$2:$L$151,$O32-2+1))</f>
        <v/>
      </c>
      <c r="F32" s="25">
        <f>IF($O32="","",INDEX(_Helpers!$M$2:$M$151,$O32-2+1))</f>
        <v/>
      </c>
      <c r="G32" s="26">
        <f>IF($O32="","",IF(INDEX(_Helpers!$G$2:$G$151,$O32-2+1)=1,"Starter",""))</f>
        <v/>
      </c>
      <c r="H32" s="26">
        <f>IF($O32="","",IF(INDEX(_Helpers!$H$2:$H$151,$O32-2+1)=1,"Leaver",""))</f>
        <v/>
      </c>
      <c r="I32" s="26">
        <f>IF($O32="","",INDEX(_Helpers!$P$2:$P$151,$O32-2+1))</f>
        <v/>
      </c>
      <c r="J32" s="25">
        <f>IF($O32="","",INDEX(_Helpers!$V$2:$V$151,$O32-2+1))</f>
        <v/>
      </c>
      <c r="K32" s="26">
        <f>IF($O32="","",INDEX(_Helpers!$AJ$2:$AJ$151,$O32-2+1))</f>
        <v/>
      </c>
      <c r="L32" s="24">
        <f>IF($O32="","",INDEX(_Helpers!$AK$2:$AK$151,$O32-2+1))</f>
        <v/>
      </c>
      <c r="M32" s="27" t="n"/>
      <c r="N32" s="2" t="n"/>
      <c r="O32" s="17">
        <f t="array" ref="O32">IFERROR(SMALL(IF(_Helpers!$F$2:$F$151=1,ROW(_Helpers!$F$2:$F$151)),ROWS($A$4:A32)),"")</f>
        <v/>
      </c>
    </row>
    <row r="33">
      <c r="A33" s="23">
        <f>IF($O33="","",INDEX(_Helpers!$A$2:$A$151,$O33-2+1))</f>
        <v/>
      </c>
      <c r="B33" s="23">
        <f>IF($O33="","",INDEX(_Helpers!$D$2:$D$151,$O33-2+1))</f>
        <v/>
      </c>
      <c r="C33" s="24">
        <f>IF($O33="","",INDEX(_Helpers!$B$2:$B$151,$O33-2+1))</f>
        <v/>
      </c>
      <c r="D33" s="24">
        <f>IF($O33="","",INDEX(_Helpers!$C$2:$C$151,$O33-2+1))</f>
        <v/>
      </c>
      <c r="E33" s="24">
        <f>IF($O33="","",INDEX(_Helpers!$L$2:$L$151,$O33-2+1))</f>
        <v/>
      </c>
      <c r="F33" s="25">
        <f>IF($O33="","",INDEX(_Helpers!$M$2:$M$151,$O33-2+1))</f>
        <v/>
      </c>
      <c r="G33" s="26">
        <f>IF($O33="","",IF(INDEX(_Helpers!$G$2:$G$151,$O33-2+1)=1,"Starter",""))</f>
        <v/>
      </c>
      <c r="H33" s="26">
        <f>IF($O33="","",IF(INDEX(_Helpers!$H$2:$H$151,$O33-2+1)=1,"Leaver",""))</f>
        <v/>
      </c>
      <c r="I33" s="26">
        <f>IF($O33="","",INDEX(_Helpers!$P$2:$P$151,$O33-2+1))</f>
        <v/>
      </c>
      <c r="J33" s="25">
        <f>IF($O33="","",INDEX(_Helpers!$V$2:$V$151,$O33-2+1))</f>
        <v/>
      </c>
      <c r="K33" s="26">
        <f>IF($O33="","",INDEX(_Helpers!$AJ$2:$AJ$151,$O33-2+1))</f>
        <v/>
      </c>
      <c r="L33" s="24">
        <f>IF($O33="","",INDEX(_Helpers!$AK$2:$AK$151,$O33-2+1))</f>
        <v/>
      </c>
      <c r="M33" s="27" t="n"/>
      <c r="N33" s="2" t="n"/>
      <c r="O33" s="17">
        <f t="array" ref="O33">IFERROR(SMALL(IF(_Helpers!$F$2:$F$151=1,ROW(_Helpers!$F$2:$F$151)),ROWS($A$4:A33)),"")</f>
        <v/>
      </c>
    </row>
    <row r="34">
      <c r="A34" s="23">
        <f>IF($O34="","",INDEX(_Helpers!$A$2:$A$151,$O34-2+1))</f>
        <v/>
      </c>
      <c r="B34" s="23">
        <f>IF($O34="","",INDEX(_Helpers!$D$2:$D$151,$O34-2+1))</f>
        <v/>
      </c>
      <c r="C34" s="24">
        <f>IF($O34="","",INDEX(_Helpers!$B$2:$B$151,$O34-2+1))</f>
        <v/>
      </c>
      <c r="D34" s="24">
        <f>IF($O34="","",INDEX(_Helpers!$C$2:$C$151,$O34-2+1))</f>
        <v/>
      </c>
      <c r="E34" s="24">
        <f>IF($O34="","",INDEX(_Helpers!$L$2:$L$151,$O34-2+1))</f>
        <v/>
      </c>
      <c r="F34" s="25">
        <f>IF($O34="","",INDEX(_Helpers!$M$2:$M$151,$O34-2+1))</f>
        <v/>
      </c>
      <c r="G34" s="26">
        <f>IF($O34="","",IF(INDEX(_Helpers!$G$2:$G$151,$O34-2+1)=1,"Starter",""))</f>
        <v/>
      </c>
      <c r="H34" s="26">
        <f>IF($O34="","",IF(INDEX(_Helpers!$H$2:$H$151,$O34-2+1)=1,"Leaver",""))</f>
        <v/>
      </c>
      <c r="I34" s="26">
        <f>IF($O34="","",INDEX(_Helpers!$P$2:$P$151,$O34-2+1))</f>
        <v/>
      </c>
      <c r="J34" s="25">
        <f>IF($O34="","",INDEX(_Helpers!$V$2:$V$151,$O34-2+1))</f>
        <v/>
      </c>
      <c r="K34" s="26">
        <f>IF($O34="","",INDEX(_Helpers!$AJ$2:$AJ$151,$O34-2+1))</f>
        <v/>
      </c>
      <c r="L34" s="24">
        <f>IF($O34="","",INDEX(_Helpers!$AK$2:$AK$151,$O34-2+1))</f>
        <v/>
      </c>
      <c r="M34" s="27" t="n"/>
      <c r="N34" s="2" t="n"/>
      <c r="O34" s="17">
        <f t="array" ref="O34">IFERROR(SMALL(IF(_Helpers!$F$2:$F$151=1,ROW(_Helpers!$F$2:$F$151)),ROWS($A$4:A34)),"")</f>
        <v/>
      </c>
    </row>
    <row r="35">
      <c r="A35" s="23">
        <f>IF($O35="","",INDEX(_Helpers!$A$2:$A$151,$O35-2+1))</f>
        <v/>
      </c>
      <c r="B35" s="23">
        <f>IF($O35="","",INDEX(_Helpers!$D$2:$D$151,$O35-2+1))</f>
        <v/>
      </c>
      <c r="C35" s="24">
        <f>IF($O35="","",INDEX(_Helpers!$B$2:$B$151,$O35-2+1))</f>
        <v/>
      </c>
      <c r="D35" s="24">
        <f>IF($O35="","",INDEX(_Helpers!$C$2:$C$151,$O35-2+1))</f>
        <v/>
      </c>
      <c r="E35" s="24">
        <f>IF($O35="","",INDEX(_Helpers!$L$2:$L$151,$O35-2+1))</f>
        <v/>
      </c>
      <c r="F35" s="25">
        <f>IF($O35="","",INDEX(_Helpers!$M$2:$M$151,$O35-2+1))</f>
        <v/>
      </c>
      <c r="G35" s="26">
        <f>IF($O35="","",IF(INDEX(_Helpers!$G$2:$G$151,$O35-2+1)=1,"Starter",""))</f>
        <v/>
      </c>
      <c r="H35" s="26">
        <f>IF($O35="","",IF(INDEX(_Helpers!$H$2:$H$151,$O35-2+1)=1,"Leaver",""))</f>
        <v/>
      </c>
      <c r="I35" s="26">
        <f>IF($O35="","",INDEX(_Helpers!$P$2:$P$151,$O35-2+1))</f>
        <v/>
      </c>
      <c r="J35" s="25">
        <f>IF($O35="","",INDEX(_Helpers!$V$2:$V$151,$O35-2+1))</f>
        <v/>
      </c>
      <c r="K35" s="26">
        <f>IF($O35="","",INDEX(_Helpers!$AJ$2:$AJ$151,$O35-2+1))</f>
        <v/>
      </c>
      <c r="L35" s="24">
        <f>IF($O35="","",INDEX(_Helpers!$AK$2:$AK$151,$O35-2+1))</f>
        <v/>
      </c>
      <c r="M35" s="27" t="n"/>
      <c r="N35" s="2" t="n"/>
      <c r="O35" s="17">
        <f t="array" ref="O35">IFERROR(SMALL(IF(_Helpers!$F$2:$F$151=1,ROW(_Helpers!$F$2:$F$151)),ROWS($A$4:A35)),"")</f>
        <v/>
      </c>
    </row>
    <row r="36">
      <c r="A36" s="23">
        <f>IF($O36="","",INDEX(_Helpers!$A$2:$A$151,$O36-2+1))</f>
        <v/>
      </c>
      <c r="B36" s="23">
        <f>IF($O36="","",INDEX(_Helpers!$D$2:$D$151,$O36-2+1))</f>
        <v/>
      </c>
      <c r="C36" s="24">
        <f>IF($O36="","",INDEX(_Helpers!$B$2:$B$151,$O36-2+1))</f>
        <v/>
      </c>
      <c r="D36" s="24">
        <f>IF($O36="","",INDEX(_Helpers!$C$2:$C$151,$O36-2+1))</f>
        <v/>
      </c>
      <c r="E36" s="24">
        <f>IF($O36="","",INDEX(_Helpers!$L$2:$L$151,$O36-2+1))</f>
        <v/>
      </c>
      <c r="F36" s="25">
        <f>IF($O36="","",INDEX(_Helpers!$M$2:$M$151,$O36-2+1))</f>
        <v/>
      </c>
      <c r="G36" s="26">
        <f>IF($O36="","",IF(INDEX(_Helpers!$G$2:$G$151,$O36-2+1)=1,"Starter",""))</f>
        <v/>
      </c>
      <c r="H36" s="26">
        <f>IF($O36="","",IF(INDEX(_Helpers!$H$2:$H$151,$O36-2+1)=1,"Leaver",""))</f>
        <v/>
      </c>
      <c r="I36" s="26">
        <f>IF($O36="","",INDEX(_Helpers!$P$2:$P$151,$O36-2+1))</f>
        <v/>
      </c>
      <c r="J36" s="25">
        <f>IF($O36="","",INDEX(_Helpers!$V$2:$V$151,$O36-2+1))</f>
        <v/>
      </c>
      <c r="K36" s="26">
        <f>IF($O36="","",INDEX(_Helpers!$AJ$2:$AJ$151,$O36-2+1))</f>
        <v/>
      </c>
      <c r="L36" s="24">
        <f>IF($O36="","",INDEX(_Helpers!$AK$2:$AK$151,$O36-2+1))</f>
        <v/>
      </c>
      <c r="M36" s="27" t="n"/>
      <c r="N36" s="2" t="n"/>
      <c r="O36" s="17">
        <f t="array" ref="O36">IFERROR(SMALL(IF(_Helpers!$F$2:$F$151=1,ROW(_Helpers!$F$2:$F$151)),ROWS($A$4:A36)),"")</f>
        <v/>
      </c>
    </row>
    <row r="37">
      <c r="A37" s="23">
        <f>IF($O37="","",INDEX(_Helpers!$A$2:$A$151,$O37-2+1))</f>
        <v/>
      </c>
      <c r="B37" s="23">
        <f>IF($O37="","",INDEX(_Helpers!$D$2:$D$151,$O37-2+1))</f>
        <v/>
      </c>
      <c r="C37" s="24">
        <f>IF($O37="","",INDEX(_Helpers!$B$2:$B$151,$O37-2+1))</f>
        <v/>
      </c>
      <c r="D37" s="24">
        <f>IF($O37="","",INDEX(_Helpers!$C$2:$C$151,$O37-2+1))</f>
        <v/>
      </c>
      <c r="E37" s="24">
        <f>IF($O37="","",INDEX(_Helpers!$L$2:$L$151,$O37-2+1))</f>
        <v/>
      </c>
      <c r="F37" s="25">
        <f>IF($O37="","",INDEX(_Helpers!$M$2:$M$151,$O37-2+1))</f>
        <v/>
      </c>
      <c r="G37" s="26">
        <f>IF($O37="","",IF(INDEX(_Helpers!$G$2:$G$151,$O37-2+1)=1,"Starter",""))</f>
        <v/>
      </c>
      <c r="H37" s="26">
        <f>IF($O37="","",IF(INDEX(_Helpers!$H$2:$H$151,$O37-2+1)=1,"Leaver",""))</f>
        <v/>
      </c>
      <c r="I37" s="26">
        <f>IF($O37="","",INDEX(_Helpers!$P$2:$P$151,$O37-2+1))</f>
        <v/>
      </c>
      <c r="J37" s="25">
        <f>IF($O37="","",INDEX(_Helpers!$V$2:$V$151,$O37-2+1))</f>
        <v/>
      </c>
      <c r="K37" s="26">
        <f>IF($O37="","",INDEX(_Helpers!$AJ$2:$AJ$151,$O37-2+1))</f>
        <v/>
      </c>
      <c r="L37" s="24">
        <f>IF($O37="","",INDEX(_Helpers!$AK$2:$AK$151,$O37-2+1))</f>
        <v/>
      </c>
      <c r="M37" s="27" t="n"/>
      <c r="N37" s="2" t="n"/>
      <c r="O37" s="17">
        <f t="array" ref="O37">IFERROR(SMALL(IF(_Helpers!$F$2:$F$151=1,ROW(_Helpers!$F$2:$F$151)),ROWS($A$4:A37)),"")</f>
        <v/>
      </c>
    </row>
    <row r="38">
      <c r="A38" s="23">
        <f>IF($O38="","",INDEX(_Helpers!$A$2:$A$151,$O38-2+1))</f>
        <v/>
      </c>
      <c r="B38" s="23">
        <f>IF($O38="","",INDEX(_Helpers!$D$2:$D$151,$O38-2+1))</f>
        <v/>
      </c>
      <c r="C38" s="24">
        <f>IF($O38="","",INDEX(_Helpers!$B$2:$B$151,$O38-2+1))</f>
        <v/>
      </c>
      <c r="D38" s="24">
        <f>IF($O38="","",INDEX(_Helpers!$C$2:$C$151,$O38-2+1))</f>
        <v/>
      </c>
      <c r="E38" s="24">
        <f>IF($O38="","",INDEX(_Helpers!$L$2:$L$151,$O38-2+1))</f>
        <v/>
      </c>
      <c r="F38" s="25">
        <f>IF($O38="","",INDEX(_Helpers!$M$2:$M$151,$O38-2+1))</f>
        <v/>
      </c>
      <c r="G38" s="26">
        <f>IF($O38="","",IF(INDEX(_Helpers!$G$2:$G$151,$O38-2+1)=1,"Starter",""))</f>
        <v/>
      </c>
      <c r="H38" s="26">
        <f>IF($O38="","",IF(INDEX(_Helpers!$H$2:$H$151,$O38-2+1)=1,"Leaver",""))</f>
        <v/>
      </c>
      <c r="I38" s="26">
        <f>IF($O38="","",INDEX(_Helpers!$P$2:$P$151,$O38-2+1))</f>
        <v/>
      </c>
      <c r="J38" s="25">
        <f>IF($O38="","",INDEX(_Helpers!$V$2:$V$151,$O38-2+1))</f>
        <v/>
      </c>
      <c r="K38" s="26">
        <f>IF($O38="","",INDEX(_Helpers!$AJ$2:$AJ$151,$O38-2+1))</f>
        <v/>
      </c>
      <c r="L38" s="24">
        <f>IF($O38="","",INDEX(_Helpers!$AK$2:$AK$151,$O38-2+1))</f>
        <v/>
      </c>
      <c r="M38" s="27" t="n"/>
      <c r="N38" s="2" t="n"/>
      <c r="O38" s="17">
        <f t="array" ref="O38">IFERROR(SMALL(IF(_Helpers!$F$2:$F$151=1,ROW(_Helpers!$F$2:$F$151)),ROWS($A$4:A38)),"")</f>
        <v/>
      </c>
    </row>
    <row r="39">
      <c r="A39" s="23">
        <f>IF($O39="","",INDEX(_Helpers!$A$2:$A$151,$O39-2+1))</f>
        <v/>
      </c>
      <c r="B39" s="23">
        <f>IF($O39="","",INDEX(_Helpers!$D$2:$D$151,$O39-2+1))</f>
        <v/>
      </c>
      <c r="C39" s="24">
        <f>IF($O39="","",INDEX(_Helpers!$B$2:$B$151,$O39-2+1))</f>
        <v/>
      </c>
      <c r="D39" s="24">
        <f>IF($O39="","",INDEX(_Helpers!$C$2:$C$151,$O39-2+1))</f>
        <v/>
      </c>
      <c r="E39" s="24">
        <f>IF($O39="","",INDEX(_Helpers!$L$2:$L$151,$O39-2+1))</f>
        <v/>
      </c>
      <c r="F39" s="25">
        <f>IF($O39="","",INDEX(_Helpers!$M$2:$M$151,$O39-2+1))</f>
        <v/>
      </c>
      <c r="G39" s="26">
        <f>IF($O39="","",IF(INDEX(_Helpers!$G$2:$G$151,$O39-2+1)=1,"Starter",""))</f>
        <v/>
      </c>
      <c r="H39" s="26">
        <f>IF($O39="","",IF(INDEX(_Helpers!$H$2:$H$151,$O39-2+1)=1,"Leaver",""))</f>
        <v/>
      </c>
      <c r="I39" s="26">
        <f>IF($O39="","",INDEX(_Helpers!$P$2:$P$151,$O39-2+1))</f>
        <v/>
      </c>
      <c r="J39" s="25">
        <f>IF($O39="","",INDEX(_Helpers!$V$2:$V$151,$O39-2+1))</f>
        <v/>
      </c>
      <c r="K39" s="26">
        <f>IF($O39="","",INDEX(_Helpers!$AJ$2:$AJ$151,$O39-2+1))</f>
        <v/>
      </c>
      <c r="L39" s="24">
        <f>IF($O39="","",INDEX(_Helpers!$AK$2:$AK$151,$O39-2+1))</f>
        <v/>
      </c>
      <c r="M39" s="27" t="n"/>
      <c r="N39" s="2" t="n"/>
      <c r="O39" s="17">
        <f t="array" ref="O39">IFERROR(SMALL(IF(_Helpers!$F$2:$F$151=1,ROW(_Helpers!$F$2:$F$151)),ROWS($A$4:A39)),"")</f>
        <v/>
      </c>
    </row>
    <row r="40">
      <c r="A40" s="23">
        <f>IF($O40="","",INDEX(_Helpers!$A$2:$A$151,$O40-2+1))</f>
        <v/>
      </c>
      <c r="B40" s="23">
        <f>IF($O40="","",INDEX(_Helpers!$D$2:$D$151,$O40-2+1))</f>
        <v/>
      </c>
      <c r="C40" s="24">
        <f>IF($O40="","",INDEX(_Helpers!$B$2:$B$151,$O40-2+1))</f>
        <v/>
      </c>
      <c r="D40" s="24">
        <f>IF($O40="","",INDEX(_Helpers!$C$2:$C$151,$O40-2+1))</f>
        <v/>
      </c>
      <c r="E40" s="24">
        <f>IF($O40="","",INDEX(_Helpers!$L$2:$L$151,$O40-2+1))</f>
        <v/>
      </c>
      <c r="F40" s="25">
        <f>IF($O40="","",INDEX(_Helpers!$M$2:$M$151,$O40-2+1))</f>
        <v/>
      </c>
      <c r="G40" s="26">
        <f>IF($O40="","",IF(INDEX(_Helpers!$G$2:$G$151,$O40-2+1)=1,"Starter",""))</f>
        <v/>
      </c>
      <c r="H40" s="26">
        <f>IF($O40="","",IF(INDEX(_Helpers!$H$2:$H$151,$O40-2+1)=1,"Leaver",""))</f>
        <v/>
      </c>
      <c r="I40" s="26">
        <f>IF($O40="","",INDEX(_Helpers!$P$2:$P$151,$O40-2+1))</f>
        <v/>
      </c>
      <c r="J40" s="25">
        <f>IF($O40="","",INDEX(_Helpers!$V$2:$V$151,$O40-2+1))</f>
        <v/>
      </c>
      <c r="K40" s="26">
        <f>IF($O40="","",INDEX(_Helpers!$AJ$2:$AJ$151,$O40-2+1))</f>
        <v/>
      </c>
      <c r="L40" s="24">
        <f>IF($O40="","",INDEX(_Helpers!$AK$2:$AK$151,$O40-2+1))</f>
        <v/>
      </c>
      <c r="M40" s="27" t="n"/>
      <c r="N40" s="2" t="n"/>
      <c r="O40" s="17">
        <f t="array" ref="O40">IFERROR(SMALL(IF(_Helpers!$F$2:$F$151=1,ROW(_Helpers!$F$2:$F$151)),ROWS($A$4:A40)),"")</f>
        <v/>
      </c>
    </row>
    <row r="41">
      <c r="A41" s="23">
        <f>IF($O41="","",INDEX(_Helpers!$A$2:$A$151,$O41-2+1))</f>
        <v/>
      </c>
      <c r="B41" s="23">
        <f>IF($O41="","",INDEX(_Helpers!$D$2:$D$151,$O41-2+1))</f>
        <v/>
      </c>
      <c r="C41" s="24">
        <f>IF($O41="","",INDEX(_Helpers!$B$2:$B$151,$O41-2+1))</f>
        <v/>
      </c>
      <c r="D41" s="24">
        <f>IF($O41="","",INDEX(_Helpers!$C$2:$C$151,$O41-2+1))</f>
        <v/>
      </c>
      <c r="E41" s="24">
        <f>IF($O41="","",INDEX(_Helpers!$L$2:$L$151,$O41-2+1))</f>
        <v/>
      </c>
      <c r="F41" s="25">
        <f>IF($O41="","",INDEX(_Helpers!$M$2:$M$151,$O41-2+1))</f>
        <v/>
      </c>
      <c r="G41" s="26">
        <f>IF($O41="","",IF(INDEX(_Helpers!$G$2:$G$151,$O41-2+1)=1,"Starter",""))</f>
        <v/>
      </c>
      <c r="H41" s="26">
        <f>IF($O41="","",IF(INDEX(_Helpers!$H$2:$H$151,$O41-2+1)=1,"Leaver",""))</f>
        <v/>
      </c>
      <c r="I41" s="26">
        <f>IF($O41="","",INDEX(_Helpers!$P$2:$P$151,$O41-2+1))</f>
        <v/>
      </c>
      <c r="J41" s="25">
        <f>IF($O41="","",INDEX(_Helpers!$V$2:$V$151,$O41-2+1))</f>
        <v/>
      </c>
      <c r="K41" s="26">
        <f>IF($O41="","",INDEX(_Helpers!$AJ$2:$AJ$151,$O41-2+1))</f>
        <v/>
      </c>
      <c r="L41" s="24">
        <f>IF($O41="","",INDEX(_Helpers!$AK$2:$AK$151,$O41-2+1))</f>
        <v/>
      </c>
      <c r="M41" s="27" t="n"/>
      <c r="N41" s="2" t="n"/>
      <c r="O41" s="17">
        <f t="array" ref="O41">IFERROR(SMALL(IF(_Helpers!$F$2:$F$151=1,ROW(_Helpers!$F$2:$F$151)),ROWS($A$4:A41)),"")</f>
        <v/>
      </c>
    </row>
    <row r="42">
      <c r="A42" s="23">
        <f>IF($O42="","",INDEX(_Helpers!$A$2:$A$151,$O42-2+1))</f>
        <v/>
      </c>
      <c r="B42" s="23">
        <f>IF($O42="","",INDEX(_Helpers!$D$2:$D$151,$O42-2+1))</f>
        <v/>
      </c>
      <c r="C42" s="24">
        <f>IF($O42="","",INDEX(_Helpers!$B$2:$B$151,$O42-2+1))</f>
        <v/>
      </c>
      <c r="D42" s="24">
        <f>IF($O42="","",INDEX(_Helpers!$C$2:$C$151,$O42-2+1))</f>
        <v/>
      </c>
      <c r="E42" s="24">
        <f>IF($O42="","",INDEX(_Helpers!$L$2:$L$151,$O42-2+1))</f>
        <v/>
      </c>
      <c r="F42" s="25">
        <f>IF($O42="","",INDEX(_Helpers!$M$2:$M$151,$O42-2+1))</f>
        <v/>
      </c>
      <c r="G42" s="26">
        <f>IF($O42="","",IF(INDEX(_Helpers!$G$2:$G$151,$O42-2+1)=1,"Starter",""))</f>
        <v/>
      </c>
      <c r="H42" s="26">
        <f>IF($O42="","",IF(INDEX(_Helpers!$H$2:$H$151,$O42-2+1)=1,"Leaver",""))</f>
        <v/>
      </c>
      <c r="I42" s="26">
        <f>IF($O42="","",INDEX(_Helpers!$P$2:$P$151,$O42-2+1))</f>
        <v/>
      </c>
      <c r="J42" s="25">
        <f>IF($O42="","",INDEX(_Helpers!$V$2:$V$151,$O42-2+1))</f>
        <v/>
      </c>
      <c r="K42" s="26">
        <f>IF($O42="","",INDEX(_Helpers!$AJ$2:$AJ$151,$O42-2+1))</f>
        <v/>
      </c>
      <c r="L42" s="24">
        <f>IF($O42="","",INDEX(_Helpers!$AK$2:$AK$151,$O42-2+1))</f>
        <v/>
      </c>
      <c r="M42" s="27" t="n"/>
      <c r="N42" s="2" t="n"/>
      <c r="O42" s="17">
        <f t="array" ref="O42">IFERROR(SMALL(IF(_Helpers!$F$2:$F$151=1,ROW(_Helpers!$F$2:$F$151)),ROWS($A$4:A42)),"")</f>
        <v/>
      </c>
    </row>
    <row r="43">
      <c r="A43" s="23">
        <f>IF($O43="","",INDEX(_Helpers!$A$2:$A$151,$O43-2+1))</f>
        <v/>
      </c>
      <c r="B43" s="23">
        <f>IF($O43="","",INDEX(_Helpers!$D$2:$D$151,$O43-2+1))</f>
        <v/>
      </c>
      <c r="C43" s="24">
        <f>IF($O43="","",INDEX(_Helpers!$B$2:$B$151,$O43-2+1))</f>
        <v/>
      </c>
      <c r="D43" s="24">
        <f>IF($O43="","",INDEX(_Helpers!$C$2:$C$151,$O43-2+1))</f>
        <v/>
      </c>
      <c r="E43" s="24">
        <f>IF($O43="","",INDEX(_Helpers!$L$2:$L$151,$O43-2+1))</f>
        <v/>
      </c>
      <c r="F43" s="25">
        <f>IF($O43="","",INDEX(_Helpers!$M$2:$M$151,$O43-2+1))</f>
        <v/>
      </c>
      <c r="G43" s="26">
        <f>IF($O43="","",IF(INDEX(_Helpers!$G$2:$G$151,$O43-2+1)=1,"Starter",""))</f>
        <v/>
      </c>
      <c r="H43" s="26">
        <f>IF($O43="","",IF(INDEX(_Helpers!$H$2:$H$151,$O43-2+1)=1,"Leaver",""))</f>
        <v/>
      </c>
      <c r="I43" s="26">
        <f>IF($O43="","",INDEX(_Helpers!$P$2:$P$151,$O43-2+1))</f>
        <v/>
      </c>
      <c r="J43" s="25">
        <f>IF($O43="","",INDEX(_Helpers!$V$2:$V$151,$O43-2+1))</f>
        <v/>
      </c>
      <c r="K43" s="26">
        <f>IF($O43="","",INDEX(_Helpers!$AJ$2:$AJ$151,$O43-2+1))</f>
        <v/>
      </c>
      <c r="L43" s="24">
        <f>IF($O43="","",INDEX(_Helpers!$AK$2:$AK$151,$O43-2+1))</f>
        <v/>
      </c>
      <c r="M43" s="27" t="n"/>
      <c r="N43" s="2" t="n"/>
      <c r="O43" s="17">
        <f t="array" ref="O43">IFERROR(SMALL(IF(_Helpers!$F$2:$F$151=1,ROW(_Helpers!$F$2:$F$151)),ROWS($A$4:A43)),"")</f>
        <v/>
      </c>
    </row>
    <row r="44">
      <c r="A44" s="23">
        <f>IF($O44="","",INDEX(_Helpers!$A$2:$A$151,$O44-2+1))</f>
        <v/>
      </c>
      <c r="B44" s="23">
        <f>IF($O44="","",INDEX(_Helpers!$D$2:$D$151,$O44-2+1))</f>
        <v/>
      </c>
      <c r="C44" s="24">
        <f>IF($O44="","",INDEX(_Helpers!$B$2:$B$151,$O44-2+1))</f>
        <v/>
      </c>
      <c r="D44" s="24">
        <f>IF($O44="","",INDEX(_Helpers!$C$2:$C$151,$O44-2+1))</f>
        <v/>
      </c>
      <c r="E44" s="24">
        <f>IF($O44="","",INDEX(_Helpers!$L$2:$L$151,$O44-2+1))</f>
        <v/>
      </c>
      <c r="F44" s="25">
        <f>IF($O44="","",INDEX(_Helpers!$M$2:$M$151,$O44-2+1))</f>
        <v/>
      </c>
      <c r="G44" s="26">
        <f>IF($O44="","",IF(INDEX(_Helpers!$G$2:$G$151,$O44-2+1)=1,"Starter",""))</f>
        <v/>
      </c>
      <c r="H44" s="26">
        <f>IF($O44="","",IF(INDEX(_Helpers!$H$2:$H$151,$O44-2+1)=1,"Leaver",""))</f>
        <v/>
      </c>
      <c r="I44" s="26">
        <f>IF($O44="","",INDEX(_Helpers!$P$2:$P$151,$O44-2+1))</f>
        <v/>
      </c>
      <c r="J44" s="25">
        <f>IF($O44="","",INDEX(_Helpers!$V$2:$V$151,$O44-2+1))</f>
        <v/>
      </c>
      <c r="K44" s="26">
        <f>IF($O44="","",INDEX(_Helpers!$AJ$2:$AJ$151,$O44-2+1))</f>
        <v/>
      </c>
      <c r="L44" s="24">
        <f>IF($O44="","",INDEX(_Helpers!$AK$2:$AK$151,$O44-2+1))</f>
        <v/>
      </c>
      <c r="M44" s="27" t="n"/>
      <c r="N44" s="2" t="n"/>
      <c r="O44" s="17">
        <f t="array" ref="O44">IFERROR(SMALL(IF(_Helpers!$F$2:$F$151=1,ROW(_Helpers!$F$2:$F$151)),ROWS($A$4:A44)),"")</f>
        <v/>
      </c>
    </row>
    <row r="45">
      <c r="A45" s="23">
        <f>IF($O45="","",INDEX(_Helpers!$A$2:$A$151,$O45-2+1))</f>
        <v/>
      </c>
      <c r="B45" s="23">
        <f>IF($O45="","",INDEX(_Helpers!$D$2:$D$151,$O45-2+1))</f>
        <v/>
      </c>
      <c r="C45" s="24">
        <f>IF($O45="","",INDEX(_Helpers!$B$2:$B$151,$O45-2+1))</f>
        <v/>
      </c>
      <c r="D45" s="24">
        <f>IF($O45="","",INDEX(_Helpers!$C$2:$C$151,$O45-2+1))</f>
        <v/>
      </c>
      <c r="E45" s="24">
        <f>IF($O45="","",INDEX(_Helpers!$L$2:$L$151,$O45-2+1))</f>
        <v/>
      </c>
      <c r="F45" s="25">
        <f>IF($O45="","",INDEX(_Helpers!$M$2:$M$151,$O45-2+1))</f>
        <v/>
      </c>
      <c r="G45" s="26">
        <f>IF($O45="","",IF(INDEX(_Helpers!$G$2:$G$151,$O45-2+1)=1,"Starter",""))</f>
        <v/>
      </c>
      <c r="H45" s="26">
        <f>IF($O45="","",IF(INDEX(_Helpers!$H$2:$H$151,$O45-2+1)=1,"Leaver",""))</f>
        <v/>
      </c>
      <c r="I45" s="26">
        <f>IF($O45="","",INDEX(_Helpers!$P$2:$P$151,$O45-2+1))</f>
        <v/>
      </c>
      <c r="J45" s="25">
        <f>IF($O45="","",INDEX(_Helpers!$V$2:$V$151,$O45-2+1))</f>
        <v/>
      </c>
      <c r="K45" s="26">
        <f>IF($O45="","",INDEX(_Helpers!$AJ$2:$AJ$151,$O45-2+1))</f>
        <v/>
      </c>
      <c r="L45" s="24">
        <f>IF($O45="","",INDEX(_Helpers!$AK$2:$AK$151,$O45-2+1))</f>
        <v/>
      </c>
      <c r="M45" s="27" t="n"/>
      <c r="N45" s="2" t="n"/>
      <c r="O45" s="17">
        <f t="array" ref="O45">IFERROR(SMALL(IF(_Helpers!$F$2:$F$151=1,ROW(_Helpers!$F$2:$F$151)),ROWS($A$4:A45)),"")</f>
        <v/>
      </c>
    </row>
    <row r="46">
      <c r="A46" s="23">
        <f>IF($O46="","",INDEX(_Helpers!$A$2:$A$151,$O46-2+1))</f>
        <v/>
      </c>
      <c r="B46" s="23">
        <f>IF($O46="","",INDEX(_Helpers!$D$2:$D$151,$O46-2+1))</f>
        <v/>
      </c>
      <c r="C46" s="24">
        <f>IF($O46="","",INDEX(_Helpers!$B$2:$B$151,$O46-2+1))</f>
        <v/>
      </c>
      <c r="D46" s="24">
        <f>IF($O46="","",INDEX(_Helpers!$C$2:$C$151,$O46-2+1))</f>
        <v/>
      </c>
      <c r="E46" s="24">
        <f>IF($O46="","",INDEX(_Helpers!$L$2:$L$151,$O46-2+1))</f>
        <v/>
      </c>
      <c r="F46" s="25">
        <f>IF($O46="","",INDEX(_Helpers!$M$2:$M$151,$O46-2+1))</f>
        <v/>
      </c>
      <c r="G46" s="26">
        <f>IF($O46="","",IF(INDEX(_Helpers!$G$2:$G$151,$O46-2+1)=1,"Starter",""))</f>
        <v/>
      </c>
      <c r="H46" s="26">
        <f>IF($O46="","",IF(INDEX(_Helpers!$H$2:$H$151,$O46-2+1)=1,"Leaver",""))</f>
        <v/>
      </c>
      <c r="I46" s="26">
        <f>IF($O46="","",INDEX(_Helpers!$P$2:$P$151,$O46-2+1))</f>
        <v/>
      </c>
      <c r="J46" s="25">
        <f>IF($O46="","",INDEX(_Helpers!$V$2:$V$151,$O46-2+1))</f>
        <v/>
      </c>
      <c r="K46" s="26">
        <f>IF($O46="","",INDEX(_Helpers!$AJ$2:$AJ$151,$O46-2+1))</f>
        <v/>
      </c>
      <c r="L46" s="24">
        <f>IF($O46="","",INDEX(_Helpers!$AK$2:$AK$151,$O46-2+1))</f>
        <v/>
      </c>
      <c r="M46" s="27" t="n"/>
      <c r="N46" s="2" t="n"/>
      <c r="O46" s="17">
        <f t="array" ref="O46">IFERROR(SMALL(IF(_Helpers!$F$2:$F$151=1,ROW(_Helpers!$F$2:$F$151)),ROWS($A$4:A46)),"")</f>
        <v/>
      </c>
    </row>
    <row r="47">
      <c r="A47" s="23">
        <f>IF($O47="","",INDEX(_Helpers!$A$2:$A$151,$O47-2+1))</f>
        <v/>
      </c>
      <c r="B47" s="23">
        <f>IF($O47="","",INDEX(_Helpers!$D$2:$D$151,$O47-2+1))</f>
        <v/>
      </c>
      <c r="C47" s="24">
        <f>IF($O47="","",INDEX(_Helpers!$B$2:$B$151,$O47-2+1))</f>
        <v/>
      </c>
      <c r="D47" s="24">
        <f>IF($O47="","",INDEX(_Helpers!$C$2:$C$151,$O47-2+1))</f>
        <v/>
      </c>
      <c r="E47" s="24">
        <f>IF($O47="","",INDEX(_Helpers!$L$2:$L$151,$O47-2+1))</f>
        <v/>
      </c>
      <c r="F47" s="25">
        <f>IF($O47="","",INDEX(_Helpers!$M$2:$M$151,$O47-2+1))</f>
        <v/>
      </c>
      <c r="G47" s="26">
        <f>IF($O47="","",IF(INDEX(_Helpers!$G$2:$G$151,$O47-2+1)=1,"Starter",""))</f>
        <v/>
      </c>
      <c r="H47" s="26">
        <f>IF($O47="","",IF(INDEX(_Helpers!$H$2:$H$151,$O47-2+1)=1,"Leaver",""))</f>
        <v/>
      </c>
      <c r="I47" s="26">
        <f>IF($O47="","",INDEX(_Helpers!$P$2:$P$151,$O47-2+1))</f>
        <v/>
      </c>
      <c r="J47" s="25">
        <f>IF($O47="","",INDEX(_Helpers!$V$2:$V$151,$O47-2+1))</f>
        <v/>
      </c>
      <c r="K47" s="26">
        <f>IF($O47="","",INDEX(_Helpers!$AJ$2:$AJ$151,$O47-2+1))</f>
        <v/>
      </c>
      <c r="L47" s="24">
        <f>IF($O47="","",INDEX(_Helpers!$AK$2:$AK$151,$O47-2+1))</f>
        <v/>
      </c>
      <c r="M47" s="27" t="n"/>
      <c r="N47" s="2" t="n"/>
      <c r="O47" s="17">
        <f t="array" ref="O47">IFERROR(SMALL(IF(_Helpers!$F$2:$F$151=1,ROW(_Helpers!$F$2:$F$151)),ROWS($A$4:A47)),"")</f>
        <v/>
      </c>
    </row>
    <row r="48">
      <c r="A48" s="23">
        <f>IF($O48="","",INDEX(_Helpers!$A$2:$A$151,$O48-2+1))</f>
        <v/>
      </c>
      <c r="B48" s="23">
        <f>IF($O48="","",INDEX(_Helpers!$D$2:$D$151,$O48-2+1))</f>
        <v/>
      </c>
      <c r="C48" s="24">
        <f>IF($O48="","",INDEX(_Helpers!$B$2:$B$151,$O48-2+1))</f>
        <v/>
      </c>
      <c r="D48" s="24">
        <f>IF($O48="","",INDEX(_Helpers!$C$2:$C$151,$O48-2+1))</f>
        <v/>
      </c>
      <c r="E48" s="24">
        <f>IF($O48="","",INDEX(_Helpers!$L$2:$L$151,$O48-2+1))</f>
        <v/>
      </c>
      <c r="F48" s="25">
        <f>IF($O48="","",INDEX(_Helpers!$M$2:$M$151,$O48-2+1))</f>
        <v/>
      </c>
      <c r="G48" s="26">
        <f>IF($O48="","",IF(INDEX(_Helpers!$G$2:$G$151,$O48-2+1)=1,"Starter",""))</f>
        <v/>
      </c>
      <c r="H48" s="26">
        <f>IF($O48="","",IF(INDEX(_Helpers!$H$2:$H$151,$O48-2+1)=1,"Leaver",""))</f>
        <v/>
      </c>
      <c r="I48" s="26">
        <f>IF($O48="","",INDEX(_Helpers!$P$2:$P$151,$O48-2+1))</f>
        <v/>
      </c>
      <c r="J48" s="25">
        <f>IF($O48="","",INDEX(_Helpers!$V$2:$V$151,$O48-2+1))</f>
        <v/>
      </c>
      <c r="K48" s="26">
        <f>IF($O48="","",INDEX(_Helpers!$AJ$2:$AJ$151,$O48-2+1))</f>
        <v/>
      </c>
      <c r="L48" s="24">
        <f>IF($O48="","",INDEX(_Helpers!$AK$2:$AK$151,$O48-2+1))</f>
        <v/>
      </c>
      <c r="M48" s="27" t="n"/>
      <c r="N48" s="2" t="n"/>
      <c r="O48" s="17">
        <f t="array" ref="O48">IFERROR(SMALL(IF(_Helpers!$F$2:$F$151=1,ROW(_Helpers!$F$2:$F$151)),ROWS($A$4:A48)),"")</f>
        <v/>
      </c>
    </row>
    <row r="49">
      <c r="A49" s="23">
        <f>IF($O49="","",INDEX(_Helpers!$A$2:$A$151,$O49-2+1))</f>
        <v/>
      </c>
      <c r="B49" s="23">
        <f>IF($O49="","",INDEX(_Helpers!$D$2:$D$151,$O49-2+1))</f>
        <v/>
      </c>
      <c r="C49" s="24">
        <f>IF($O49="","",INDEX(_Helpers!$B$2:$B$151,$O49-2+1))</f>
        <v/>
      </c>
      <c r="D49" s="24">
        <f>IF($O49="","",INDEX(_Helpers!$C$2:$C$151,$O49-2+1))</f>
        <v/>
      </c>
      <c r="E49" s="24">
        <f>IF($O49="","",INDEX(_Helpers!$L$2:$L$151,$O49-2+1))</f>
        <v/>
      </c>
      <c r="F49" s="25">
        <f>IF($O49="","",INDEX(_Helpers!$M$2:$M$151,$O49-2+1))</f>
        <v/>
      </c>
      <c r="G49" s="26">
        <f>IF($O49="","",IF(INDEX(_Helpers!$G$2:$G$151,$O49-2+1)=1,"Starter",""))</f>
        <v/>
      </c>
      <c r="H49" s="26">
        <f>IF($O49="","",IF(INDEX(_Helpers!$H$2:$H$151,$O49-2+1)=1,"Leaver",""))</f>
        <v/>
      </c>
      <c r="I49" s="26">
        <f>IF($O49="","",INDEX(_Helpers!$P$2:$P$151,$O49-2+1))</f>
        <v/>
      </c>
      <c r="J49" s="25">
        <f>IF($O49="","",INDEX(_Helpers!$V$2:$V$151,$O49-2+1))</f>
        <v/>
      </c>
      <c r="K49" s="26">
        <f>IF($O49="","",INDEX(_Helpers!$AJ$2:$AJ$151,$O49-2+1))</f>
        <v/>
      </c>
      <c r="L49" s="24">
        <f>IF($O49="","",INDEX(_Helpers!$AK$2:$AK$151,$O49-2+1))</f>
        <v/>
      </c>
      <c r="M49" s="27" t="n"/>
      <c r="N49" s="2" t="n"/>
      <c r="O49" s="17">
        <f t="array" ref="O49">IFERROR(SMALL(IF(_Helpers!$F$2:$F$151=1,ROW(_Helpers!$F$2:$F$151)),ROWS($A$4:A49)),"")</f>
        <v/>
      </c>
    </row>
    <row r="50">
      <c r="A50" s="23">
        <f>IF($O50="","",INDEX(_Helpers!$A$2:$A$151,$O50-2+1))</f>
        <v/>
      </c>
      <c r="B50" s="23">
        <f>IF($O50="","",INDEX(_Helpers!$D$2:$D$151,$O50-2+1))</f>
        <v/>
      </c>
      <c r="C50" s="24">
        <f>IF($O50="","",INDEX(_Helpers!$B$2:$B$151,$O50-2+1))</f>
        <v/>
      </c>
      <c r="D50" s="24">
        <f>IF($O50="","",INDEX(_Helpers!$C$2:$C$151,$O50-2+1))</f>
        <v/>
      </c>
      <c r="E50" s="24">
        <f>IF($O50="","",INDEX(_Helpers!$L$2:$L$151,$O50-2+1))</f>
        <v/>
      </c>
      <c r="F50" s="25">
        <f>IF($O50="","",INDEX(_Helpers!$M$2:$M$151,$O50-2+1))</f>
        <v/>
      </c>
      <c r="G50" s="26">
        <f>IF($O50="","",IF(INDEX(_Helpers!$G$2:$G$151,$O50-2+1)=1,"Starter",""))</f>
        <v/>
      </c>
      <c r="H50" s="26">
        <f>IF($O50="","",IF(INDEX(_Helpers!$H$2:$H$151,$O50-2+1)=1,"Leaver",""))</f>
        <v/>
      </c>
      <c r="I50" s="26">
        <f>IF($O50="","",INDEX(_Helpers!$P$2:$P$151,$O50-2+1))</f>
        <v/>
      </c>
      <c r="J50" s="25">
        <f>IF($O50="","",INDEX(_Helpers!$V$2:$V$151,$O50-2+1))</f>
        <v/>
      </c>
      <c r="K50" s="26">
        <f>IF($O50="","",INDEX(_Helpers!$AJ$2:$AJ$151,$O50-2+1))</f>
        <v/>
      </c>
      <c r="L50" s="24">
        <f>IF($O50="","",INDEX(_Helpers!$AK$2:$AK$151,$O50-2+1))</f>
        <v/>
      </c>
      <c r="M50" s="27" t="n"/>
      <c r="N50" s="2" t="n"/>
      <c r="O50" s="17">
        <f t="array" ref="O50">IFERROR(SMALL(IF(_Helpers!$F$2:$F$151=1,ROW(_Helpers!$F$2:$F$151)),ROWS($A$4:A50)),"")</f>
        <v/>
      </c>
    </row>
    <row r="51">
      <c r="A51" s="23">
        <f>IF($O51="","",INDEX(_Helpers!$A$2:$A$151,$O51-2+1))</f>
        <v/>
      </c>
      <c r="B51" s="23">
        <f>IF($O51="","",INDEX(_Helpers!$D$2:$D$151,$O51-2+1))</f>
        <v/>
      </c>
      <c r="C51" s="24">
        <f>IF($O51="","",INDEX(_Helpers!$B$2:$B$151,$O51-2+1))</f>
        <v/>
      </c>
      <c r="D51" s="24">
        <f>IF($O51="","",INDEX(_Helpers!$C$2:$C$151,$O51-2+1))</f>
        <v/>
      </c>
      <c r="E51" s="24">
        <f>IF($O51="","",INDEX(_Helpers!$L$2:$L$151,$O51-2+1))</f>
        <v/>
      </c>
      <c r="F51" s="25">
        <f>IF($O51="","",INDEX(_Helpers!$M$2:$M$151,$O51-2+1))</f>
        <v/>
      </c>
      <c r="G51" s="26">
        <f>IF($O51="","",IF(INDEX(_Helpers!$G$2:$G$151,$O51-2+1)=1,"Starter",""))</f>
        <v/>
      </c>
      <c r="H51" s="26">
        <f>IF($O51="","",IF(INDEX(_Helpers!$H$2:$H$151,$O51-2+1)=1,"Leaver",""))</f>
        <v/>
      </c>
      <c r="I51" s="26">
        <f>IF($O51="","",INDEX(_Helpers!$P$2:$P$151,$O51-2+1))</f>
        <v/>
      </c>
      <c r="J51" s="25">
        <f>IF($O51="","",INDEX(_Helpers!$V$2:$V$151,$O51-2+1))</f>
        <v/>
      </c>
      <c r="K51" s="26">
        <f>IF($O51="","",INDEX(_Helpers!$AJ$2:$AJ$151,$O51-2+1))</f>
        <v/>
      </c>
      <c r="L51" s="24">
        <f>IF($O51="","",INDEX(_Helpers!$AK$2:$AK$151,$O51-2+1))</f>
        <v/>
      </c>
      <c r="M51" s="27" t="n"/>
      <c r="N51" s="2" t="n"/>
      <c r="O51" s="17">
        <f t="array" ref="O51">IFERROR(SMALL(IF(_Helpers!$F$2:$F$151=1,ROW(_Helpers!$F$2:$F$151)),ROWS($A$4:A51)),"")</f>
        <v/>
      </c>
    </row>
    <row r="52">
      <c r="A52" s="23">
        <f>IF($O52="","",INDEX(_Helpers!$A$2:$A$151,$O52-2+1))</f>
        <v/>
      </c>
      <c r="B52" s="23">
        <f>IF($O52="","",INDEX(_Helpers!$D$2:$D$151,$O52-2+1))</f>
        <v/>
      </c>
      <c r="C52" s="24">
        <f>IF($O52="","",INDEX(_Helpers!$B$2:$B$151,$O52-2+1))</f>
        <v/>
      </c>
      <c r="D52" s="24">
        <f>IF($O52="","",INDEX(_Helpers!$C$2:$C$151,$O52-2+1))</f>
        <v/>
      </c>
      <c r="E52" s="24">
        <f>IF($O52="","",INDEX(_Helpers!$L$2:$L$151,$O52-2+1))</f>
        <v/>
      </c>
      <c r="F52" s="25">
        <f>IF($O52="","",INDEX(_Helpers!$M$2:$M$151,$O52-2+1))</f>
        <v/>
      </c>
      <c r="G52" s="26">
        <f>IF($O52="","",IF(INDEX(_Helpers!$G$2:$G$151,$O52-2+1)=1,"Starter",""))</f>
        <v/>
      </c>
      <c r="H52" s="26">
        <f>IF($O52="","",IF(INDEX(_Helpers!$H$2:$H$151,$O52-2+1)=1,"Leaver",""))</f>
        <v/>
      </c>
      <c r="I52" s="26">
        <f>IF($O52="","",INDEX(_Helpers!$P$2:$P$151,$O52-2+1))</f>
        <v/>
      </c>
      <c r="J52" s="25">
        <f>IF($O52="","",INDEX(_Helpers!$V$2:$V$151,$O52-2+1))</f>
        <v/>
      </c>
      <c r="K52" s="26">
        <f>IF($O52="","",INDEX(_Helpers!$AJ$2:$AJ$151,$O52-2+1))</f>
        <v/>
      </c>
      <c r="L52" s="24">
        <f>IF($O52="","",INDEX(_Helpers!$AK$2:$AK$151,$O52-2+1))</f>
        <v/>
      </c>
      <c r="M52" s="27" t="n"/>
      <c r="N52" s="2" t="n"/>
      <c r="O52" s="17">
        <f t="array" ref="O52">IFERROR(SMALL(IF(_Helpers!$F$2:$F$151=1,ROW(_Helpers!$F$2:$F$151)),ROWS($A$4:A52)),"")</f>
        <v/>
      </c>
    </row>
    <row r="53">
      <c r="A53" s="23">
        <f>IF($O53="","",INDEX(_Helpers!$A$2:$A$151,$O53-2+1))</f>
        <v/>
      </c>
      <c r="B53" s="23">
        <f>IF($O53="","",INDEX(_Helpers!$D$2:$D$151,$O53-2+1))</f>
        <v/>
      </c>
      <c r="C53" s="24">
        <f>IF($O53="","",INDEX(_Helpers!$B$2:$B$151,$O53-2+1))</f>
        <v/>
      </c>
      <c r="D53" s="24">
        <f>IF($O53="","",INDEX(_Helpers!$C$2:$C$151,$O53-2+1))</f>
        <v/>
      </c>
      <c r="E53" s="24">
        <f>IF($O53="","",INDEX(_Helpers!$L$2:$L$151,$O53-2+1))</f>
        <v/>
      </c>
      <c r="F53" s="25">
        <f>IF($O53="","",INDEX(_Helpers!$M$2:$M$151,$O53-2+1))</f>
        <v/>
      </c>
      <c r="G53" s="26">
        <f>IF($O53="","",IF(INDEX(_Helpers!$G$2:$G$151,$O53-2+1)=1,"Starter",""))</f>
        <v/>
      </c>
      <c r="H53" s="26">
        <f>IF($O53="","",IF(INDEX(_Helpers!$H$2:$H$151,$O53-2+1)=1,"Leaver",""))</f>
        <v/>
      </c>
      <c r="I53" s="26">
        <f>IF($O53="","",INDEX(_Helpers!$P$2:$P$151,$O53-2+1))</f>
        <v/>
      </c>
      <c r="J53" s="25">
        <f>IF($O53="","",INDEX(_Helpers!$V$2:$V$151,$O53-2+1))</f>
        <v/>
      </c>
      <c r="K53" s="26">
        <f>IF($O53="","",INDEX(_Helpers!$AJ$2:$AJ$151,$O53-2+1))</f>
        <v/>
      </c>
      <c r="L53" s="24">
        <f>IF($O53="","",INDEX(_Helpers!$AK$2:$AK$151,$O53-2+1))</f>
        <v/>
      </c>
      <c r="M53" s="27" t="n"/>
      <c r="N53" s="2" t="n"/>
      <c r="O53" s="17">
        <f t="array" ref="O53">IFERROR(SMALL(IF(_Helpers!$F$2:$F$151=1,ROW(_Helpers!$F$2:$F$151)),ROWS($A$4:A53)),"")</f>
        <v/>
      </c>
    </row>
    <row r="54">
      <c r="A54" s="23">
        <f>IF($O54="","",INDEX(_Helpers!$A$2:$A$151,$O54-2+1))</f>
        <v/>
      </c>
      <c r="B54" s="23">
        <f>IF($O54="","",INDEX(_Helpers!$D$2:$D$151,$O54-2+1))</f>
        <v/>
      </c>
      <c r="C54" s="24">
        <f>IF($O54="","",INDEX(_Helpers!$B$2:$B$151,$O54-2+1))</f>
        <v/>
      </c>
      <c r="D54" s="24">
        <f>IF($O54="","",INDEX(_Helpers!$C$2:$C$151,$O54-2+1))</f>
        <v/>
      </c>
      <c r="E54" s="24">
        <f>IF($O54="","",INDEX(_Helpers!$L$2:$L$151,$O54-2+1))</f>
        <v/>
      </c>
      <c r="F54" s="25">
        <f>IF($O54="","",INDEX(_Helpers!$M$2:$M$151,$O54-2+1))</f>
        <v/>
      </c>
      <c r="G54" s="26">
        <f>IF($O54="","",IF(INDEX(_Helpers!$G$2:$G$151,$O54-2+1)=1,"Starter",""))</f>
        <v/>
      </c>
      <c r="H54" s="26">
        <f>IF($O54="","",IF(INDEX(_Helpers!$H$2:$H$151,$O54-2+1)=1,"Leaver",""))</f>
        <v/>
      </c>
      <c r="I54" s="26">
        <f>IF($O54="","",INDEX(_Helpers!$P$2:$P$151,$O54-2+1))</f>
        <v/>
      </c>
      <c r="J54" s="25">
        <f>IF($O54="","",INDEX(_Helpers!$V$2:$V$151,$O54-2+1))</f>
        <v/>
      </c>
      <c r="K54" s="26">
        <f>IF($O54="","",INDEX(_Helpers!$AJ$2:$AJ$151,$O54-2+1))</f>
        <v/>
      </c>
      <c r="L54" s="24">
        <f>IF($O54="","",INDEX(_Helpers!$AK$2:$AK$151,$O54-2+1))</f>
        <v/>
      </c>
      <c r="M54" s="27" t="n"/>
      <c r="N54" s="2" t="n"/>
      <c r="O54" s="17">
        <f t="array" ref="O54">IFERROR(SMALL(IF(_Helpers!$F$2:$F$151=1,ROW(_Helpers!$F$2:$F$151)),ROWS($A$4:A54)),"")</f>
        <v/>
      </c>
    </row>
    <row r="55">
      <c r="A55" s="23">
        <f>IF($O55="","",INDEX(_Helpers!$A$2:$A$151,$O55-2+1))</f>
        <v/>
      </c>
      <c r="B55" s="23">
        <f>IF($O55="","",INDEX(_Helpers!$D$2:$D$151,$O55-2+1))</f>
        <v/>
      </c>
      <c r="C55" s="24">
        <f>IF($O55="","",INDEX(_Helpers!$B$2:$B$151,$O55-2+1))</f>
        <v/>
      </c>
      <c r="D55" s="24">
        <f>IF($O55="","",INDEX(_Helpers!$C$2:$C$151,$O55-2+1))</f>
        <v/>
      </c>
      <c r="E55" s="24">
        <f>IF($O55="","",INDEX(_Helpers!$L$2:$L$151,$O55-2+1))</f>
        <v/>
      </c>
      <c r="F55" s="25">
        <f>IF($O55="","",INDEX(_Helpers!$M$2:$M$151,$O55-2+1))</f>
        <v/>
      </c>
      <c r="G55" s="26">
        <f>IF($O55="","",IF(INDEX(_Helpers!$G$2:$G$151,$O55-2+1)=1,"Starter",""))</f>
        <v/>
      </c>
      <c r="H55" s="26">
        <f>IF($O55="","",IF(INDEX(_Helpers!$H$2:$H$151,$O55-2+1)=1,"Leaver",""))</f>
        <v/>
      </c>
      <c r="I55" s="26">
        <f>IF($O55="","",INDEX(_Helpers!$P$2:$P$151,$O55-2+1))</f>
        <v/>
      </c>
      <c r="J55" s="25">
        <f>IF($O55="","",INDEX(_Helpers!$V$2:$V$151,$O55-2+1))</f>
        <v/>
      </c>
      <c r="K55" s="26">
        <f>IF($O55="","",INDEX(_Helpers!$AJ$2:$AJ$151,$O55-2+1))</f>
        <v/>
      </c>
      <c r="L55" s="24">
        <f>IF($O55="","",INDEX(_Helpers!$AK$2:$AK$151,$O55-2+1))</f>
        <v/>
      </c>
      <c r="M55" s="27" t="n"/>
      <c r="N55" s="2" t="n"/>
      <c r="O55" s="17">
        <f t="array" ref="O55">IFERROR(SMALL(IF(_Helpers!$F$2:$F$151=1,ROW(_Helpers!$F$2:$F$151)),ROWS($A$4:A55)),"")</f>
        <v/>
      </c>
    </row>
    <row r="56">
      <c r="A56" s="23">
        <f>IF($O56="","",INDEX(_Helpers!$A$2:$A$151,$O56-2+1))</f>
        <v/>
      </c>
      <c r="B56" s="23">
        <f>IF($O56="","",INDEX(_Helpers!$D$2:$D$151,$O56-2+1))</f>
        <v/>
      </c>
      <c r="C56" s="24">
        <f>IF($O56="","",INDEX(_Helpers!$B$2:$B$151,$O56-2+1))</f>
        <v/>
      </c>
      <c r="D56" s="24">
        <f>IF($O56="","",INDEX(_Helpers!$C$2:$C$151,$O56-2+1))</f>
        <v/>
      </c>
      <c r="E56" s="24">
        <f>IF($O56="","",INDEX(_Helpers!$L$2:$L$151,$O56-2+1))</f>
        <v/>
      </c>
      <c r="F56" s="25">
        <f>IF($O56="","",INDEX(_Helpers!$M$2:$M$151,$O56-2+1))</f>
        <v/>
      </c>
      <c r="G56" s="26">
        <f>IF($O56="","",IF(INDEX(_Helpers!$G$2:$G$151,$O56-2+1)=1,"Starter",""))</f>
        <v/>
      </c>
      <c r="H56" s="26">
        <f>IF($O56="","",IF(INDEX(_Helpers!$H$2:$H$151,$O56-2+1)=1,"Leaver",""))</f>
        <v/>
      </c>
      <c r="I56" s="26">
        <f>IF($O56="","",INDEX(_Helpers!$P$2:$P$151,$O56-2+1))</f>
        <v/>
      </c>
      <c r="J56" s="25">
        <f>IF($O56="","",INDEX(_Helpers!$V$2:$V$151,$O56-2+1))</f>
        <v/>
      </c>
      <c r="K56" s="26">
        <f>IF($O56="","",INDEX(_Helpers!$AJ$2:$AJ$151,$O56-2+1))</f>
        <v/>
      </c>
      <c r="L56" s="24">
        <f>IF($O56="","",INDEX(_Helpers!$AK$2:$AK$151,$O56-2+1))</f>
        <v/>
      </c>
      <c r="M56" s="27" t="n"/>
      <c r="N56" s="2" t="n"/>
      <c r="O56" s="17">
        <f t="array" ref="O56">IFERROR(SMALL(IF(_Helpers!$F$2:$F$151=1,ROW(_Helpers!$F$2:$F$151)),ROWS($A$4:A56)),"")</f>
        <v/>
      </c>
    </row>
    <row r="57">
      <c r="A57" s="23">
        <f>IF($O57="","",INDEX(_Helpers!$A$2:$A$151,$O57-2+1))</f>
        <v/>
      </c>
      <c r="B57" s="23">
        <f>IF($O57="","",INDEX(_Helpers!$D$2:$D$151,$O57-2+1))</f>
        <v/>
      </c>
      <c r="C57" s="24">
        <f>IF($O57="","",INDEX(_Helpers!$B$2:$B$151,$O57-2+1))</f>
        <v/>
      </c>
      <c r="D57" s="24">
        <f>IF($O57="","",INDEX(_Helpers!$C$2:$C$151,$O57-2+1))</f>
        <v/>
      </c>
      <c r="E57" s="24">
        <f>IF($O57="","",INDEX(_Helpers!$L$2:$L$151,$O57-2+1))</f>
        <v/>
      </c>
      <c r="F57" s="25">
        <f>IF($O57="","",INDEX(_Helpers!$M$2:$M$151,$O57-2+1))</f>
        <v/>
      </c>
      <c r="G57" s="26">
        <f>IF($O57="","",IF(INDEX(_Helpers!$G$2:$G$151,$O57-2+1)=1,"Starter",""))</f>
        <v/>
      </c>
      <c r="H57" s="26">
        <f>IF($O57="","",IF(INDEX(_Helpers!$H$2:$H$151,$O57-2+1)=1,"Leaver",""))</f>
        <v/>
      </c>
      <c r="I57" s="26">
        <f>IF($O57="","",INDEX(_Helpers!$P$2:$P$151,$O57-2+1))</f>
        <v/>
      </c>
      <c r="J57" s="25">
        <f>IF($O57="","",INDEX(_Helpers!$V$2:$V$151,$O57-2+1))</f>
        <v/>
      </c>
      <c r="K57" s="26">
        <f>IF($O57="","",INDEX(_Helpers!$AJ$2:$AJ$151,$O57-2+1))</f>
        <v/>
      </c>
      <c r="L57" s="24">
        <f>IF($O57="","",INDEX(_Helpers!$AK$2:$AK$151,$O57-2+1))</f>
        <v/>
      </c>
      <c r="M57" s="27" t="n"/>
      <c r="N57" s="2" t="n"/>
      <c r="O57" s="17">
        <f t="array" ref="O57">IFERROR(SMALL(IF(_Helpers!$F$2:$F$151=1,ROW(_Helpers!$F$2:$F$151)),ROWS($A$4:A57)),"")</f>
        <v/>
      </c>
    </row>
    <row r="58">
      <c r="A58" s="23">
        <f>IF($O58="","",INDEX(_Helpers!$A$2:$A$151,$O58-2+1))</f>
        <v/>
      </c>
      <c r="B58" s="23">
        <f>IF($O58="","",INDEX(_Helpers!$D$2:$D$151,$O58-2+1))</f>
        <v/>
      </c>
      <c r="C58" s="24">
        <f>IF($O58="","",INDEX(_Helpers!$B$2:$B$151,$O58-2+1))</f>
        <v/>
      </c>
      <c r="D58" s="24">
        <f>IF($O58="","",INDEX(_Helpers!$C$2:$C$151,$O58-2+1))</f>
        <v/>
      </c>
      <c r="E58" s="24">
        <f>IF($O58="","",INDEX(_Helpers!$L$2:$L$151,$O58-2+1))</f>
        <v/>
      </c>
      <c r="F58" s="25">
        <f>IF($O58="","",INDEX(_Helpers!$M$2:$M$151,$O58-2+1))</f>
        <v/>
      </c>
      <c r="G58" s="26">
        <f>IF($O58="","",IF(INDEX(_Helpers!$G$2:$G$151,$O58-2+1)=1,"Starter",""))</f>
        <v/>
      </c>
      <c r="H58" s="26">
        <f>IF($O58="","",IF(INDEX(_Helpers!$H$2:$H$151,$O58-2+1)=1,"Leaver",""))</f>
        <v/>
      </c>
      <c r="I58" s="26">
        <f>IF($O58="","",INDEX(_Helpers!$P$2:$P$151,$O58-2+1))</f>
        <v/>
      </c>
      <c r="J58" s="25">
        <f>IF($O58="","",INDEX(_Helpers!$V$2:$V$151,$O58-2+1))</f>
        <v/>
      </c>
      <c r="K58" s="26">
        <f>IF($O58="","",INDEX(_Helpers!$AJ$2:$AJ$151,$O58-2+1))</f>
        <v/>
      </c>
      <c r="L58" s="24">
        <f>IF($O58="","",INDEX(_Helpers!$AK$2:$AK$151,$O58-2+1))</f>
        <v/>
      </c>
      <c r="M58" s="27" t="n"/>
      <c r="N58" s="2" t="n"/>
      <c r="O58" s="17">
        <f t="array" ref="O58">IFERROR(SMALL(IF(_Helpers!$F$2:$F$151=1,ROW(_Helpers!$F$2:$F$151)),ROWS($A$4:A58)),"")</f>
        <v/>
      </c>
    </row>
    <row r="59">
      <c r="A59" s="23">
        <f>IF($O59="","",INDEX(_Helpers!$A$2:$A$151,$O59-2+1))</f>
        <v/>
      </c>
      <c r="B59" s="23">
        <f>IF($O59="","",INDEX(_Helpers!$D$2:$D$151,$O59-2+1))</f>
        <v/>
      </c>
      <c r="C59" s="24">
        <f>IF($O59="","",INDEX(_Helpers!$B$2:$B$151,$O59-2+1))</f>
        <v/>
      </c>
      <c r="D59" s="24">
        <f>IF($O59="","",INDEX(_Helpers!$C$2:$C$151,$O59-2+1))</f>
        <v/>
      </c>
      <c r="E59" s="24">
        <f>IF($O59="","",INDEX(_Helpers!$L$2:$L$151,$O59-2+1))</f>
        <v/>
      </c>
      <c r="F59" s="25">
        <f>IF($O59="","",INDEX(_Helpers!$M$2:$M$151,$O59-2+1))</f>
        <v/>
      </c>
      <c r="G59" s="26">
        <f>IF($O59="","",IF(INDEX(_Helpers!$G$2:$G$151,$O59-2+1)=1,"Starter",""))</f>
        <v/>
      </c>
      <c r="H59" s="26">
        <f>IF($O59="","",IF(INDEX(_Helpers!$H$2:$H$151,$O59-2+1)=1,"Leaver",""))</f>
        <v/>
      </c>
      <c r="I59" s="26">
        <f>IF($O59="","",INDEX(_Helpers!$P$2:$P$151,$O59-2+1))</f>
        <v/>
      </c>
      <c r="J59" s="25">
        <f>IF($O59="","",INDEX(_Helpers!$V$2:$V$151,$O59-2+1))</f>
        <v/>
      </c>
      <c r="K59" s="26">
        <f>IF($O59="","",INDEX(_Helpers!$AJ$2:$AJ$151,$O59-2+1))</f>
        <v/>
      </c>
      <c r="L59" s="24">
        <f>IF($O59="","",INDEX(_Helpers!$AK$2:$AK$151,$O59-2+1))</f>
        <v/>
      </c>
      <c r="M59" s="27" t="n"/>
      <c r="N59" s="2" t="n"/>
      <c r="O59" s="17">
        <f t="array" ref="O59">IFERROR(SMALL(IF(_Helpers!$F$2:$F$151=1,ROW(_Helpers!$F$2:$F$151)),ROWS($A$4:A59)),"")</f>
        <v/>
      </c>
    </row>
    <row r="60">
      <c r="A60" s="23">
        <f>IF($O60="","",INDEX(_Helpers!$A$2:$A$151,$O60-2+1))</f>
        <v/>
      </c>
      <c r="B60" s="23">
        <f>IF($O60="","",INDEX(_Helpers!$D$2:$D$151,$O60-2+1))</f>
        <v/>
      </c>
      <c r="C60" s="24">
        <f>IF($O60="","",INDEX(_Helpers!$B$2:$B$151,$O60-2+1))</f>
        <v/>
      </c>
      <c r="D60" s="24">
        <f>IF($O60="","",INDEX(_Helpers!$C$2:$C$151,$O60-2+1))</f>
        <v/>
      </c>
      <c r="E60" s="24">
        <f>IF($O60="","",INDEX(_Helpers!$L$2:$L$151,$O60-2+1))</f>
        <v/>
      </c>
      <c r="F60" s="25">
        <f>IF($O60="","",INDEX(_Helpers!$M$2:$M$151,$O60-2+1))</f>
        <v/>
      </c>
      <c r="G60" s="26">
        <f>IF($O60="","",IF(INDEX(_Helpers!$G$2:$G$151,$O60-2+1)=1,"Starter",""))</f>
        <v/>
      </c>
      <c r="H60" s="26">
        <f>IF($O60="","",IF(INDEX(_Helpers!$H$2:$H$151,$O60-2+1)=1,"Leaver",""))</f>
        <v/>
      </c>
      <c r="I60" s="26">
        <f>IF($O60="","",INDEX(_Helpers!$P$2:$P$151,$O60-2+1))</f>
        <v/>
      </c>
      <c r="J60" s="25">
        <f>IF($O60="","",INDEX(_Helpers!$V$2:$V$151,$O60-2+1))</f>
        <v/>
      </c>
      <c r="K60" s="26">
        <f>IF($O60="","",INDEX(_Helpers!$AJ$2:$AJ$151,$O60-2+1))</f>
        <v/>
      </c>
      <c r="L60" s="24">
        <f>IF($O60="","",INDEX(_Helpers!$AK$2:$AK$151,$O60-2+1))</f>
        <v/>
      </c>
      <c r="M60" s="27" t="n"/>
      <c r="N60" s="2" t="n"/>
      <c r="O60" s="17">
        <f t="array" ref="O60">IFERROR(SMALL(IF(_Helpers!$F$2:$F$151=1,ROW(_Helpers!$F$2:$F$151)),ROWS($A$4:A60)),"")</f>
        <v/>
      </c>
    </row>
    <row r="61">
      <c r="A61" s="23">
        <f>IF($O61="","",INDEX(_Helpers!$A$2:$A$151,$O61-2+1))</f>
        <v/>
      </c>
      <c r="B61" s="23">
        <f>IF($O61="","",INDEX(_Helpers!$D$2:$D$151,$O61-2+1))</f>
        <v/>
      </c>
      <c r="C61" s="24">
        <f>IF($O61="","",INDEX(_Helpers!$B$2:$B$151,$O61-2+1))</f>
        <v/>
      </c>
      <c r="D61" s="24">
        <f>IF($O61="","",INDEX(_Helpers!$C$2:$C$151,$O61-2+1))</f>
        <v/>
      </c>
      <c r="E61" s="24">
        <f>IF($O61="","",INDEX(_Helpers!$L$2:$L$151,$O61-2+1))</f>
        <v/>
      </c>
      <c r="F61" s="25">
        <f>IF($O61="","",INDEX(_Helpers!$M$2:$M$151,$O61-2+1))</f>
        <v/>
      </c>
      <c r="G61" s="26">
        <f>IF($O61="","",IF(INDEX(_Helpers!$G$2:$G$151,$O61-2+1)=1,"Starter",""))</f>
        <v/>
      </c>
      <c r="H61" s="26">
        <f>IF($O61="","",IF(INDEX(_Helpers!$H$2:$H$151,$O61-2+1)=1,"Leaver",""))</f>
        <v/>
      </c>
      <c r="I61" s="26">
        <f>IF($O61="","",INDEX(_Helpers!$P$2:$P$151,$O61-2+1))</f>
        <v/>
      </c>
      <c r="J61" s="25">
        <f>IF($O61="","",INDEX(_Helpers!$V$2:$V$151,$O61-2+1))</f>
        <v/>
      </c>
      <c r="K61" s="26">
        <f>IF($O61="","",INDEX(_Helpers!$AJ$2:$AJ$151,$O61-2+1))</f>
        <v/>
      </c>
      <c r="L61" s="24">
        <f>IF($O61="","",INDEX(_Helpers!$AK$2:$AK$151,$O61-2+1))</f>
        <v/>
      </c>
      <c r="M61" s="27" t="n"/>
      <c r="N61" s="2" t="n"/>
      <c r="O61" s="17">
        <f t="array" ref="O61">IFERROR(SMALL(IF(_Helpers!$F$2:$F$151=1,ROW(_Helpers!$F$2:$F$151)),ROWS($A$4:A61)),"")</f>
        <v/>
      </c>
    </row>
    <row r="62">
      <c r="A62" s="23">
        <f>IF($O62="","",INDEX(_Helpers!$A$2:$A$151,$O62-2+1))</f>
        <v/>
      </c>
      <c r="B62" s="23">
        <f>IF($O62="","",INDEX(_Helpers!$D$2:$D$151,$O62-2+1))</f>
        <v/>
      </c>
      <c r="C62" s="24">
        <f>IF($O62="","",INDEX(_Helpers!$B$2:$B$151,$O62-2+1))</f>
        <v/>
      </c>
      <c r="D62" s="24">
        <f>IF($O62="","",INDEX(_Helpers!$C$2:$C$151,$O62-2+1))</f>
        <v/>
      </c>
      <c r="E62" s="24">
        <f>IF($O62="","",INDEX(_Helpers!$L$2:$L$151,$O62-2+1))</f>
        <v/>
      </c>
      <c r="F62" s="25">
        <f>IF($O62="","",INDEX(_Helpers!$M$2:$M$151,$O62-2+1))</f>
        <v/>
      </c>
      <c r="G62" s="26">
        <f>IF($O62="","",IF(INDEX(_Helpers!$G$2:$G$151,$O62-2+1)=1,"Starter",""))</f>
        <v/>
      </c>
      <c r="H62" s="26">
        <f>IF($O62="","",IF(INDEX(_Helpers!$H$2:$H$151,$O62-2+1)=1,"Leaver",""))</f>
        <v/>
      </c>
      <c r="I62" s="26">
        <f>IF($O62="","",INDEX(_Helpers!$P$2:$P$151,$O62-2+1))</f>
        <v/>
      </c>
      <c r="J62" s="25">
        <f>IF($O62="","",INDEX(_Helpers!$V$2:$V$151,$O62-2+1))</f>
        <v/>
      </c>
      <c r="K62" s="26">
        <f>IF($O62="","",INDEX(_Helpers!$AJ$2:$AJ$151,$O62-2+1))</f>
        <v/>
      </c>
      <c r="L62" s="24">
        <f>IF($O62="","",INDEX(_Helpers!$AK$2:$AK$151,$O62-2+1))</f>
        <v/>
      </c>
      <c r="M62" s="27" t="n"/>
      <c r="N62" s="2" t="n"/>
      <c r="O62" s="17">
        <f t="array" ref="O62">IFERROR(SMALL(IF(_Helpers!$F$2:$F$151=1,ROW(_Helpers!$F$2:$F$151)),ROWS($A$4:A62)),"")</f>
        <v/>
      </c>
    </row>
    <row r="63">
      <c r="A63" s="23">
        <f>IF($O63="","",INDEX(_Helpers!$A$2:$A$151,$O63-2+1))</f>
        <v/>
      </c>
      <c r="B63" s="23">
        <f>IF($O63="","",INDEX(_Helpers!$D$2:$D$151,$O63-2+1))</f>
        <v/>
      </c>
      <c r="C63" s="24">
        <f>IF($O63="","",INDEX(_Helpers!$B$2:$B$151,$O63-2+1))</f>
        <v/>
      </c>
      <c r="D63" s="24">
        <f>IF($O63="","",INDEX(_Helpers!$C$2:$C$151,$O63-2+1))</f>
        <v/>
      </c>
      <c r="E63" s="24">
        <f>IF($O63="","",INDEX(_Helpers!$L$2:$L$151,$O63-2+1))</f>
        <v/>
      </c>
      <c r="F63" s="25">
        <f>IF($O63="","",INDEX(_Helpers!$M$2:$M$151,$O63-2+1))</f>
        <v/>
      </c>
      <c r="G63" s="26">
        <f>IF($O63="","",IF(INDEX(_Helpers!$G$2:$G$151,$O63-2+1)=1,"Starter",""))</f>
        <v/>
      </c>
      <c r="H63" s="26">
        <f>IF($O63="","",IF(INDEX(_Helpers!$H$2:$H$151,$O63-2+1)=1,"Leaver",""))</f>
        <v/>
      </c>
      <c r="I63" s="26">
        <f>IF($O63="","",INDEX(_Helpers!$P$2:$P$151,$O63-2+1))</f>
        <v/>
      </c>
      <c r="J63" s="25">
        <f>IF($O63="","",INDEX(_Helpers!$V$2:$V$151,$O63-2+1))</f>
        <v/>
      </c>
      <c r="K63" s="26">
        <f>IF($O63="","",INDEX(_Helpers!$AJ$2:$AJ$151,$O63-2+1))</f>
        <v/>
      </c>
      <c r="L63" s="24">
        <f>IF($O63="","",INDEX(_Helpers!$AK$2:$AK$151,$O63-2+1))</f>
        <v/>
      </c>
      <c r="M63" s="27" t="n"/>
      <c r="N63" s="2" t="n"/>
      <c r="O63" s="17">
        <f t="array" ref="O63">IFERROR(SMALL(IF(_Helpers!$F$2:$F$151=1,ROW(_Helpers!$F$2:$F$151)),ROWS($A$4:A63)),"")</f>
        <v/>
      </c>
    </row>
    <row r="64">
      <c r="A64" s="23">
        <f>IF($O64="","",INDEX(_Helpers!$A$2:$A$151,$O64-2+1))</f>
        <v/>
      </c>
      <c r="B64" s="23">
        <f>IF($O64="","",INDEX(_Helpers!$D$2:$D$151,$O64-2+1))</f>
        <v/>
      </c>
      <c r="C64" s="24">
        <f>IF($O64="","",INDEX(_Helpers!$B$2:$B$151,$O64-2+1))</f>
        <v/>
      </c>
      <c r="D64" s="24">
        <f>IF($O64="","",INDEX(_Helpers!$C$2:$C$151,$O64-2+1))</f>
        <v/>
      </c>
      <c r="E64" s="24">
        <f>IF($O64="","",INDEX(_Helpers!$L$2:$L$151,$O64-2+1))</f>
        <v/>
      </c>
      <c r="F64" s="25">
        <f>IF($O64="","",INDEX(_Helpers!$M$2:$M$151,$O64-2+1))</f>
        <v/>
      </c>
      <c r="G64" s="26">
        <f>IF($O64="","",IF(INDEX(_Helpers!$G$2:$G$151,$O64-2+1)=1,"Starter",""))</f>
        <v/>
      </c>
      <c r="H64" s="26">
        <f>IF($O64="","",IF(INDEX(_Helpers!$H$2:$H$151,$O64-2+1)=1,"Leaver",""))</f>
        <v/>
      </c>
      <c r="I64" s="26">
        <f>IF($O64="","",INDEX(_Helpers!$P$2:$P$151,$O64-2+1))</f>
        <v/>
      </c>
      <c r="J64" s="25">
        <f>IF($O64="","",INDEX(_Helpers!$V$2:$V$151,$O64-2+1))</f>
        <v/>
      </c>
      <c r="K64" s="26">
        <f>IF($O64="","",INDEX(_Helpers!$AJ$2:$AJ$151,$O64-2+1))</f>
        <v/>
      </c>
      <c r="L64" s="24">
        <f>IF($O64="","",INDEX(_Helpers!$AK$2:$AK$151,$O64-2+1))</f>
        <v/>
      </c>
      <c r="M64" s="27" t="n"/>
      <c r="N64" s="2" t="n"/>
      <c r="O64" s="17">
        <f t="array" ref="O64">IFERROR(SMALL(IF(_Helpers!$F$2:$F$151=1,ROW(_Helpers!$F$2:$F$151)),ROWS($A$4:A64)),"")</f>
        <v/>
      </c>
    </row>
    <row r="65">
      <c r="A65" s="23">
        <f>IF($O65="","",INDEX(_Helpers!$A$2:$A$151,$O65-2+1))</f>
        <v/>
      </c>
      <c r="B65" s="23">
        <f>IF($O65="","",INDEX(_Helpers!$D$2:$D$151,$O65-2+1))</f>
        <v/>
      </c>
      <c r="C65" s="24">
        <f>IF($O65="","",INDEX(_Helpers!$B$2:$B$151,$O65-2+1))</f>
        <v/>
      </c>
      <c r="D65" s="24">
        <f>IF($O65="","",INDEX(_Helpers!$C$2:$C$151,$O65-2+1))</f>
        <v/>
      </c>
      <c r="E65" s="24">
        <f>IF($O65="","",INDEX(_Helpers!$L$2:$L$151,$O65-2+1))</f>
        <v/>
      </c>
      <c r="F65" s="25">
        <f>IF($O65="","",INDEX(_Helpers!$M$2:$M$151,$O65-2+1))</f>
        <v/>
      </c>
      <c r="G65" s="26">
        <f>IF($O65="","",IF(INDEX(_Helpers!$G$2:$G$151,$O65-2+1)=1,"Starter",""))</f>
        <v/>
      </c>
      <c r="H65" s="26">
        <f>IF($O65="","",IF(INDEX(_Helpers!$H$2:$H$151,$O65-2+1)=1,"Leaver",""))</f>
        <v/>
      </c>
      <c r="I65" s="26">
        <f>IF($O65="","",INDEX(_Helpers!$P$2:$P$151,$O65-2+1))</f>
        <v/>
      </c>
      <c r="J65" s="25">
        <f>IF($O65="","",INDEX(_Helpers!$V$2:$V$151,$O65-2+1))</f>
        <v/>
      </c>
      <c r="K65" s="26">
        <f>IF($O65="","",INDEX(_Helpers!$AJ$2:$AJ$151,$O65-2+1))</f>
        <v/>
      </c>
      <c r="L65" s="24">
        <f>IF($O65="","",INDEX(_Helpers!$AK$2:$AK$151,$O65-2+1))</f>
        <v/>
      </c>
      <c r="M65" s="27" t="n"/>
      <c r="N65" s="2" t="n"/>
      <c r="O65" s="17">
        <f t="array" ref="O65">IFERROR(SMALL(IF(_Helpers!$F$2:$F$151=1,ROW(_Helpers!$F$2:$F$151)),ROWS($A$4:A65)),"")</f>
        <v/>
      </c>
    </row>
    <row r="66">
      <c r="A66" s="23">
        <f>IF($O66="","",INDEX(_Helpers!$A$2:$A$151,$O66-2+1))</f>
        <v/>
      </c>
      <c r="B66" s="23">
        <f>IF($O66="","",INDEX(_Helpers!$D$2:$D$151,$O66-2+1))</f>
        <v/>
      </c>
      <c r="C66" s="24">
        <f>IF($O66="","",INDEX(_Helpers!$B$2:$B$151,$O66-2+1))</f>
        <v/>
      </c>
      <c r="D66" s="24">
        <f>IF($O66="","",INDEX(_Helpers!$C$2:$C$151,$O66-2+1))</f>
        <v/>
      </c>
      <c r="E66" s="24">
        <f>IF($O66="","",INDEX(_Helpers!$L$2:$L$151,$O66-2+1))</f>
        <v/>
      </c>
      <c r="F66" s="25">
        <f>IF($O66="","",INDEX(_Helpers!$M$2:$M$151,$O66-2+1))</f>
        <v/>
      </c>
      <c r="G66" s="26">
        <f>IF($O66="","",IF(INDEX(_Helpers!$G$2:$G$151,$O66-2+1)=1,"Starter",""))</f>
        <v/>
      </c>
      <c r="H66" s="26">
        <f>IF($O66="","",IF(INDEX(_Helpers!$H$2:$H$151,$O66-2+1)=1,"Leaver",""))</f>
        <v/>
      </c>
      <c r="I66" s="26">
        <f>IF($O66="","",INDEX(_Helpers!$P$2:$P$151,$O66-2+1))</f>
        <v/>
      </c>
      <c r="J66" s="25">
        <f>IF($O66="","",INDEX(_Helpers!$V$2:$V$151,$O66-2+1))</f>
        <v/>
      </c>
      <c r="K66" s="26">
        <f>IF($O66="","",INDEX(_Helpers!$AJ$2:$AJ$151,$O66-2+1))</f>
        <v/>
      </c>
      <c r="L66" s="24">
        <f>IF($O66="","",INDEX(_Helpers!$AK$2:$AK$151,$O66-2+1))</f>
        <v/>
      </c>
      <c r="M66" s="27" t="n"/>
      <c r="N66" s="2" t="n"/>
      <c r="O66" s="17">
        <f t="array" ref="O66">IFERROR(SMALL(IF(_Helpers!$F$2:$F$151=1,ROW(_Helpers!$F$2:$F$151)),ROWS($A$4:A66)),"")</f>
        <v/>
      </c>
    </row>
    <row r="67">
      <c r="A67" s="23">
        <f>IF($O67="","",INDEX(_Helpers!$A$2:$A$151,$O67-2+1))</f>
        <v/>
      </c>
      <c r="B67" s="23">
        <f>IF($O67="","",INDEX(_Helpers!$D$2:$D$151,$O67-2+1))</f>
        <v/>
      </c>
      <c r="C67" s="24">
        <f>IF($O67="","",INDEX(_Helpers!$B$2:$B$151,$O67-2+1))</f>
        <v/>
      </c>
      <c r="D67" s="24">
        <f>IF($O67="","",INDEX(_Helpers!$C$2:$C$151,$O67-2+1))</f>
        <v/>
      </c>
      <c r="E67" s="24">
        <f>IF($O67="","",INDEX(_Helpers!$L$2:$L$151,$O67-2+1))</f>
        <v/>
      </c>
      <c r="F67" s="25">
        <f>IF($O67="","",INDEX(_Helpers!$M$2:$M$151,$O67-2+1))</f>
        <v/>
      </c>
      <c r="G67" s="26">
        <f>IF($O67="","",IF(INDEX(_Helpers!$G$2:$G$151,$O67-2+1)=1,"Starter",""))</f>
        <v/>
      </c>
      <c r="H67" s="26">
        <f>IF($O67="","",IF(INDEX(_Helpers!$H$2:$H$151,$O67-2+1)=1,"Leaver",""))</f>
        <v/>
      </c>
      <c r="I67" s="26">
        <f>IF($O67="","",INDEX(_Helpers!$P$2:$P$151,$O67-2+1))</f>
        <v/>
      </c>
      <c r="J67" s="25">
        <f>IF($O67="","",INDEX(_Helpers!$V$2:$V$151,$O67-2+1))</f>
        <v/>
      </c>
      <c r="K67" s="26">
        <f>IF($O67="","",INDEX(_Helpers!$AJ$2:$AJ$151,$O67-2+1))</f>
        <v/>
      </c>
      <c r="L67" s="24">
        <f>IF($O67="","",INDEX(_Helpers!$AK$2:$AK$151,$O67-2+1))</f>
        <v/>
      </c>
      <c r="M67" s="27" t="n"/>
      <c r="N67" s="2" t="n"/>
      <c r="O67" s="17">
        <f t="array" ref="O67">IFERROR(SMALL(IF(_Helpers!$F$2:$F$151=1,ROW(_Helpers!$F$2:$F$151)),ROWS($A$4:A67)),"")</f>
        <v/>
      </c>
    </row>
    <row r="68">
      <c r="A68" s="23">
        <f>IF($O68="","",INDEX(_Helpers!$A$2:$A$151,$O68-2+1))</f>
        <v/>
      </c>
      <c r="B68" s="23">
        <f>IF($O68="","",INDEX(_Helpers!$D$2:$D$151,$O68-2+1))</f>
        <v/>
      </c>
      <c r="C68" s="24">
        <f>IF($O68="","",INDEX(_Helpers!$B$2:$B$151,$O68-2+1))</f>
        <v/>
      </c>
      <c r="D68" s="24">
        <f>IF($O68="","",INDEX(_Helpers!$C$2:$C$151,$O68-2+1))</f>
        <v/>
      </c>
      <c r="E68" s="24">
        <f>IF($O68="","",INDEX(_Helpers!$L$2:$L$151,$O68-2+1))</f>
        <v/>
      </c>
      <c r="F68" s="25">
        <f>IF($O68="","",INDEX(_Helpers!$M$2:$M$151,$O68-2+1))</f>
        <v/>
      </c>
      <c r="G68" s="26">
        <f>IF($O68="","",IF(INDEX(_Helpers!$G$2:$G$151,$O68-2+1)=1,"Starter",""))</f>
        <v/>
      </c>
      <c r="H68" s="26">
        <f>IF($O68="","",IF(INDEX(_Helpers!$H$2:$H$151,$O68-2+1)=1,"Leaver",""))</f>
        <v/>
      </c>
      <c r="I68" s="26">
        <f>IF($O68="","",INDEX(_Helpers!$P$2:$P$151,$O68-2+1))</f>
        <v/>
      </c>
      <c r="J68" s="25">
        <f>IF($O68="","",INDEX(_Helpers!$V$2:$V$151,$O68-2+1))</f>
        <v/>
      </c>
      <c r="K68" s="26">
        <f>IF($O68="","",INDEX(_Helpers!$AJ$2:$AJ$151,$O68-2+1))</f>
        <v/>
      </c>
      <c r="L68" s="24">
        <f>IF($O68="","",INDEX(_Helpers!$AK$2:$AK$151,$O68-2+1))</f>
        <v/>
      </c>
      <c r="M68" s="27" t="n"/>
      <c r="N68" s="2" t="n"/>
      <c r="O68" s="17">
        <f t="array" ref="O68">IFERROR(SMALL(IF(_Helpers!$F$2:$F$151=1,ROW(_Helpers!$F$2:$F$151)),ROWS($A$4:A68)),"")</f>
        <v/>
      </c>
    </row>
    <row r="69">
      <c r="A69" s="23">
        <f>IF($O69="","",INDEX(_Helpers!$A$2:$A$151,$O69-2+1))</f>
        <v/>
      </c>
      <c r="B69" s="23">
        <f>IF($O69="","",INDEX(_Helpers!$D$2:$D$151,$O69-2+1))</f>
        <v/>
      </c>
      <c r="C69" s="24">
        <f>IF($O69="","",INDEX(_Helpers!$B$2:$B$151,$O69-2+1))</f>
        <v/>
      </c>
      <c r="D69" s="24">
        <f>IF($O69="","",INDEX(_Helpers!$C$2:$C$151,$O69-2+1))</f>
        <v/>
      </c>
      <c r="E69" s="24">
        <f>IF($O69="","",INDEX(_Helpers!$L$2:$L$151,$O69-2+1))</f>
        <v/>
      </c>
      <c r="F69" s="25">
        <f>IF($O69="","",INDEX(_Helpers!$M$2:$M$151,$O69-2+1))</f>
        <v/>
      </c>
      <c r="G69" s="26">
        <f>IF($O69="","",IF(INDEX(_Helpers!$G$2:$G$151,$O69-2+1)=1,"Starter",""))</f>
        <v/>
      </c>
      <c r="H69" s="26">
        <f>IF($O69="","",IF(INDEX(_Helpers!$H$2:$H$151,$O69-2+1)=1,"Leaver",""))</f>
        <v/>
      </c>
      <c r="I69" s="26">
        <f>IF($O69="","",INDEX(_Helpers!$P$2:$P$151,$O69-2+1))</f>
        <v/>
      </c>
      <c r="J69" s="25">
        <f>IF($O69="","",INDEX(_Helpers!$V$2:$V$151,$O69-2+1))</f>
        <v/>
      </c>
      <c r="K69" s="26">
        <f>IF($O69="","",INDEX(_Helpers!$AJ$2:$AJ$151,$O69-2+1))</f>
        <v/>
      </c>
      <c r="L69" s="24">
        <f>IF($O69="","",INDEX(_Helpers!$AK$2:$AK$151,$O69-2+1))</f>
        <v/>
      </c>
      <c r="M69" s="27" t="n"/>
      <c r="N69" s="2" t="n"/>
      <c r="O69" s="17">
        <f t="array" ref="O69">IFERROR(SMALL(IF(_Helpers!$F$2:$F$151=1,ROW(_Helpers!$F$2:$F$151)),ROWS($A$4:A69)),"")</f>
        <v/>
      </c>
    </row>
    <row r="70">
      <c r="A70" s="23">
        <f>IF($O70="","",INDEX(_Helpers!$A$2:$A$151,$O70-2+1))</f>
        <v/>
      </c>
      <c r="B70" s="23">
        <f>IF($O70="","",INDEX(_Helpers!$D$2:$D$151,$O70-2+1))</f>
        <v/>
      </c>
      <c r="C70" s="24">
        <f>IF($O70="","",INDEX(_Helpers!$B$2:$B$151,$O70-2+1))</f>
        <v/>
      </c>
      <c r="D70" s="24">
        <f>IF($O70="","",INDEX(_Helpers!$C$2:$C$151,$O70-2+1))</f>
        <v/>
      </c>
      <c r="E70" s="24">
        <f>IF($O70="","",INDEX(_Helpers!$L$2:$L$151,$O70-2+1))</f>
        <v/>
      </c>
      <c r="F70" s="25">
        <f>IF($O70="","",INDEX(_Helpers!$M$2:$M$151,$O70-2+1))</f>
        <v/>
      </c>
      <c r="G70" s="26">
        <f>IF($O70="","",IF(INDEX(_Helpers!$G$2:$G$151,$O70-2+1)=1,"Starter",""))</f>
        <v/>
      </c>
      <c r="H70" s="26">
        <f>IF($O70="","",IF(INDEX(_Helpers!$H$2:$H$151,$O70-2+1)=1,"Leaver",""))</f>
        <v/>
      </c>
      <c r="I70" s="26">
        <f>IF($O70="","",INDEX(_Helpers!$P$2:$P$151,$O70-2+1))</f>
        <v/>
      </c>
      <c r="J70" s="25">
        <f>IF($O70="","",INDEX(_Helpers!$V$2:$V$151,$O70-2+1))</f>
        <v/>
      </c>
      <c r="K70" s="26">
        <f>IF($O70="","",INDEX(_Helpers!$AJ$2:$AJ$151,$O70-2+1))</f>
        <v/>
      </c>
      <c r="L70" s="24">
        <f>IF($O70="","",INDEX(_Helpers!$AK$2:$AK$151,$O70-2+1))</f>
        <v/>
      </c>
      <c r="M70" s="27" t="n"/>
      <c r="N70" s="2" t="n"/>
      <c r="O70" s="17">
        <f t="array" ref="O70">IFERROR(SMALL(IF(_Helpers!$F$2:$F$151=1,ROW(_Helpers!$F$2:$F$151)),ROWS($A$4:A70)),"")</f>
        <v/>
      </c>
    </row>
    <row r="71">
      <c r="A71" s="23">
        <f>IF($O71="","",INDEX(_Helpers!$A$2:$A$151,$O71-2+1))</f>
        <v/>
      </c>
      <c r="B71" s="23">
        <f>IF($O71="","",INDEX(_Helpers!$D$2:$D$151,$O71-2+1))</f>
        <v/>
      </c>
      <c r="C71" s="24">
        <f>IF($O71="","",INDEX(_Helpers!$B$2:$B$151,$O71-2+1))</f>
        <v/>
      </c>
      <c r="D71" s="24">
        <f>IF($O71="","",INDEX(_Helpers!$C$2:$C$151,$O71-2+1))</f>
        <v/>
      </c>
      <c r="E71" s="24">
        <f>IF($O71="","",INDEX(_Helpers!$L$2:$L$151,$O71-2+1))</f>
        <v/>
      </c>
      <c r="F71" s="25">
        <f>IF($O71="","",INDEX(_Helpers!$M$2:$M$151,$O71-2+1))</f>
        <v/>
      </c>
      <c r="G71" s="26">
        <f>IF($O71="","",IF(INDEX(_Helpers!$G$2:$G$151,$O71-2+1)=1,"Starter",""))</f>
        <v/>
      </c>
      <c r="H71" s="26">
        <f>IF($O71="","",IF(INDEX(_Helpers!$H$2:$H$151,$O71-2+1)=1,"Leaver",""))</f>
        <v/>
      </c>
      <c r="I71" s="26">
        <f>IF($O71="","",INDEX(_Helpers!$P$2:$P$151,$O71-2+1))</f>
        <v/>
      </c>
      <c r="J71" s="25">
        <f>IF($O71="","",INDEX(_Helpers!$V$2:$V$151,$O71-2+1))</f>
        <v/>
      </c>
      <c r="K71" s="26">
        <f>IF($O71="","",INDEX(_Helpers!$AJ$2:$AJ$151,$O71-2+1))</f>
        <v/>
      </c>
      <c r="L71" s="24">
        <f>IF($O71="","",INDEX(_Helpers!$AK$2:$AK$151,$O71-2+1))</f>
        <v/>
      </c>
      <c r="M71" s="27" t="n"/>
      <c r="N71" s="2" t="n"/>
      <c r="O71" s="17">
        <f t="array" ref="O71">IFERROR(SMALL(IF(_Helpers!$F$2:$F$151=1,ROW(_Helpers!$F$2:$F$151)),ROWS($A$4:A71)),"")</f>
        <v/>
      </c>
    </row>
    <row r="72">
      <c r="A72" s="23">
        <f>IF($O72="","",INDEX(_Helpers!$A$2:$A$151,$O72-2+1))</f>
        <v/>
      </c>
      <c r="B72" s="23">
        <f>IF($O72="","",INDEX(_Helpers!$D$2:$D$151,$O72-2+1))</f>
        <v/>
      </c>
      <c r="C72" s="24">
        <f>IF($O72="","",INDEX(_Helpers!$B$2:$B$151,$O72-2+1))</f>
        <v/>
      </c>
      <c r="D72" s="24">
        <f>IF($O72="","",INDEX(_Helpers!$C$2:$C$151,$O72-2+1))</f>
        <v/>
      </c>
      <c r="E72" s="24">
        <f>IF($O72="","",INDEX(_Helpers!$L$2:$L$151,$O72-2+1))</f>
        <v/>
      </c>
      <c r="F72" s="25">
        <f>IF($O72="","",INDEX(_Helpers!$M$2:$M$151,$O72-2+1))</f>
        <v/>
      </c>
      <c r="G72" s="26">
        <f>IF($O72="","",IF(INDEX(_Helpers!$G$2:$G$151,$O72-2+1)=1,"Starter",""))</f>
        <v/>
      </c>
      <c r="H72" s="26">
        <f>IF($O72="","",IF(INDEX(_Helpers!$H$2:$H$151,$O72-2+1)=1,"Leaver",""))</f>
        <v/>
      </c>
      <c r="I72" s="26">
        <f>IF($O72="","",INDEX(_Helpers!$P$2:$P$151,$O72-2+1))</f>
        <v/>
      </c>
      <c r="J72" s="25">
        <f>IF($O72="","",INDEX(_Helpers!$V$2:$V$151,$O72-2+1))</f>
        <v/>
      </c>
      <c r="K72" s="26">
        <f>IF($O72="","",INDEX(_Helpers!$AJ$2:$AJ$151,$O72-2+1))</f>
        <v/>
      </c>
      <c r="L72" s="24">
        <f>IF($O72="","",INDEX(_Helpers!$AK$2:$AK$151,$O72-2+1))</f>
        <v/>
      </c>
      <c r="M72" s="27" t="n"/>
      <c r="N72" s="2" t="n"/>
      <c r="O72" s="17">
        <f t="array" ref="O72">IFERROR(SMALL(IF(_Helpers!$F$2:$F$151=1,ROW(_Helpers!$F$2:$F$151)),ROWS($A$4:A72)),"")</f>
        <v/>
      </c>
    </row>
    <row r="73">
      <c r="A73" s="23">
        <f>IF($O73="","",INDEX(_Helpers!$A$2:$A$151,$O73-2+1))</f>
        <v/>
      </c>
      <c r="B73" s="23">
        <f>IF($O73="","",INDEX(_Helpers!$D$2:$D$151,$O73-2+1))</f>
        <v/>
      </c>
      <c r="C73" s="24">
        <f>IF($O73="","",INDEX(_Helpers!$B$2:$B$151,$O73-2+1))</f>
        <v/>
      </c>
      <c r="D73" s="24">
        <f>IF($O73="","",INDEX(_Helpers!$C$2:$C$151,$O73-2+1))</f>
        <v/>
      </c>
      <c r="E73" s="24">
        <f>IF($O73="","",INDEX(_Helpers!$L$2:$L$151,$O73-2+1))</f>
        <v/>
      </c>
      <c r="F73" s="25">
        <f>IF($O73="","",INDEX(_Helpers!$M$2:$M$151,$O73-2+1))</f>
        <v/>
      </c>
      <c r="G73" s="26">
        <f>IF($O73="","",IF(INDEX(_Helpers!$G$2:$G$151,$O73-2+1)=1,"Starter",""))</f>
        <v/>
      </c>
      <c r="H73" s="26">
        <f>IF($O73="","",IF(INDEX(_Helpers!$H$2:$H$151,$O73-2+1)=1,"Leaver",""))</f>
        <v/>
      </c>
      <c r="I73" s="26">
        <f>IF($O73="","",INDEX(_Helpers!$P$2:$P$151,$O73-2+1))</f>
        <v/>
      </c>
      <c r="J73" s="25">
        <f>IF($O73="","",INDEX(_Helpers!$V$2:$V$151,$O73-2+1))</f>
        <v/>
      </c>
      <c r="K73" s="26">
        <f>IF($O73="","",INDEX(_Helpers!$AJ$2:$AJ$151,$O73-2+1))</f>
        <v/>
      </c>
      <c r="L73" s="24">
        <f>IF($O73="","",INDEX(_Helpers!$AK$2:$AK$151,$O73-2+1))</f>
        <v/>
      </c>
      <c r="M73" s="27" t="n"/>
      <c r="N73" s="2" t="n"/>
      <c r="O73" s="17">
        <f t="array" ref="O73">IFERROR(SMALL(IF(_Helpers!$F$2:$F$151=1,ROW(_Helpers!$F$2:$F$151)),ROWS($A$4:A73)),"")</f>
        <v/>
      </c>
    </row>
    <row r="74">
      <c r="A74" s="23">
        <f>IF($O74="","",INDEX(_Helpers!$A$2:$A$151,$O74-2+1))</f>
        <v/>
      </c>
      <c r="B74" s="23">
        <f>IF($O74="","",INDEX(_Helpers!$D$2:$D$151,$O74-2+1))</f>
        <v/>
      </c>
      <c r="C74" s="24">
        <f>IF($O74="","",INDEX(_Helpers!$B$2:$B$151,$O74-2+1))</f>
        <v/>
      </c>
      <c r="D74" s="24">
        <f>IF($O74="","",INDEX(_Helpers!$C$2:$C$151,$O74-2+1))</f>
        <v/>
      </c>
      <c r="E74" s="24">
        <f>IF($O74="","",INDEX(_Helpers!$L$2:$L$151,$O74-2+1))</f>
        <v/>
      </c>
      <c r="F74" s="25">
        <f>IF($O74="","",INDEX(_Helpers!$M$2:$M$151,$O74-2+1))</f>
        <v/>
      </c>
      <c r="G74" s="26">
        <f>IF($O74="","",IF(INDEX(_Helpers!$G$2:$G$151,$O74-2+1)=1,"Starter",""))</f>
        <v/>
      </c>
      <c r="H74" s="26">
        <f>IF($O74="","",IF(INDEX(_Helpers!$H$2:$H$151,$O74-2+1)=1,"Leaver",""))</f>
        <v/>
      </c>
      <c r="I74" s="26">
        <f>IF($O74="","",INDEX(_Helpers!$P$2:$P$151,$O74-2+1))</f>
        <v/>
      </c>
      <c r="J74" s="25">
        <f>IF($O74="","",INDEX(_Helpers!$V$2:$V$151,$O74-2+1))</f>
        <v/>
      </c>
      <c r="K74" s="26">
        <f>IF($O74="","",INDEX(_Helpers!$AJ$2:$AJ$151,$O74-2+1))</f>
        <v/>
      </c>
      <c r="L74" s="24">
        <f>IF($O74="","",INDEX(_Helpers!$AK$2:$AK$151,$O74-2+1))</f>
        <v/>
      </c>
      <c r="M74" s="27" t="n"/>
      <c r="N74" s="2" t="n"/>
      <c r="O74" s="17">
        <f t="array" ref="O74">IFERROR(SMALL(IF(_Helpers!$F$2:$F$151=1,ROW(_Helpers!$F$2:$F$151)),ROWS($A$4:A74)),"")</f>
        <v/>
      </c>
    </row>
    <row r="75">
      <c r="A75" s="23">
        <f>IF($O75="","",INDEX(_Helpers!$A$2:$A$151,$O75-2+1))</f>
        <v/>
      </c>
      <c r="B75" s="23">
        <f>IF($O75="","",INDEX(_Helpers!$D$2:$D$151,$O75-2+1))</f>
        <v/>
      </c>
      <c r="C75" s="24">
        <f>IF($O75="","",INDEX(_Helpers!$B$2:$B$151,$O75-2+1))</f>
        <v/>
      </c>
      <c r="D75" s="24">
        <f>IF($O75="","",INDEX(_Helpers!$C$2:$C$151,$O75-2+1))</f>
        <v/>
      </c>
      <c r="E75" s="24">
        <f>IF($O75="","",INDEX(_Helpers!$L$2:$L$151,$O75-2+1))</f>
        <v/>
      </c>
      <c r="F75" s="25">
        <f>IF($O75="","",INDEX(_Helpers!$M$2:$M$151,$O75-2+1))</f>
        <v/>
      </c>
      <c r="G75" s="26">
        <f>IF($O75="","",IF(INDEX(_Helpers!$G$2:$G$151,$O75-2+1)=1,"Starter",""))</f>
        <v/>
      </c>
      <c r="H75" s="26">
        <f>IF($O75="","",IF(INDEX(_Helpers!$H$2:$H$151,$O75-2+1)=1,"Leaver",""))</f>
        <v/>
      </c>
      <c r="I75" s="26">
        <f>IF($O75="","",INDEX(_Helpers!$P$2:$P$151,$O75-2+1))</f>
        <v/>
      </c>
      <c r="J75" s="25">
        <f>IF($O75="","",INDEX(_Helpers!$V$2:$V$151,$O75-2+1))</f>
        <v/>
      </c>
      <c r="K75" s="26">
        <f>IF($O75="","",INDEX(_Helpers!$AJ$2:$AJ$151,$O75-2+1))</f>
        <v/>
      </c>
      <c r="L75" s="24">
        <f>IF($O75="","",INDEX(_Helpers!$AK$2:$AK$151,$O75-2+1))</f>
        <v/>
      </c>
      <c r="M75" s="27" t="n"/>
      <c r="N75" s="2" t="n"/>
      <c r="O75" s="17">
        <f t="array" ref="O75">IFERROR(SMALL(IF(_Helpers!$F$2:$F$151=1,ROW(_Helpers!$F$2:$F$151)),ROWS($A$4:A75)),"")</f>
        <v/>
      </c>
    </row>
    <row r="76">
      <c r="A76" s="23">
        <f>IF($O76="","",INDEX(_Helpers!$A$2:$A$151,$O76-2+1))</f>
        <v/>
      </c>
      <c r="B76" s="23">
        <f>IF($O76="","",INDEX(_Helpers!$D$2:$D$151,$O76-2+1))</f>
        <v/>
      </c>
      <c r="C76" s="24">
        <f>IF($O76="","",INDEX(_Helpers!$B$2:$B$151,$O76-2+1))</f>
        <v/>
      </c>
      <c r="D76" s="24">
        <f>IF($O76="","",INDEX(_Helpers!$C$2:$C$151,$O76-2+1))</f>
        <v/>
      </c>
      <c r="E76" s="24">
        <f>IF($O76="","",INDEX(_Helpers!$L$2:$L$151,$O76-2+1))</f>
        <v/>
      </c>
      <c r="F76" s="25">
        <f>IF($O76="","",INDEX(_Helpers!$M$2:$M$151,$O76-2+1))</f>
        <v/>
      </c>
      <c r="G76" s="26">
        <f>IF($O76="","",IF(INDEX(_Helpers!$G$2:$G$151,$O76-2+1)=1,"Starter",""))</f>
        <v/>
      </c>
      <c r="H76" s="26">
        <f>IF($O76="","",IF(INDEX(_Helpers!$H$2:$H$151,$O76-2+1)=1,"Leaver",""))</f>
        <v/>
      </c>
      <c r="I76" s="26">
        <f>IF($O76="","",INDEX(_Helpers!$P$2:$P$151,$O76-2+1))</f>
        <v/>
      </c>
      <c r="J76" s="25">
        <f>IF($O76="","",INDEX(_Helpers!$V$2:$V$151,$O76-2+1))</f>
        <v/>
      </c>
      <c r="K76" s="26">
        <f>IF($O76="","",INDEX(_Helpers!$AJ$2:$AJ$151,$O76-2+1))</f>
        <v/>
      </c>
      <c r="L76" s="24">
        <f>IF($O76="","",INDEX(_Helpers!$AK$2:$AK$151,$O76-2+1))</f>
        <v/>
      </c>
      <c r="M76" s="27" t="n"/>
      <c r="N76" s="2" t="n"/>
      <c r="O76" s="17">
        <f t="array" ref="O76">IFERROR(SMALL(IF(_Helpers!$F$2:$F$151=1,ROW(_Helpers!$F$2:$F$151)),ROWS($A$4:A76)),"")</f>
        <v/>
      </c>
    </row>
    <row r="77">
      <c r="A77" s="23">
        <f>IF($O77="","",INDEX(_Helpers!$A$2:$A$151,$O77-2+1))</f>
        <v/>
      </c>
      <c r="B77" s="23">
        <f>IF($O77="","",INDEX(_Helpers!$D$2:$D$151,$O77-2+1))</f>
        <v/>
      </c>
      <c r="C77" s="24">
        <f>IF($O77="","",INDEX(_Helpers!$B$2:$B$151,$O77-2+1))</f>
        <v/>
      </c>
      <c r="D77" s="24">
        <f>IF($O77="","",INDEX(_Helpers!$C$2:$C$151,$O77-2+1))</f>
        <v/>
      </c>
      <c r="E77" s="24">
        <f>IF($O77="","",INDEX(_Helpers!$L$2:$L$151,$O77-2+1))</f>
        <v/>
      </c>
      <c r="F77" s="25">
        <f>IF($O77="","",INDEX(_Helpers!$M$2:$M$151,$O77-2+1))</f>
        <v/>
      </c>
      <c r="G77" s="26">
        <f>IF($O77="","",IF(INDEX(_Helpers!$G$2:$G$151,$O77-2+1)=1,"Starter",""))</f>
        <v/>
      </c>
      <c r="H77" s="26">
        <f>IF($O77="","",IF(INDEX(_Helpers!$H$2:$H$151,$O77-2+1)=1,"Leaver",""))</f>
        <v/>
      </c>
      <c r="I77" s="26">
        <f>IF($O77="","",INDEX(_Helpers!$P$2:$P$151,$O77-2+1))</f>
        <v/>
      </c>
      <c r="J77" s="25">
        <f>IF($O77="","",INDEX(_Helpers!$V$2:$V$151,$O77-2+1))</f>
        <v/>
      </c>
      <c r="K77" s="26">
        <f>IF($O77="","",INDEX(_Helpers!$AJ$2:$AJ$151,$O77-2+1))</f>
        <v/>
      </c>
      <c r="L77" s="24">
        <f>IF($O77="","",INDEX(_Helpers!$AK$2:$AK$151,$O77-2+1))</f>
        <v/>
      </c>
      <c r="M77" s="27" t="n"/>
      <c r="N77" s="2" t="n"/>
      <c r="O77" s="17">
        <f t="array" ref="O77">IFERROR(SMALL(IF(_Helpers!$F$2:$F$151=1,ROW(_Helpers!$F$2:$F$151)),ROWS($A$4:A77)),"")</f>
        <v/>
      </c>
    </row>
    <row r="78">
      <c r="A78" s="23">
        <f>IF($O78="","",INDEX(_Helpers!$A$2:$A$151,$O78-2+1))</f>
        <v/>
      </c>
      <c r="B78" s="23">
        <f>IF($O78="","",INDEX(_Helpers!$D$2:$D$151,$O78-2+1))</f>
        <v/>
      </c>
      <c r="C78" s="24">
        <f>IF($O78="","",INDEX(_Helpers!$B$2:$B$151,$O78-2+1))</f>
        <v/>
      </c>
      <c r="D78" s="24">
        <f>IF($O78="","",INDEX(_Helpers!$C$2:$C$151,$O78-2+1))</f>
        <v/>
      </c>
      <c r="E78" s="24">
        <f>IF($O78="","",INDEX(_Helpers!$L$2:$L$151,$O78-2+1))</f>
        <v/>
      </c>
      <c r="F78" s="25">
        <f>IF($O78="","",INDEX(_Helpers!$M$2:$M$151,$O78-2+1))</f>
        <v/>
      </c>
      <c r="G78" s="26">
        <f>IF($O78="","",IF(INDEX(_Helpers!$G$2:$G$151,$O78-2+1)=1,"Starter",""))</f>
        <v/>
      </c>
      <c r="H78" s="26">
        <f>IF($O78="","",IF(INDEX(_Helpers!$H$2:$H$151,$O78-2+1)=1,"Leaver",""))</f>
        <v/>
      </c>
      <c r="I78" s="26">
        <f>IF($O78="","",INDEX(_Helpers!$P$2:$P$151,$O78-2+1))</f>
        <v/>
      </c>
      <c r="J78" s="25">
        <f>IF($O78="","",INDEX(_Helpers!$V$2:$V$151,$O78-2+1))</f>
        <v/>
      </c>
      <c r="K78" s="26">
        <f>IF($O78="","",INDEX(_Helpers!$AJ$2:$AJ$151,$O78-2+1))</f>
        <v/>
      </c>
      <c r="L78" s="24">
        <f>IF($O78="","",INDEX(_Helpers!$AK$2:$AK$151,$O78-2+1))</f>
        <v/>
      </c>
      <c r="M78" s="27" t="n"/>
      <c r="N78" s="2" t="n"/>
      <c r="O78" s="17">
        <f t="array" ref="O78">IFERROR(SMALL(IF(_Helpers!$F$2:$F$151=1,ROW(_Helpers!$F$2:$F$151)),ROWS($A$4:A78)),"")</f>
        <v/>
      </c>
    </row>
    <row r="79">
      <c r="A79" s="23">
        <f>IF($O79="","",INDEX(_Helpers!$A$2:$A$151,$O79-2+1))</f>
        <v/>
      </c>
      <c r="B79" s="23">
        <f>IF($O79="","",INDEX(_Helpers!$D$2:$D$151,$O79-2+1))</f>
        <v/>
      </c>
      <c r="C79" s="24">
        <f>IF($O79="","",INDEX(_Helpers!$B$2:$B$151,$O79-2+1))</f>
        <v/>
      </c>
      <c r="D79" s="24">
        <f>IF($O79="","",INDEX(_Helpers!$C$2:$C$151,$O79-2+1))</f>
        <v/>
      </c>
      <c r="E79" s="24">
        <f>IF($O79="","",INDEX(_Helpers!$L$2:$L$151,$O79-2+1))</f>
        <v/>
      </c>
      <c r="F79" s="25">
        <f>IF($O79="","",INDEX(_Helpers!$M$2:$M$151,$O79-2+1))</f>
        <v/>
      </c>
      <c r="G79" s="26">
        <f>IF($O79="","",IF(INDEX(_Helpers!$G$2:$G$151,$O79-2+1)=1,"Starter",""))</f>
        <v/>
      </c>
      <c r="H79" s="26">
        <f>IF($O79="","",IF(INDEX(_Helpers!$H$2:$H$151,$O79-2+1)=1,"Leaver",""))</f>
        <v/>
      </c>
      <c r="I79" s="26">
        <f>IF($O79="","",INDEX(_Helpers!$P$2:$P$151,$O79-2+1))</f>
        <v/>
      </c>
      <c r="J79" s="25">
        <f>IF($O79="","",INDEX(_Helpers!$V$2:$V$151,$O79-2+1))</f>
        <v/>
      </c>
      <c r="K79" s="26">
        <f>IF($O79="","",INDEX(_Helpers!$AJ$2:$AJ$151,$O79-2+1))</f>
        <v/>
      </c>
      <c r="L79" s="24">
        <f>IF($O79="","",INDEX(_Helpers!$AK$2:$AK$151,$O79-2+1))</f>
        <v/>
      </c>
      <c r="M79" s="27" t="n"/>
      <c r="N79" s="2" t="n"/>
      <c r="O79" s="17">
        <f t="array" ref="O79">IFERROR(SMALL(IF(_Helpers!$F$2:$F$151=1,ROW(_Helpers!$F$2:$F$151)),ROWS($A$4:A79)),"")</f>
        <v/>
      </c>
    </row>
    <row r="80">
      <c r="A80" s="23">
        <f>IF($O80="","",INDEX(_Helpers!$A$2:$A$151,$O80-2+1))</f>
        <v/>
      </c>
      <c r="B80" s="23">
        <f>IF($O80="","",INDEX(_Helpers!$D$2:$D$151,$O80-2+1))</f>
        <v/>
      </c>
      <c r="C80" s="24">
        <f>IF($O80="","",INDEX(_Helpers!$B$2:$B$151,$O80-2+1))</f>
        <v/>
      </c>
      <c r="D80" s="24">
        <f>IF($O80="","",INDEX(_Helpers!$C$2:$C$151,$O80-2+1))</f>
        <v/>
      </c>
      <c r="E80" s="24">
        <f>IF($O80="","",INDEX(_Helpers!$L$2:$L$151,$O80-2+1))</f>
        <v/>
      </c>
      <c r="F80" s="25">
        <f>IF($O80="","",INDEX(_Helpers!$M$2:$M$151,$O80-2+1))</f>
        <v/>
      </c>
      <c r="G80" s="26">
        <f>IF($O80="","",IF(INDEX(_Helpers!$G$2:$G$151,$O80-2+1)=1,"Starter",""))</f>
        <v/>
      </c>
      <c r="H80" s="26">
        <f>IF($O80="","",IF(INDEX(_Helpers!$H$2:$H$151,$O80-2+1)=1,"Leaver",""))</f>
        <v/>
      </c>
      <c r="I80" s="26">
        <f>IF($O80="","",INDEX(_Helpers!$P$2:$P$151,$O80-2+1))</f>
        <v/>
      </c>
      <c r="J80" s="25">
        <f>IF($O80="","",INDEX(_Helpers!$V$2:$V$151,$O80-2+1))</f>
        <v/>
      </c>
      <c r="K80" s="26">
        <f>IF($O80="","",INDEX(_Helpers!$AJ$2:$AJ$151,$O80-2+1))</f>
        <v/>
      </c>
      <c r="L80" s="24">
        <f>IF($O80="","",INDEX(_Helpers!$AK$2:$AK$151,$O80-2+1))</f>
        <v/>
      </c>
      <c r="M80" s="27" t="n"/>
      <c r="N80" s="2" t="n"/>
      <c r="O80" s="17">
        <f t="array" ref="O80">IFERROR(SMALL(IF(_Helpers!$F$2:$F$151=1,ROW(_Helpers!$F$2:$F$151)),ROWS($A$4:A80)),"")</f>
        <v/>
      </c>
    </row>
    <row r="81">
      <c r="A81" s="23">
        <f>IF($O81="","",INDEX(_Helpers!$A$2:$A$151,$O81-2+1))</f>
        <v/>
      </c>
      <c r="B81" s="23">
        <f>IF($O81="","",INDEX(_Helpers!$D$2:$D$151,$O81-2+1))</f>
        <v/>
      </c>
      <c r="C81" s="24">
        <f>IF($O81="","",INDEX(_Helpers!$B$2:$B$151,$O81-2+1))</f>
        <v/>
      </c>
      <c r="D81" s="24">
        <f>IF($O81="","",INDEX(_Helpers!$C$2:$C$151,$O81-2+1))</f>
        <v/>
      </c>
      <c r="E81" s="24">
        <f>IF($O81="","",INDEX(_Helpers!$L$2:$L$151,$O81-2+1))</f>
        <v/>
      </c>
      <c r="F81" s="25">
        <f>IF($O81="","",INDEX(_Helpers!$M$2:$M$151,$O81-2+1))</f>
        <v/>
      </c>
      <c r="G81" s="26">
        <f>IF($O81="","",IF(INDEX(_Helpers!$G$2:$G$151,$O81-2+1)=1,"Starter",""))</f>
        <v/>
      </c>
      <c r="H81" s="26">
        <f>IF($O81="","",IF(INDEX(_Helpers!$H$2:$H$151,$O81-2+1)=1,"Leaver",""))</f>
        <v/>
      </c>
      <c r="I81" s="26">
        <f>IF($O81="","",INDEX(_Helpers!$P$2:$P$151,$O81-2+1))</f>
        <v/>
      </c>
      <c r="J81" s="25">
        <f>IF($O81="","",INDEX(_Helpers!$V$2:$V$151,$O81-2+1))</f>
        <v/>
      </c>
      <c r="K81" s="26">
        <f>IF($O81="","",INDEX(_Helpers!$AJ$2:$AJ$151,$O81-2+1))</f>
        <v/>
      </c>
      <c r="L81" s="24">
        <f>IF($O81="","",INDEX(_Helpers!$AK$2:$AK$151,$O81-2+1))</f>
        <v/>
      </c>
      <c r="M81" s="27" t="n"/>
      <c r="N81" s="2" t="n"/>
      <c r="O81" s="17">
        <f t="array" ref="O81">IFERROR(SMALL(IF(_Helpers!$F$2:$F$151=1,ROW(_Helpers!$F$2:$F$151)),ROWS($A$4:A81)),"")</f>
        <v/>
      </c>
    </row>
    <row r="82">
      <c r="A82" s="23">
        <f>IF($O82="","",INDEX(_Helpers!$A$2:$A$151,$O82-2+1))</f>
        <v/>
      </c>
      <c r="B82" s="23">
        <f>IF($O82="","",INDEX(_Helpers!$D$2:$D$151,$O82-2+1))</f>
        <v/>
      </c>
      <c r="C82" s="24">
        <f>IF($O82="","",INDEX(_Helpers!$B$2:$B$151,$O82-2+1))</f>
        <v/>
      </c>
      <c r="D82" s="24">
        <f>IF($O82="","",INDEX(_Helpers!$C$2:$C$151,$O82-2+1))</f>
        <v/>
      </c>
      <c r="E82" s="24">
        <f>IF($O82="","",INDEX(_Helpers!$L$2:$L$151,$O82-2+1))</f>
        <v/>
      </c>
      <c r="F82" s="25">
        <f>IF($O82="","",INDEX(_Helpers!$M$2:$M$151,$O82-2+1))</f>
        <v/>
      </c>
      <c r="G82" s="26">
        <f>IF($O82="","",IF(INDEX(_Helpers!$G$2:$G$151,$O82-2+1)=1,"Starter",""))</f>
        <v/>
      </c>
      <c r="H82" s="26">
        <f>IF($O82="","",IF(INDEX(_Helpers!$H$2:$H$151,$O82-2+1)=1,"Leaver",""))</f>
        <v/>
      </c>
      <c r="I82" s="26">
        <f>IF($O82="","",INDEX(_Helpers!$P$2:$P$151,$O82-2+1))</f>
        <v/>
      </c>
      <c r="J82" s="25">
        <f>IF($O82="","",INDEX(_Helpers!$V$2:$V$151,$O82-2+1))</f>
        <v/>
      </c>
      <c r="K82" s="26">
        <f>IF($O82="","",INDEX(_Helpers!$AJ$2:$AJ$151,$O82-2+1))</f>
        <v/>
      </c>
      <c r="L82" s="24">
        <f>IF($O82="","",INDEX(_Helpers!$AK$2:$AK$151,$O82-2+1))</f>
        <v/>
      </c>
      <c r="M82" s="27" t="n"/>
      <c r="N82" s="2" t="n"/>
      <c r="O82" s="17">
        <f t="array" ref="O82">IFERROR(SMALL(IF(_Helpers!$F$2:$F$151=1,ROW(_Helpers!$F$2:$F$151)),ROWS($A$4:A82)),"")</f>
        <v/>
      </c>
    </row>
    <row r="83">
      <c r="A83" s="23">
        <f>IF($O83="","",INDEX(_Helpers!$A$2:$A$151,$O83-2+1))</f>
        <v/>
      </c>
      <c r="B83" s="23">
        <f>IF($O83="","",INDEX(_Helpers!$D$2:$D$151,$O83-2+1))</f>
        <v/>
      </c>
      <c r="C83" s="24">
        <f>IF($O83="","",INDEX(_Helpers!$B$2:$B$151,$O83-2+1))</f>
        <v/>
      </c>
      <c r="D83" s="24">
        <f>IF($O83="","",INDEX(_Helpers!$C$2:$C$151,$O83-2+1))</f>
        <v/>
      </c>
      <c r="E83" s="24">
        <f>IF($O83="","",INDEX(_Helpers!$L$2:$L$151,$O83-2+1))</f>
        <v/>
      </c>
      <c r="F83" s="25">
        <f>IF($O83="","",INDEX(_Helpers!$M$2:$M$151,$O83-2+1))</f>
        <v/>
      </c>
      <c r="G83" s="26">
        <f>IF($O83="","",IF(INDEX(_Helpers!$G$2:$G$151,$O83-2+1)=1,"Starter",""))</f>
        <v/>
      </c>
      <c r="H83" s="26">
        <f>IF($O83="","",IF(INDEX(_Helpers!$H$2:$H$151,$O83-2+1)=1,"Leaver",""))</f>
        <v/>
      </c>
      <c r="I83" s="26">
        <f>IF($O83="","",INDEX(_Helpers!$P$2:$P$151,$O83-2+1))</f>
        <v/>
      </c>
      <c r="J83" s="25">
        <f>IF($O83="","",INDEX(_Helpers!$V$2:$V$151,$O83-2+1))</f>
        <v/>
      </c>
      <c r="K83" s="26">
        <f>IF($O83="","",INDEX(_Helpers!$AJ$2:$AJ$151,$O83-2+1))</f>
        <v/>
      </c>
      <c r="L83" s="24">
        <f>IF($O83="","",INDEX(_Helpers!$AK$2:$AK$151,$O83-2+1))</f>
        <v/>
      </c>
      <c r="M83" s="27" t="n"/>
      <c r="N83" s="2" t="n"/>
      <c r="O83" s="17">
        <f t="array" ref="O83">IFERROR(SMALL(IF(_Helpers!$F$2:$F$151=1,ROW(_Helpers!$F$2:$F$151)),ROWS($A$4:A83)),"")</f>
        <v/>
      </c>
    </row>
    <row r="84">
      <c r="A84" s="23">
        <f>IF($O84="","",INDEX(_Helpers!$A$2:$A$151,$O84-2+1))</f>
        <v/>
      </c>
      <c r="B84" s="23">
        <f>IF($O84="","",INDEX(_Helpers!$D$2:$D$151,$O84-2+1))</f>
        <v/>
      </c>
      <c r="C84" s="24">
        <f>IF($O84="","",INDEX(_Helpers!$B$2:$B$151,$O84-2+1))</f>
        <v/>
      </c>
      <c r="D84" s="24">
        <f>IF($O84="","",INDEX(_Helpers!$C$2:$C$151,$O84-2+1))</f>
        <v/>
      </c>
      <c r="E84" s="24">
        <f>IF($O84="","",INDEX(_Helpers!$L$2:$L$151,$O84-2+1))</f>
        <v/>
      </c>
      <c r="F84" s="25">
        <f>IF($O84="","",INDEX(_Helpers!$M$2:$M$151,$O84-2+1))</f>
        <v/>
      </c>
      <c r="G84" s="26">
        <f>IF($O84="","",IF(INDEX(_Helpers!$G$2:$G$151,$O84-2+1)=1,"Starter",""))</f>
        <v/>
      </c>
      <c r="H84" s="26">
        <f>IF($O84="","",IF(INDEX(_Helpers!$H$2:$H$151,$O84-2+1)=1,"Leaver",""))</f>
        <v/>
      </c>
      <c r="I84" s="26">
        <f>IF($O84="","",INDEX(_Helpers!$P$2:$P$151,$O84-2+1))</f>
        <v/>
      </c>
      <c r="J84" s="25">
        <f>IF($O84="","",INDEX(_Helpers!$V$2:$V$151,$O84-2+1))</f>
        <v/>
      </c>
      <c r="K84" s="26">
        <f>IF($O84="","",INDEX(_Helpers!$AJ$2:$AJ$151,$O84-2+1))</f>
        <v/>
      </c>
      <c r="L84" s="24">
        <f>IF($O84="","",INDEX(_Helpers!$AK$2:$AK$151,$O84-2+1))</f>
        <v/>
      </c>
      <c r="M84" s="27" t="n"/>
      <c r="N84" s="2" t="n"/>
      <c r="O84" s="17">
        <f t="array" ref="O84">IFERROR(SMALL(IF(_Helpers!$F$2:$F$151=1,ROW(_Helpers!$F$2:$F$151)),ROWS($A$4:A84)),"")</f>
        <v/>
      </c>
    </row>
    <row r="85">
      <c r="A85" s="23">
        <f>IF($O85="","",INDEX(_Helpers!$A$2:$A$151,$O85-2+1))</f>
        <v/>
      </c>
      <c r="B85" s="23">
        <f>IF($O85="","",INDEX(_Helpers!$D$2:$D$151,$O85-2+1))</f>
        <v/>
      </c>
      <c r="C85" s="24">
        <f>IF($O85="","",INDEX(_Helpers!$B$2:$B$151,$O85-2+1))</f>
        <v/>
      </c>
      <c r="D85" s="24">
        <f>IF($O85="","",INDEX(_Helpers!$C$2:$C$151,$O85-2+1))</f>
        <v/>
      </c>
      <c r="E85" s="24">
        <f>IF($O85="","",INDEX(_Helpers!$L$2:$L$151,$O85-2+1))</f>
        <v/>
      </c>
      <c r="F85" s="25">
        <f>IF($O85="","",INDEX(_Helpers!$M$2:$M$151,$O85-2+1))</f>
        <v/>
      </c>
      <c r="G85" s="26">
        <f>IF($O85="","",IF(INDEX(_Helpers!$G$2:$G$151,$O85-2+1)=1,"Starter",""))</f>
        <v/>
      </c>
      <c r="H85" s="26">
        <f>IF($O85="","",IF(INDEX(_Helpers!$H$2:$H$151,$O85-2+1)=1,"Leaver",""))</f>
        <v/>
      </c>
      <c r="I85" s="26">
        <f>IF($O85="","",INDEX(_Helpers!$P$2:$P$151,$O85-2+1))</f>
        <v/>
      </c>
      <c r="J85" s="25">
        <f>IF($O85="","",INDEX(_Helpers!$V$2:$V$151,$O85-2+1))</f>
        <v/>
      </c>
      <c r="K85" s="26">
        <f>IF($O85="","",INDEX(_Helpers!$AJ$2:$AJ$151,$O85-2+1))</f>
        <v/>
      </c>
      <c r="L85" s="24">
        <f>IF($O85="","",INDEX(_Helpers!$AK$2:$AK$151,$O85-2+1))</f>
        <v/>
      </c>
      <c r="M85" s="27" t="n"/>
      <c r="N85" s="2" t="n"/>
      <c r="O85" s="17">
        <f t="array" ref="O85">IFERROR(SMALL(IF(_Helpers!$F$2:$F$151=1,ROW(_Helpers!$F$2:$F$151)),ROWS($A$4:A85)),"")</f>
        <v/>
      </c>
    </row>
    <row r="86">
      <c r="A86" s="23">
        <f>IF($O86="","",INDEX(_Helpers!$A$2:$A$151,$O86-2+1))</f>
        <v/>
      </c>
      <c r="B86" s="23">
        <f>IF($O86="","",INDEX(_Helpers!$D$2:$D$151,$O86-2+1))</f>
        <v/>
      </c>
      <c r="C86" s="24">
        <f>IF($O86="","",INDEX(_Helpers!$B$2:$B$151,$O86-2+1))</f>
        <v/>
      </c>
      <c r="D86" s="24">
        <f>IF($O86="","",INDEX(_Helpers!$C$2:$C$151,$O86-2+1))</f>
        <v/>
      </c>
      <c r="E86" s="24">
        <f>IF($O86="","",INDEX(_Helpers!$L$2:$L$151,$O86-2+1))</f>
        <v/>
      </c>
      <c r="F86" s="25">
        <f>IF($O86="","",INDEX(_Helpers!$M$2:$M$151,$O86-2+1))</f>
        <v/>
      </c>
      <c r="G86" s="26">
        <f>IF($O86="","",IF(INDEX(_Helpers!$G$2:$G$151,$O86-2+1)=1,"Starter",""))</f>
        <v/>
      </c>
      <c r="H86" s="26">
        <f>IF($O86="","",IF(INDEX(_Helpers!$H$2:$H$151,$O86-2+1)=1,"Leaver",""))</f>
        <v/>
      </c>
      <c r="I86" s="26">
        <f>IF($O86="","",INDEX(_Helpers!$P$2:$P$151,$O86-2+1))</f>
        <v/>
      </c>
      <c r="J86" s="25">
        <f>IF($O86="","",INDEX(_Helpers!$V$2:$V$151,$O86-2+1))</f>
        <v/>
      </c>
      <c r="K86" s="26">
        <f>IF($O86="","",INDEX(_Helpers!$AJ$2:$AJ$151,$O86-2+1))</f>
        <v/>
      </c>
      <c r="L86" s="24">
        <f>IF($O86="","",INDEX(_Helpers!$AK$2:$AK$151,$O86-2+1))</f>
        <v/>
      </c>
      <c r="M86" s="27" t="n"/>
      <c r="N86" s="2" t="n"/>
      <c r="O86" s="17">
        <f t="array" ref="O86">IFERROR(SMALL(IF(_Helpers!$F$2:$F$151=1,ROW(_Helpers!$F$2:$F$151)),ROWS($A$4:A86)),"")</f>
        <v/>
      </c>
    </row>
    <row r="87">
      <c r="A87" s="23">
        <f>IF($O87="","",INDEX(_Helpers!$A$2:$A$151,$O87-2+1))</f>
        <v/>
      </c>
      <c r="B87" s="23">
        <f>IF($O87="","",INDEX(_Helpers!$D$2:$D$151,$O87-2+1))</f>
        <v/>
      </c>
      <c r="C87" s="24">
        <f>IF($O87="","",INDEX(_Helpers!$B$2:$B$151,$O87-2+1))</f>
        <v/>
      </c>
      <c r="D87" s="24">
        <f>IF($O87="","",INDEX(_Helpers!$C$2:$C$151,$O87-2+1))</f>
        <v/>
      </c>
      <c r="E87" s="24">
        <f>IF($O87="","",INDEX(_Helpers!$L$2:$L$151,$O87-2+1))</f>
        <v/>
      </c>
      <c r="F87" s="25">
        <f>IF($O87="","",INDEX(_Helpers!$M$2:$M$151,$O87-2+1))</f>
        <v/>
      </c>
      <c r="G87" s="26">
        <f>IF($O87="","",IF(INDEX(_Helpers!$G$2:$G$151,$O87-2+1)=1,"Starter",""))</f>
        <v/>
      </c>
      <c r="H87" s="26">
        <f>IF($O87="","",IF(INDEX(_Helpers!$H$2:$H$151,$O87-2+1)=1,"Leaver",""))</f>
        <v/>
      </c>
      <c r="I87" s="26">
        <f>IF($O87="","",INDEX(_Helpers!$P$2:$P$151,$O87-2+1))</f>
        <v/>
      </c>
      <c r="J87" s="25">
        <f>IF($O87="","",INDEX(_Helpers!$V$2:$V$151,$O87-2+1))</f>
        <v/>
      </c>
      <c r="K87" s="26">
        <f>IF($O87="","",INDEX(_Helpers!$AJ$2:$AJ$151,$O87-2+1))</f>
        <v/>
      </c>
      <c r="L87" s="24">
        <f>IF($O87="","",INDEX(_Helpers!$AK$2:$AK$151,$O87-2+1))</f>
        <v/>
      </c>
      <c r="M87" s="27" t="n"/>
      <c r="N87" s="2" t="n"/>
      <c r="O87" s="17">
        <f t="array" ref="O87">IFERROR(SMALL(IF(_Helpers!$F$2:$F$151=1,ROW(_Helpers!$F$2:$F$151)),ROWS($A$4:A87)),"")</f>
        <v/>
      </c>
    </row>
    <row r="88">
      <c r="A88" s="23">
        <f>IF($O88="","",INDEX(_Helpers!$A$2:$A$151,$O88-2+1))</f>
        <v/>
      </c>
      <c r="B88" s="23">
        <f>IF($O88="","",INDEX(_Helpers!$D$2:$D$151,$O88-2+1))</f>
        <v/>
      </c>
      <c r="C88" s="24">
        <f>IF($O88="","",INDEX(_Helpers!$B$2:$B$151,$O88-2+1))</f>
        <v/>
      </c>
      <c r="D88" s="24">
        <f>IF($O88="","",INDEX(_Helpers!$C$2:$C$151,$O88-2+1))</f>
        <v/>
      </c>
      <c r="E88" s="24">
        <f>IF($O88="","",INDEX(_Helpers!$L$2:$L$151,$O88-2+1))</f>
        <v/>
      </c>
      <c r="F88" s="25">
        <f>IF($O88="","",INDEX(_Helpers!$M$2:$M$151,$O88-2+1))</f>
        <v/>
      </c>
      <c r="G88" s="26">
        <f>IF($O88="","",IF(INDEX(_Helpers!$G$2:$G$151,$O88-2+1)=1,"Starter",""))</f>
        <v/>
      </c>
      <c r="H88" s="26">
        <f>IF($O88="","",IF(INDEX(_Helpers!$H$2:$H$151,$O88-2+1)=1,"Leaver",""))</f>
        <v/>
      </c>
      <c r="I88" s="26">
        <f>IF($O88="","",INDEX(_Helpers!$P$2:$P$151,$O88-2+1))</f>
        <v/>
      </c>
      <c r="J88" s="25">
        <f>IF($O88="","",INDEX(_Helpers!$V$2:$V$151,$O88-2+1))</f>
        <v/>
      </c>
      <c r="K88" s="26">
        <f>IF($O88="","",INDEX(_Helpers!$AJ$2:$AJ$151,$O88-2+1))</f>
        <v/>
      </c>
      <c r="L88" s="24">
        <f>IF($O88="","",INDEX(_Helpers!$AK$2:$AK$151,$O88-2+1))</f>
        <v/>
      </c>
      <c r="M88" s="27" t="n"/>
      <c r="N88" s="2" t="n"/>
      <c r="O88" s="17">
        <f t="array" ref="O88">IFERROR(SMALL(IF(_Helpers!$F$2:$F$151=1,ROW(_Helpers!$F$2:$F$151)),ROWS($A$4:A88)),"")</f>
        <v/>
      </c>
    </row>
    <row r="89">
      <c r="A89" s="23">
        <f>IF($O89="","",INDEX(_Helpers!$A$2:$A$151,$O89-2+1))</f>
        <v/>
      </c>
      <c r="B89" s="23">
        <f>IF($O89="","",INDEX(_Helpers!$D$2:$D$151,$O89-2+1))</f>
        <v/>
      </c>
      <c r="C89" s="24">
        <f>IF($O89="","",INDEX(_Helpers!$B$2:$B$151,$O89-2+1))</f>
        <v/>
      </c>
      <c r="D89" s="24">
        <f>IF($O89="","",INDEX(_Helpers!$C$2:$C$151,$O89-2+1))</f>
        <v/>
      </c>
      <c r="E89" s="24">
        <f>IF($O89="","",INDEX(_Helpers!$L$2:$L$151,$O89-2+1))</f>
        <v/>
      </c>
      <c r="F89" s="25">
        <f>IF($O89="","",INDEX(_Helpers!$M$2:$M$151,$O89-2+1))</f>
        <v/>
      </c>
      <c r="G89" s="26">
        <f>IF($O89="","",IF(INDEX(_Helpers!$G$2:$G$151,$O89-2+1)=1,"Starter",""))</f>
        <v/>
      </c>
      <c r="H89" s="26">
        <f>IF($O89="","",IF(INDEX(_Helpers!$H$2:$H$151,$O89-2+1)=1,"Leaver",""))</f>
        <v/>
      </c>
      <c r="I89" s="26">
        <f>IF($O89="","",INDEX(_Helpers!$P$2:$P$151,$O89-2+1))</f>
        <v/>
      </c>
      <c r="J89" s="25">
        <f>IF($O89="","",INDEX(_Helpers!$V$2:$V$151,$O89-2+1))</f>
        <v/>
      </c>
      <c r="K89" s="26">
        <f>IF($O89="","",INDEX(_Helpers!$AJ$2:$AJ$151,$O89-2+1))</f>
        <v/>
      </c>
      <c r="L89" s="24">
        <f>IF($O89="","",INDEX(_Helpers!$AK$2:$AK$151,$O89-2+1))</f>
        <v/>
      </c>
      <c r="M89" s="27" t="n"/>
      <c r="N89" s="2" t="n"/>
      <c r="O89" s="17">
        <f t="array" ref="O89">IFERROR(SMALL(IF(_Helpers!$F$2:$F$151=1,ROW(_Helpers!$F$2:$F$151)),ROWS($A$4:A89)),"")</f>
        <v/>
      </c>
    </row>
    <row r="90">
      <c r="A90" s="23">
        <f>IF($O90="","",INDEX(_Helpers!$A$2:$A$151,$O90-2+1))</f>
        <v/>
      </c>
      <c r="B90" s="23">
        <f>IF($O90="","",INDEX(_Helpers!$D$2:$D$151,$O90-2+1))</f>
        <v/>
      </c>
      <c r="C90" s="24">
        <f>IF($O90="","",INDEX(_Helpers!$B$2:$B$151,$O90-2+1))</f>
        <v/>
      </c>
      <c r="D90" s="24">
        <f>IF($O90="","",INDEX(_Helpers!$C$2:$C$151,$O90-2+1))</f>
        <v/>
      </c>
      <c r="E90" s="24">
        <f>IF($O90="","",INDEX(_Helpers!$L$2:$L$151,$O90-2+1))</f>
        <v/>
      </c>
      <c r="F90" s="25">
        <f>IF($O90="","",INDEX(_Helpers!$M$2:$M$151,$O90-2+1))</f>
        <v/>
      </c>
      <c r="G90" s="26">
        <f>IF($O90="","",IF(INDEX(_Helpers!$G$2:$G$151,$O90-2+1)=1,"Starter",""))</f>
        <v/>
      </c>
      <c r="H90" s="26">
        <f>IF($O90="","",IF(INDEX(_Helpers!$H$2:$H$151,$O90-2+1)=1,"Leaver",""))</f>
        <v/>
      </c>
      <c r="I90" s="26">
        <f>IF($O90="","",INDEX(_Helpers!$P$2:$P$151,$O90-2+1))</f>
        <v/>
      </c>
      <c r="J90" s="25">
        <f>IF($O90="","",INDEX(_Helpers!$V$2:$V$151,$O90-2+1))</f>
        <v/>
      </c>
      <c r="K90" s="26">
        <f>IF($O90="","",INDEX(_Helpers!$AJ$2:$AJ$151,$O90-2+1))</f>
        <v/>
      </c>
      <c r="L90" s="24">
        <f>IF($O90="","",INDEX(_Helpers!$AK$2:$AK$151,$O90-2+1))</f>
        <v/>
      </c>
      <c r="M90" s="27" t="n"/>
      <c r="N90" s="2" t="n"/>
      <c r="O90" s="17">
        <f t="array" ref="O90">IFERROR(SMALL(IF(_Helpers!$F$2:$F$151=1,ROW(_Helpers!$F$2:$F$151)),ROWS($A$4:A90)),"")</f>
        <v/>
      </c>
    </row>
    <row r="91">
      <c r="A91" s="23">
        <f>IF($O91="","",INDEX(_Helpers!$A$2:$A$151,$O91-2+1))</f>
        <v/>
      </c>
      <c r="B91" s="23">
        <f>IF($O91="","",INDEX(_Helpers!$D$2:$D$151,$O91-2+1))</f>
        <v/>
      </c>
      <c r="C91" s="24">
        <f>IF($O91="","",INDEX(_Helpers!$B$2:$B$151,$O91-2+1))</f>
        <v/>
      </c>
      <c r="D91" s="24">
        <f>IF($O91="","",INDEX(_Helpers!$C$2:$C$151,$O91-2+1))</f>
        <v/>
      </c>
      <c r="E91" s="24">
        <f>IF($O91="","",INDEX(_Helpers!$L$2:$L$151,$O91-2+1))</f>
        <v/>
      </c>
      <c r="F91" s="25">
        <f>IF($O91="","",INDEX(_Helpers!$M$2:$M$151,$O91-2+1))</f>
        <v/>
      </c>
      <c r="G91" s="26">
        <f>IF($O91="","",IF(INDEX(_Helpers!$G$2:$G$151,$O91-2+1)=1,"Starter",""))</f>
        <v/>
      </c>
      <c r="H91" s="26">
        <f>IF($O91="","",IF(INDEX(_Helpers!$H$2:$H$151,$O91-2+1)=1,"Leaver",""))</f>
        <v/>
      </c>
      <c r="I91" s="26">
        <f>IF($O91="","",INDEX(_Helpers!$P$2:$P$151,$O91-2+1))</f>
        <v/>
      </c>
      <c r="J91" s="25">
        <f>IF($O91="","",INDEX(_Helpers!$V$2:$V$151,$O91-2+1))</f>
        <v/>
      </c>
      <c r="K91" s="26">
        <f>IF($O91="","",INDEX(_Helpers!$AJ$2:$AJ$151,$O91-2+1))</f>
        <v/>
      </c>
      <c r="L91" s="24">
        <f>IF($O91="","",INDEX(_Helpers!$AK$2:$AK$151,$O91-2+1))</f>
        <v/>
      </c>
      <c r="M91" s="27" t="n"/>
      <c r="N91" s="2" t="n"/>
      <c r="O91" s="17">
        <f t="array" ref="O91">IFERROR(SMALL(IF(_Helpers!$F$2:$F$151=1,ROW(_Helpers!$F$2:$F$151)),ROWS($A$4:A91)),"")</f>
        <v/>
      </c>
    </row>
    <row r="92">
      <c r="A92" s="23">
        <f>IF($O92="","",INDEX(_Helpers!$A$2:$A$151,$O92-2+1))</f>
        <v/>
      </c>
      <c r="B92" s="23">
        <f>IF($O92="","",INDEX(_Helpers!$D$2:$D$151,$O92-2+1))</f>
        <v/>
      </c>
      <c r="C92" s="24">
        <f>IF($O92="","",INDEX(_Helpers!$B$2:$B$151,$O92-2+1))</f>
        <v/>
      </c>
      <c r="D92" s="24">
        <f>IF($O92="","",INDEX(_Helpers!$C$2:$C$151,$O92-2+1))</f>
        <v/>
      </c>
      <c r="E92" s="24">
        <f>IF($O92="","",INDEX(_Helpers!$L$2:$L$151,$O92-2+1))</f>
        <v/>
      </c>
      <c r="F92" s="25">
        <f>IF($O92="","",INDEX(_Helpers!$M$2:$M$151,$O92-2+1))</f>
        <v/>
      </c>
      <c r="G92" s="26">
        <f>IF($O92="","",IF(INDEX(_Helpers!$G$2:$G$151,$O92-2+1)=1,"Starter",""))</f>
        <v/>
      </c>
      <c r="H92" s="26">
        <f>IF($O92="","",IF(INDEX(_Helpers!$H$2:$H$151,$O92-2+1)=1,"Leaver",""))</f>
        <v/>
      </c>
      <c r="I92" s="26">
        <f>IF($O92="","",INDEX(_Helpers!$P$2:$P$151,$O92-2+1))</f>
        <v/>
      </c>
      <c r="J92" s="25">
        <f>IF($O92="","",INDEX(_Helpers!$V$2:$V$151,$O92-2+1))</f>
        <v/>
      </c>
      <c r="K92" s="26">
        <f>IF($O92="","",INDEX(_Helpers!$AJ$2:$AJ$151,$O92-2+1))</f>
        <v/>
      </c>
      <c r="L92" s="24">
        <f>IF($O92="","",INDEX(_Helpers!$AK$2:$AK$151,$O92-2+1))</f>
        <v/>
      </c>
      <c r="M92" s="27" t="n"/>
      <c r="N92" s="2" t="n"/>
      <c r="O92" s="17">
        <f t="array" ref="O92">IFERROR(SMALL(IF(_Helpers!$F$2:$F$151=1,ROW(_Helpers!$F$2:$F$151)),ROWS($A$4:A92)),"")</f>
        <v/>
      </c>
    </row>
    <row r="93">
      <c r="A93" s="23">
        <f>IF($O93="","",INDEX(_Helpers!$A$2:$A$151,$O93-2+1))</f>
        <v/>
      </c>
      <c r="B93" s="23">
        <f>IF($O93="","",INDEX(_Helpers!$D$2:$D$151,$O93-2+1))</f>
        <v/>
      </c>
      <c r="C93" s="24">
        <f>IF($O93="","",INDEX(_Helpers!$B$2:$B$151,$O93-2+1))</f>
        <v/>
      </c>
      <c r="D93" s="24">
        <f>IF($O93="","",INDEX(_Helpers!$C$2:$C$151,$O93-2+1))</f>
        <v/>
      </c>
      <c r="E93" s="24">
        <f>IF($O93="","",INDEX(_Helpers!$L$2:$L$151,$O93-2+1))</f>
        <v/>
      </c>
      <c r="F93" s="25">
        <f>IF($O93="","",INDEX(_Helpers!$M$2:$M$151,$O93-2+1))</f>
        <v/>
      </c>
      <c r="G93" s="26">
        <f>IF($O93="","",IF(INDEX(_Helpers!$G$2:$G$151,$O93-2+1)=1,"Starter",""))</f>
        <v/>
      </c>
      <c r="H93" s="26">
        <f>IF($O93="","",IF(INDEX(_Helpers!$H$2:$H$151,$O93-2+1)=1,"Leaver",""))</f>
        <v/>
      </c>
      <c r="I93" s="26">
        <f>IF($O93="","",INDEX(_Helpers!$P$2:$P$151,$O93-2+1))</f>
        <v/>
      </c>
      <c r="J93" s="25">
        <f>IF($O93="","",INDEX(_Helpers!$V$2:$V$151,$O93-2+1))</f>
        <v/>
      </c>
      <c r="K93" s="26">
        <f>IF($O93="","",INDEX(_Helpers!$AJ$2:$AJ$151,$O93-2+1))</f>
        <v/>
      </c>
      <c r="L93" s="24">
        <f>IF($O93="","",INDEX(_Helpers!$AK$2:$AK$151,$O93-2+1))</f>
        <v/>
      </c>
      <c r="M93" s="27" t="n"/>
      <c r="N93" s="2" t="n"/>
      <c r="O93" s="17">
        <f t="array" ref="O93">IFERROR(SMALL(IF(_Helpers!$F$2:$F$151=1,ROW(_Helpers!$F$2:$F$151)),ROWS($A$4:A93)),"")</f>
        <v/>
      </c>
    </row>
    <row r="94">
      <c r="A94" s="23">
        <f>IF($O94="","",INDEX(_Helpers!$A$2:$A$151,$O94-2+1))</f>
        <v/>
      </c>
      <c r="B94" s="23">
        <f>IF($O94="","",INDEX(_Helpers!$D$2:$D$151,$O94-2+1))</f>
        <v/>
      </c>
      <c r="C94" s="24">
        <f>IF($O94="","",INDEX(_Helpers!$B$2:$B$151,$O94-2+1))</f>
        <v/>
      </c>
      <c r="D94" s="24">
        <f>IF($O94="","",INDEX(_Helpers!$C$2:$C$151,$O94-2+1))</f>
        <v/>
      </c>
      <c r="E94" s="24">
        <f>IF($O94="","",INDEX(_Helpers!$L$2:$L$151,$O94-2+1))</f>
        <v/>
      </c>
      <c r="F94" s="25">
        <f>IF($O94="","",INDEX(_Helpers!$M$2:$M$151,$O94-2+1))</f>
        <v/>
      </c>
      <c r="G94" s="26">
        <f>IF($O94="","",IF(INDEX(_Helpers!$G$2:$G$151,$O94-2+1)=1,"Starter",""))</f>
        <v/>
      </c>
      <c r="H94" s="26">
        <f>IF($O94="","",IF(INDEX(_Helpers!$H$2:$H$151,$O94-2+1)=1,"Leaver",""))</f>
        <v/>
      </c>
      <c r="I94" s="26">
        <f>IF($O94="","",INDEX(_Helpers!$P$2:$P$151,$O94-2+1))</f>
        <v/>
      </c>
      <c r="J94" s="25">
        <f>IF($O94="","",INDEX(_Helpers!$V$2:$V$151,$O94-2+1))</f>
        <v/>
      </c>
      <c r="K94" s="26">
        <f>IF($O94="","",INDEX(_Helpers!$AJ$2:$AJ$151,$O94-2+1))</f>
        <v/>
      </c>
      <c r="L94" s="24">
        <f>IF($O94="","",INDEX(_Helpers!$AK$2:$AK$151,$O94-2+1))</f>
        <v/>
      </c>
      <c r="M94" s="27" t="n"/>
      <c r="N94" s="2" t="n"/>
      <c r="O94" s="17">
        <f t="array" ref="O94">IFERROR(SMALL(IF(_Helpers!$F$2:$F$151=1,ROW(_Helpers!$F$2:$F$151)),ROWS($A$4:A94)),"")</f>
        <v/>
      </c>
    </row>
    <row r="95">
      <c r="A95" s="23">
        <f>IF($O95="","",INDEX(_Helpers!$A$2:$A$151,$O95-2+1))</f>
        <v/>
      </c>
      <c r="B95" s="23">
        <f>IF($O95="","",INDEX(_Helpers!$D$2:$D$151,$O95-2+1))</f>
        <v/>
      </c>
      <c r="C95" s="24">
        <f>IF($O95="","",INDEX(_Helpers!$B$2:$B$151,$O95-2+1))</f>
        <v/>
      </c>
      <c r="D95" s="24">
        <f>IF($O95="","",INDEX(_Helpers!$C$2:$C$151,$O95-2+1))</f>
        <v/>
      </c>
      <c r="E95" s="24">
        <f>IF($O95="","",INDEX(_Helpers!$L$2:$L$151,$O95-2+1))</f>
        <v/>
      </c>
      <c r="F95" s="25">
        <f>IF($O95="","",INDEX(_Helpers!$M$2:$M$151,$O95-2+1))</f>
        <v/>
      </c>
      <c r="G95" s="26">
        <f>IF($O95="","",IF(INDEX(_Helpers!$G$2:$G$151,$O95-2+1)=1,"Starter",""))</f>
        <v/>
      </c>
      <c r="H95" s="26">
        <f>IF($O95="","",IF(INDEX(_Helpers!$H$2:$H$151,$O95-2+1)=1,"Leaver",""))</f>
        <v/>
      </c>
      <c r="I95" s="26">
        <f>IF($O95="","",INDEX(_Helpers!$P$2:$P$151,$O95-2+1))</f>
        <v/>
      </c>
      <c r="J95" s="25">
        <f>IF($O95="","",INDEX(_Helpers!$V$2:$V$151,$O95-2+1))</f>
        <v/>
      </c>
      <c r="K95" s="26">
        <f>IF($O95="","",INDEX(_Helpers!$AJ$2:$AJ$151,$O95-2+1))</f>
        <v/>
      </c>
      <c r="L95" s="24">
        <f>IF($O95="","",INDEX(_Helpers!$AK$2:$AK$151,$O95-2+1))</f>
        <v/>
      </c>
      <c r="M95" s="27" t="n"/>
      <c r="N95" s="2" t="n"/>
      <c r="O95" s="17">
        <f t="array" ref="O95">IFERROR(SMALL(IF(_Helpers!$F$2:$F$151=1,ROW(_Helpers!$F$2:$F$151)),ROWS($A$4:A95)),"")</f>
        <v/>
      </c>
    </row>
    <row r="96">
      <c r="A96" s="23">
        <f>IF($O96="","",INDEX(_Helpers!$A$2:$A$151,$O96-2+1))</f>
        <v/>
      </c>
      <c r="B96" s="23">
        <f>IF($O96="","",INDEX(_Helpers!$D$2:$D$151,$O96-2+1))</f>
        <v/>
      </c>
      <c r="C96" s="24">
        <f>IF($O96="","",INDEX(_Helpers!$B$2:$B$151,$O96-2+1))</f>
        <v/>
      </c>
      <c r="D96" s="24">
        <f>IF($O96="","",INDEX(_Helpers!$C$2:$C$151,$O96-2+1))</f>
        <v/>
      </c>
      <c r="E96" s="24">
        <f>IF($O96="","",INDEX(_Helpers!$L$2:$L$151,$O96-2+1))</f>
        <v/>
      </c>
      <c r="F96" s="25">
        <f>IF($O96="","",INDEX(_Helpers!$M$2:$M$151,$O96-2+1))</f>
        <v/>
      </c>
      <c r="G96" s="26">
        <f>IF($O96="","",IF(INDEX(_Helpers!$G$2:$G$151,$O96-2+1)=1,"Starter",""))</f>
        <v/>
      </c>
      <c r="H96" s="26">
        <f>IF($O96="","",IF(INDEX(_Helpers!$H$2:$H$151,$O96-2+1)=1,"Leaver",""))</f>
        <v/>
      </c>
      <c r="I96" s="26">
        <f>IF($O96="","",INDEX(_Helpers!$P$2:$P$151,$O96-2+1))</f>
        <v/>
      </c>
      <c r="J96" s="25">
        <f>IF($O96="","",INDEX(_Helpers!$V$2:$V$151,$O96-2+1))</f>
        <v/>
      </c>
      <c r="K96" s="26">
        <f>IF($O96="","",INDEX(_Helpers!$AJ$2:$AJ$151,$O96-2+1))</f>
        <v/>
      </c>
      <c r="L96" s="24">
        <f>IF($O96="","",INDEX(_Helpers!$AK$2:$AK$151,$O96-2+1))</f>
        <v/>
      </c>
      <c r="M96" s="27" t="n"/>
      <c r="N96" s="2" t="n"/>
      <c r="O96" s="17">
        <f t="array" ref="O96">IFERROR(SMALL(IF(_Helpers!$F$2:$F$151=1,ROW(_Helpers!$F$2:$F$151)),ROWS($A$4:A96)),"")</f>
        <v/>
      </c>
    </row>
    <row r="97">
      <c r="A97" s="23">
        <f>IF($O97="","",INDEX(_Helpers!$A$2:$A$151,$O97-2+1))</f>
        <v/>
      </c>
      <c r="B97" s="23">
        <f>IF($O97="","",INDEX(_Helpers!$D$2:$D$151,$O97-2+1))</f>
        <v/>
      </c>
      <c r="C97" s="24">
        <f>IF($O97="","",INDEX(_Helpers!$B$2:$B$151,$O97-2+1))</f>
        <v/>
      </c>
      <c r="D97" s="24">
        <f>IF($O97="","",INDEX(_Helpers!$C$2:$C$151,$O97-2+1))</f>
        <v/>
      </c>
      <c r="E97" s="24">
        <f>IF($O97="","",INDEX(_Helpers!$L$2:$L$151,$O97-2+1))</f>
        <v/>
      </c>
      <c r="F97" s="25">
        <f>IF($O97="","",INDEX(_Helpers!$M$2:$M$151,$O97-2+1))</f>
        <v/>
      </c>
      <c r="G97" s="26">
        <f>IF($O97="","",IF(INDEX(_Helpers!$G$2:$G$151,$O97-2+1)=1,"Starter",""))</f>
        <v/>
      </c>
      <c r="H97" s="26">
        <f>IF($O97="","",IF(INDEX(_Helpers!$H$2:$H$151,$O97-2+1)=1,"Leaver",""))</f>
        <v/>
      </c>
      <c r="I97" s="26">
        <f>IF($O97="","",INDEX(_Helpers!$P$2:$P$151,$O97-2+1))</f>
        <v/>
      </c>
      <c r="J97" s="25">
        <f>IF($O97="","",INDEX(_Helpers!$V$2:$V$151,$O97-2+1))</f>
        <v/>
      </c>
      <c r="K97" s="26">
        <f>IF($O97="","",INDEX(_Helpers!$AJ$2:$AJ$151,$O97-2+1))</f>
        <v/>
      </c>
      <c r="L97" s="24">
        <f>IF($O97="","",INDEX(_Helpers!$AK$2:$AK$151,$O97-2+1))</f>
        <v/>
      </c>
      <c r="M97" s="27" t="n"/>
      <c r="N97" s="2" t="n"/>
      <c r="O97" s="17">
        <f t="array" ref="O97">IFERROR(SMALL(IF(_Helpers!$F$2:$F$151=1,ROW(_Helpers!$F$2:$F$151)),ROWS($A$4:A97)),"")</f>
        <v/>
      </c>
    </row>
    <row r="98">
      <c r="A98" s="23">
        <f>IF($O98="","",INDEX(_Helpers!$A$2:$A$151,$O98-2+1))</f>
        <v/>
      </c>
      <c r="B98" s="23">
        <f>IF($O98="","",INDEX(_Helpers!$D$2:$D$151,$O98-2+1))</f>
        <v/>
      </c>
      <c r="C98" s="24">
        <f>IF($O98="","",INDEX(_Helpers!$B$2:$B$151,$O98-2+1))</f>
        <v/>
      </c>
      <c r="D98" s="24">
        <f>IF($O98="","",INDEX(_Helpers!$C$2:$C$151,$O98-2+1))</f>
        <v/>
      </c>
      <c r="E98" s="24">
        <f>IF($O98="","",INDEX(_Helpers!$L$2:$L$151,$O98-2+1))</f>
        <v/>
      </c>
      <c r="F98" s="25">
        <f>IF($O98="","",INDEX(_Helpers!$M$2:$M$151,$O98-2+1))</f>
        <v/>
      </c>
      <c r="G98" s="26">
        <f>IF($O98="","",IF(INDEX(_Helpers!$G$2:$G$151,$O98-2+1)=1,"Starter",""))</f>
        <v/>
      </c>
      <c r="H98" s="26">
        <f>IF($O98="","",IF(INDEX(_Helpers!$H$2:$H$151,$O98-2+1)=1,"Leaver",""))</f>
        <v/>
      </c>
      <c r="I98" s="26">
        <f>IF($O98="","",INDEX(_Helpers!$P$2:$P$151,$O98-2+1))</f>
        <v/>
      </c>
      <c r="J98" s="25">
        <f>IF($O98="","",INDEX(_Helpers!$V$2:$V$151,$O98-2+1))</f>
        <v/>
      </c>
      <c r="K98" s="26">
        <f>IF($O98="","",INDEX(_Helpers!$AJ$2:$AJ$151,$O98-2+1))</f>
        <v/>
      </c>
      <c r="L98" s="24">
        <f>IF($O98="","",INDEX(_Helpers!$AK$2:$AK$151,$O98-2+1))</f>
        <v/>
      </c>
      <c r="M98" s="27" t="n"/>
      <c r="N98" s="2" t="n"/>
      <c r="O98" s="17">
        <f t="array" ref="O98">IFERROR(SMALL(IF(_Helpers!$F$2:$F$151=1,ROW(_Helpers!$F$2:$F$151)),ROWS($A$4:A98)),"")</f>
        <v/>
      </c>
    </row>
    <row r="99">
      <c r="A99" s="23">
        <f>IF($O99="","",INDEX(_Helpers!$A$2:$A$151,$O99-2+1))</f>
        <v/>
      </c>
      <c r="B99" s="23">
        <f>IF($O99="","",INDEX(_Helpers!$D$2:$D$151,$O99-2+1))</f>
        <v/>
      </c>
      <c r="C99" s="24">
        <f>IF($O99="","",INDEX(_Helpers!$B$2:$B$151,$O99-2+1))</f>
        <v/>
      </c>
      <c r="D99" s="24">
        <f>IF($O99="","",INDEX(_Helpers!$C$2:$C$151,$O99-2+1))</f>
        <v/>
      </c>
      <c r="E99" s="24">
        <f>IF($O99="","",INDEX(_Helpers!$L$2:$L$151,$O99-2+1))</f>
        <v/>
      </c>
      <c r="F99" s="25">
        <f>IF($O99="","",INDEX(_Helpers!$M$2:$M$151,$O99-2+1))</f>
        <v/>
      </c>
      <c r="G99" s="26">
        <f>IF($O99="","",IF(INDEX(_Helpers!$G$2:$G$151,$O99-2+1)=1,"Starter",""))</f>
        <v/>
      </c>
      <c r="H99" s="26">
        <f>IF($O99="","",IF(INDEX(_Helpers!$H$2:$H$151,$O99-2+1)=1,"Leaver",""))</f>
        <v/>
      </c>
      <c r="I99" s="26">
        <f>IF($O99="","",INDEX(_Helpers!$P$2:$P$151,$O99-2+1))</f>
        <v/>
      </c>
      <c r="J99" s="25">
        <f>IF($O99="","",INDEX(_Helpers!$V$2:$V$151,$O99-2+1))</f>
        <v/>
      </c>
      <c r="K99" s="26">
        <f>IF($O99="","",INDEX(_Helpers!$AJ$2:$AJ$151,$O99-2+1))</f>
        <v/>
      </c>
      <c r="L99" s="24">
        <f>IF($O99="","",INDEX(_Helpers!$AK$2:$AK$151,$O99-2+1))</f>
        <v/>
      </c>
      <c r="M99" s="27" t="n"/>
      <c r="N99" s="2" t="n"/>
      <c r="O99" s="17">
        <f t="array" ref="O99">IFERROR(SMALL(IF(_Helpers!$F$2:$F$151=1,ROW(_Helpers!$F$2:$F$151)),ROWS($A$4:A99)),"")</f>
        <v/>
      </c>
    </row>
    <row r="100">
      <c r="A100" s="23">
        <f>IF($O100="","",INDEX(_Helpers!$A$2:$A$151,$O100-2+1))</f>
        <v/>
      </c>
      <c r="B100" s="23">
        <f>IF($O100="","",INDEX(_Helpers!$D$2:$D$151,$O100-2+1))</f>
        <v/>
      </c>
      <c r="C100" s="24">
        <f>IF($O100="","",INDEX(_Helpers!$B$2:$B$151,$O100-2+1))</f>
        <v/>
      </c>
      <c r="D100" s="24">
        <f>IF($O100="","",INDEX(_Helpers!$C$2:$C$151,$O100-2+1))</f>
        <v/>
      </c>
      <c r="E100" s="24">
        <f>IF($O100="","",INDEX(_Helpers!$L$2:$L$151,$O100-2+1))</f>
        <v/>
      </c>
      <c r="F100" s="25">
        <f>IF($O100="","",INDEX(_Helpers!$M$2:$M$151,$O100-2+1))</f>
        <v/>
      </c>
      <c r="G100" s="26">
        <f>IF($O100="","",IF(INDEX(_Helpers!$G$2:$G$151,$O100-2+1)=1,"Starter",""))</f>
        <v/>
      </c>
      <c r="H100" s="26">
        <f>IF($O100="","",IF(INDEX(_Helpers!$H$2:$H$151,$O100-2+1)=1,"Leaver",""))</f>
        <v/>
      </c>
      <c r="I100" s="26">
        <f>IF($O100="","",INDEX(_Helpers!$P$2:$P$151,$O100-2+1))</f>
        <v/>
      </c>
      <c r="J100" s="25">
        <f>IF($O100="","",INDEX(_Helpers!$V$2:$V$151,$O100-2+1))</f>
        <v/>
      </c>
      <c r="K100" s="26">
        <f>IF($O100="","",INDEX(_Helpers!$AJ$2:$AJ$151,$O100-2+1))</f>
        <v/>
      </c>
      <c r="L100" s="24">
        <f>IF($O100="","",INDEX(_Helpers!$AK$2:$AK$151,$O100-2+1))</f>
        <v/>
      </c>
      <c r="M100" s="27" t="n"/>
      <c r="N100" s="2" t="n"/>
      <c r="O100" s="17">
        <f t="array" ref="O100">IFERROR(SMALL(IF(_Helpers!$F$2:$F$151=1,ROW(_Helpers!$F$2:$F$151)),ROWS($A$4:A100)),"")</f>
        <v/>
      </c>
    </row>
    <row r="101">
      <c r="A101" s="23">
        <f>IF($O101="","",INDEX(_Helpers!$A$2:$A$151,$O101-2+1))</f>
        <v/>
      </c>
      <c r="B101" s="23">
        <f>IF($O101="","",INDEX(_Helpers!$D$2:$D$151,$O101-2+1))</f>
        <v/>
      </c>
      <c r="C101" s="24">
        <f>IF($O101="","",INDEX(_Helpers!$B$2:$B$151,$O101-2+1))</f>
        <v/>
      </c>
      <c r="D101" s="24">
        <f>IF($O101="","",INDEX(_Helpers!$C$2:$C$151,$O101-2+1))</f>
        <v/>
      </c>
      <c r="E101" s="24">
        <f>IF($O101="","",INDEX(_Helpers!$L$2:$L$151,$O101-2+1))</f>
        <v/>
      </c>
      <c r="F101" s="25">
        <f>IF($O101="","",INDEX(_Helpers!$M$2:$M$151,$O101-2+1))</f>
        <v/>
      </c>
      <c r="G101" s="26">
        <f>IF($O101="","",IF(INDEX(_Helpers!$G$2:$G$151,$O101-2+1)=1,"Starter",""))</f>
        <v/>
      </c>
      <c r="H101" s="26">
        <f>IF($O101="","",IF(INDEX(_Helpers!$H$2:$H$151,$O101-2+1)=1,"Leaver",""))</f>
        <v/>
      </c>
      <c r="I101" s="26">
        <f>IF($O101="","",INDEX(_Helpers!$P$2:$P$151,$O101-2+1))</f>
        <v/>
      </c>
      <c r="J101" s="25">
        <f>IF($O101="","",INDEX(_Helpers!$V$2:$V$151,$O101-2+1))</f>
        <v/>
      </c>
      <c r="K101" s="26">
        <f>IF($O101="","",INDEX(_Helpers!$AJ$2:$AJ$151,$O101-2+1))</f>
        <v/>
      </c>
      <c r="L101" s="24">
        <f>IF($O101="","",INDEX(_Helpers!$AK$2:$AK$151,$O101-2+1))</f>
        <v/>
      </c>
      <c r="M101" s="27" t="n"/>
      <c r="N101" s="2" t="n"/>
      <c r="O101" s="17">
        <f t="array" ref="O101">IFERROR(SMALL(IF(_Helpers!$F$2:$F$151=1,ROW(_Helpers!$F$2:$F$151)),ROWS($A$4:A101)),"")</f>
        <v/>
      </c>
    </row>
    <row r="102">
      <c r="A102" s="23">
        <f>IF($O102="","",INDEX(_Helpers!$A$2:$A$151,$O102-2+1))</f>
        <v/>
      </c>
      <c r="B102" s="23">
        <f>IF($O102="","",INDEX(_Helpers!$D$2:$D$151,$O102-2+1))</f>
        <v/>
      </c>
      <c r="C102" s="24">
        <f>IF($O102="","",INDEX(_Helpers!$B$2:$B$151,$O102-2+1))</f>
        <v/>
      </c>
      <c r="D102" s="24">
        <f>IF($O102="","",INDEX(_Helpers!$C$2:$C$151,$O102-2+1))</f>
        <v/>
      </c>
      <c r="E102" s="24">
        <f>IF($O102="","",INDEX(_Helpers!$L$2:$L$151,$O102-2+1))</f>
        <v/>
      </c>
      <c r="F102" s="25">
        <f>IF($O102="","",INDEX(_Helpers!$M$2:$M$151,$O102-2+1))</f>
        <v/>
      </c>
      <c r="G102" s="26">
        <f>IF($O102="","",IF(INDEX(_Helpers!$G$2:$G$151,$O102-2+1)=1,"Starter",""))</f>
        <v/>
      </c>
      <c r="H102" s="26">
        <f>IF($O102="","",IF(INDEX(_Helpers!$H$2:$H$151,$O102-2+1)=1,"Leaver",""))</f>
        <v/>
      </c>
      <c r="I102" s="26">
        <f>IF($O102="","",INDEX(_Helpers!$P$2:$P$151,$O102-2+1))</f>
        <v/>
      </c>
      <c r="J102" s="25">
        <f>IF($O102="","",INDEX(_Helpers!$V$2:$V$151,$O102-2+1))</f>
        <v/>
      </c>
      <c r="K102" s="26">
        <f>IF($O102="","",INDEX(_Helpers!$AJ$2:$AJ$151,$O102-2+1))</f>
        <v/>
      </c>
      <c r="L102" s="24">
        <f>IF($O102="","",INDEX(_Helpers!$AK$2:$AK$151,$O102-2+1))</f>
        <v/>
      </c>
      <c r="M102" s="27" t="n"/>
      <c r="N102" s="2" t="n"/>
      <c r="O102" s="17">
        <f t="array" ref="O102">IFERROR(SMALL(IF(_Helpers!$F$2:$F$151=1,ROW(_Helpers!$F$2:$F$151)),ROWS($A$4:A102)),"")</f>
        <v/>
      </c>
    </row>
    <row r="103">
      <c r="A103" s="23">
        <f>IF($O103="","",INDEX(_Helpers!$A$2:$A$151,$O103-2+1))</f>
        <v/>
      </c>
      <c r="B103" s="23">
        <f>IF($O103="","",INDEX(_Helpers!$D$2:$D$151,$O103-2+1))</f>
        <v/>
      </c>
      <c r="C103" s="24">
        <f>IF($O103="","",INDEX(_Helpers!$B$2:$B$151,$O103-2+1))</f>
        <v/>
      </c>
      <c r="D103" s="24">
        <f>IF($O103="","",INDEX(_Helpers!$C$2:$C$151,$O103-2+1))</f>
        <v/>
      </c>
      <c r="E103" s="24">
        <f>IF($O103="","",INDEX(_Helpers!$L$2:$L$151,$O103-2+1))</f>
        <v/>
      </c>
      <c r="F103" s="25">
        <f>IF($O103="","",INDEX(_Helpers!$M$2:$M$151,$O103-2+1))</f>
        <v/>
      </c>
      <c r="G103" s="26">
        <f>IF($O103="","",IF(INDEX(_Helpers!$G$2:$G$151,$O103-2+1)=1,"Starter",""))</f>
        <v/>
      </c>
      <c r="H103" s="26">
        <f>IF($O103="","",IF(INDEX(_Helpers!$H$2:$H$151,$O103-2+1)=1,"Leaver",""))</f>
        <v/>
      </c>
      <c r="I103" s="26">
        <f>IF($O103="","",INDEX(_Helpers!$P$2:$P$151,$O103-2+1))</f>
        <v/>
      </c>
      <c r="J103" s="25">
        <f>IF($O103="","",INDEX(_Helpers!$V$2:$V$151,$O103-2+1))</f>
        <v/>
      </c>
      <c r="K103" s="26">
        <f>IF($O103="","",INDEX(_Helpers!$AJ$2:$AJ$151,$O103-2+1))</f>
        <v/>
      </c>
      <c r="L103" s="24">
        <f>IF($O103="","",INDEX(_Helpers!$AK$2:$AK$151,$O103-2+1))</f>
        <v/>
      </c>
      <c r="M103" s="27" t="n"/>
      <c r="N103" s="2" t="n"/>
      <c r="O103" s="17">
        <f t="array" ref="O103">IFERROR(SMALL(IF(_Helpers!$F$2:$F$151=1,ROW(_Helpers!$F$2:$F$151)),ROWS($A$4:A103)),"")</f>
        <v/>
      </c>
    </row>
    <row r="104">
      <c r="A104" s="23">
        <f>IF($O104="","",INDEX(_Helpers!$A$2:$A$151,$O104-2+1))</f>
        <v/>
      </c>
      <c r="B104" s="23">
        <f>IF($O104="","",INDEX(_Helpers!$D$2:$D$151,$O104-2+1))</f>
        <v/>
      </c>
      <c r="C104" s="24">
        <f>IF($O104="","",INDEX(_Helpers!$B$2:$B$151,$O104-2+1))</f>
        <v/>
      </c>
      <c r="D104" s="24">
        <f>IF($O104="","",INDEX(_Helpers!$C$2:$C$151,$O104-2+1))</f>
        <v/>
      </c>
      <c r="E104" s="24">
        <f>IF($O104="","",INDEX(_Helpers!$L$2:$L$151,$O104-2+1))</f>
        <v/>
      </c>
      <c r="F104" s="25">
        <f>IF($O104="","",INDEX(_Helpers!$M$2:$M$151,$O104-2+1))</f>
        <v/>
      </c>
      <c r="G104" s="26">
        <f>IF($O104="","",IF(INDEX(_Helpers!$G$2:$G$151,$O104-2+1)=1,"Starter",""))</f>
        <v/>
      </c>
      <c r="H104" s="26">
        <f>IF($O104="","",IF(INDEX(_Helpers!$H$2:$H$151,$O104-2+1)=1,"Leaver",""))</f>
        <v/>
      </c>
      <c r="I104" s="26">
        <f>IF($O104="","",INDEX(_Helpers!$P$2:$P$151,$O104-2+1))</f>
        <v/>
      </c>
      <c r="J104" s="25">
        <f>IF($O104="","",INDEX(_Helpers!$V$2:$V$151,$O104-2+1))</f>
        <v/>
      </c>
      <c r="K104" s="26">
        <f>IF($O104="","",INDEX(_Helpers!$AJ$2:$AJ$151,$O104-2+1))</f>
        <v/>
      </c>
      <c r="L104" s="24">
        <f>IF($O104="","",INDEX(_Helpers!$AK$2:$AK$151,$O104-2+1))</f>
        <v/>
      </c>
      <c r="M104" s="27" t="n"/>
      <c r="N104" s="2" t="n"/>
      <c r="O104" s="17">
        <f t="array" ref="O104">IFERROR(SMALL(IF(_Helpers!$F$2:$F$151=1,ROW(_Helpers!$F$2:$F$151)),ROWS($A$4:A104)),"")</f>
        <v/>
      </c>
    </row>
    <row r="105">
      <c r="A105" s="23">
        <f>IF($O105="","",INDEX(_Helpers!$A$2:$A$151,$O105-2+1))</f>
        <v/>
      </c>
      <c r="B105" s="23">
        <f>IF($O105="","",INDEX(_Helpers!$D$2:$D$151,$O105-2+1))</f>
        <v/>
      </c>
      <c r="C105" s="24">
        <f>IF($O105="","",INDEX(_Helpers!$B$2:$B$151,$O105-2+1))</f>
        <v/>
      </c>
      <c r="D105" s="24">
        <f>IF($O105="","",INDEX(_Helpers!$C$2:$C$151,$O105-2+1))</f>
        <v/>
      </c>
      <c r="E105" s="24">
        <f>IF($O105="","",INDEX(_Helpers!$L$2:$L$151,$O105-2+1))</f>
        <v/>
      </c>
      <c r="F105" s="25">
        <f>IF($O105="","",INDEX(_Helpers!$M$2:$M$151,$O105-2+1))</f>
        <v/>
      </c>
      <c r="G105" s="26">
        <f>IF($O105="","",IF(INDEX(_Helpers!$G$2:$G$151,$O105-2+1)=1,"Starter",""))</f>
        <v/>
      </c>
      <c r="H105" s="26">
        <f>IF($O105="","",IF(INDEX(_Helpers!$H$2:$H$151,$O105-2+1)=1,"Leaver",""))</f>
        <v/>
      </c>
      <c r="I105" s="26">
        <f>IF($O105="","",INDEX(_Helpers!$P$2:$P$151,$O105-2+1))</f>
        <v/>
      </c>
      <c r="J105" s="25">
        <f>IF($O105="","",INDEX(_Helpers!$V$2:$V$151,$O105-2+1))</f>
        <v/>
      </c>
      <c r="K105" s="26">
        <f>IF($O105="","",INDEX(_Helpers!$AJ$2:$AJ$151,$O105-2+1))</f>
        <v/>
      </c>
      <c r="L105" s="24">
        <f>IF($O105="","",INDEX(_Helpers!$AK$2:$AK$151,$O105-2+1))</f>
        <v/>
      </c>
      <c r="M105" s="27" t="n"/>
      <c r="N105" s="2" t="n"/>
      <c r="O105" s="17">
        <f t="array" ref="O105">IFERROR(SMALL(IF(_Helpers!$F$2:$F$151=1,ROW(_Helpers!$F$2:$F$151)),ROWS($A$4:A105)),"")</f>
        <v/>
      </c>
    </row>
    <row r="106">
      <c r="A106" s="23">
        <f>IF($O106="","",INDEX(_Helpers!$A$2:$A$151,$O106-2+1))</f>
        <v/>
      </c>
      <c r="B106" s="23">
        <f>IF($O106="","",INDEX(_Helpers!$D$2:$D$151,$O106-2+1))</f>
        <v/>
      </c>
      <c r="C106" s="24">
        <f>IF($O106="","",INDEX(_Helpers!$B$2:$B$151,$O106-2+1))</f>
        <v/>
      </c>
      <c r="D106" s="24">
        <f>IF($O106="","",INDEX(_Helpers!$C$2:$C$151,$O106-2+1))</f>
        <v/>
      </c>
      <c r="E106" s="24">
        <f>IF($O106="","",INDEX(_Helpers!$L$2:$L$151,$O106-2+1))</f>
        <v/>
      </c>
      <c r="F106" s="25">
        <f>IF($O106="","",INDEX(_Helpers!$M$2:$M$151,$O106-2+1))</f>
        <v/>
      </c>
      <c r="G106" s="26">
        <f>IF($O106="","",IF(INDEX(_Helpers!$G$2:$G$151,$O106-2+1)=1,"Starter",""))</f>
        <v/>
      </c>
      <c r="H106" s="26">
        <f>IF($O106="","",IF(INDEX(_Helpers!$H$2:$H$151,$O106-2+1)=1,"Leaver",""))</f>
        <v/>
      </c>
      <c r="I106" s="26">
        <f>IF($O106="","",INDEX(_Helpers!$P$2:$P$151,$O106-2+1))</f>
        <v/>
      </c>
      <c r="J106" s="25">
        <f>IF($O106="","",INDEX(_Helpers!$V$2:$V$151,$O106-2+1))</f>
        <v/>
      </c>
      <c r="K106" s="26">
        <f>IF($O106="","",INDEX(_Helpers!$AJ$2:$AJ$151,$O106-2+1))</f>
        <v/>
      </c>
      <c r="L106" s="24">
        <f>IF($O106="","",INDEX(_Helpers!$AK$2:$AK$151,$O106-2+1))</f>
        <v/>
      </c>
      <c r="M106" s="27" t="n"/>
      <c r="N106" s="2" t="n"/>
      <c r="O106" s="17">
        <f t="array" ref="O106">IFERROR(SMALL(IF(_Helpers!$F$2:$F$151=1,ROW(_Helpers!$F$2:$F$151)),ROWS($A$4:A106)),"")</f>
        <v/>
      </c>
    </row>
    <row r="107">
      <c r="A107" s="23">
        <f>IF($O107="","",INDEX(_Helpers!$A$2:$A$151,$O107-2+1))</f>
        <v/>
      </c>
      <c r="B107" s="23">
        <f>IF($O107="","",INDEX(_Helpers!$D$2:$D$151,$O107-2+1))</f>
        <v/>
      </c>
      <c r="C107" s="24">
        <f>IF($O107="","",INDEX(_Helpers!$B$2:$B$151,$O107-2+1))</f>
        <v/>
      </c>
      <c r="D107" s="24">
        <f>IF($O107="","",INDEX(_Helpers!$C$2:$C$151,$O107-2+1))</f>
        <v/>
      </c>
      <c r="E107" s="24">
        <f>IF($O107="","",INDEX(_Helpers!$L$2:$L$151,$O107-2+1))</f>
        <v/>
      </c>
      <c r="F107" s="25">
        <f>IF($O107="","",INDEX(_Helpers!$M$2:$M$151,$O107-2+1))</f>
        <v/>
      </c>
      <c r="G107" s="26">
        <f>IF($O107="","",IF(INDEX(_Helpers!$G$2:$G$151,$O107-2+1)=1,"Starter",""))</f>
        <v/>
      </c>
      <c r="H107" s="26">
        <f>IF($O107="","",IF(INDEX(_Helpers!$H$2:$H$151,$O107-2+1)=1,"Leaver",""))</f>
        <v/>
      </c>
      <c r="I107" s="26">
        <f>IF($O107="","",INDEX(_Helpers!$P$2:$P$151,$O107-2+1))</f>
        <v/>
      </c>
      <c r="J107" s="25">
        <f>IF($O107="","",INDEX(_Helpers!$V$2:$V$151,$O107-2+1))</f>
        <v/>
      </c>
      <c r="K107" s="26">
        <f>IF($O107="","",INDEX(_Helpers!$AJ$2:$AJ$151,$O107-2+1))</f>
        <v/>
      </c>
      <c r="L107" s="24">
        <f>IF($O107="","",INDEX(_Helpers!$AK$2:$AK$151,$O107-2+1))</f>
        <v/>
      </c>
      <c r="M107" s="27" t="n"/>
      <c r="N107" s="2" t="n"/>
      <c r="O107" s="17">
        <f t="array" ref="O107">IFERROR(SMALL(IF(_Helpers!$F$2:$F$151=1,ROW(_Helpers!$F$2:$F$151)),ROWS($A$4:A107)),"")</f>
        <v/>
      </c>
    </row>
    <row r="108">
      <c r="A108" s="23">
        <f>IF($O108="","",INDEX(_Helpers!$A$2:$A$151,$O108-2+1))</f>
        <v/>
      </c>
      <c r="B108" s="23">
        <f>IF($O108="","",INDEX(_Helpers!$D$2:$D$151,$O108-2+1))</f>
        <v/>
      </c>
      <c r="C108" s="24">
        <f>IF($O108="","",INDEX(_Helpers!$B$2:$B$151,$O108-2+1))</f>
        <v/>
      </c>
      <c r="D108" s="24">
        <f>IF($O108="","",INDEX(_Helpers!$C$2:$C$151,$O108-2+1))</f>
        <v/>
      </c>
      <c r="E108" s="24">
        <f>IF($O108="","",INDEX(_Helpers!$L$2:$L$151,$O108-2+1))</f>
        <v/>
      </c>
      <c r="F108" s="25">
        <f>IF($O108="","",INDEX(_Helpers!$M$2:$M$151,$O108-2+1))</f>
        <v/>
      </c>
      <c r="G108" s="26">
        <f>IF($O108="","",IF(INDEX(_Helpers!$G$2:$G$151,$O108-2+1)=1,"Starter",""))</f>
        <v/>
      </c>
      <c r="H108" s="26">
        <f>IF($O108="","",IF(INDEX(_Helpers!$H$2:$H$151,$O108-2+1)=1,"Leaver",""))</f>
        <v/>
      </c>
      <c r="I108" s="26">
        <f>IF($O108="","",INDEX(_Helpers!$P$2:$P$151,$O108-2+1))</f>
        <v/>
      </c>
      <c r="J108" s="25">
        <f>IF($O108="","",INDEX(_Helpers!$V$2:$V$151,$O108-2+1))</f>
        <v/>
      </c>
      <c r="K108" s="26">
        <f>IF($O108="","",INDEX(_Helpers!$AJ$2:$AJ$151,$O108-2+1))</f>
        <v/>
      </c>
      <c r="L108" s="24">
        <f>IF($O108="","",INDEX(_Helpers!$AK$2:$AK$151,$O108-2+1))</f>
        <v/>
      </c>
      <c r="M108" s="27" t="n"/>
      <c r="N108" s="2" t="n"/>
      <c r="O108" s="17">
        <f t="array" ref="O108">IFERROR(SMALL(IF(_Helpers!$F$2:$F$151=1,ROW(_Helpers!$F$2:$F$151)),ROWS($A$4:A108)),"")</f>
        <v/>
      </c>
    </row>
    <row r="109">
      <c r="A109" s="23">
        <f>IF($O109="","",INDEX(_Helpers!$A$2:$A$151,$O109-2+1))</f>
        <v/>
      </c>
      <c r="B109" s="23">
        <f>IF($O109="","",INDEX(_Helpers!$D$2:$D$151,$O109-2+1))</f>
        <v/>
      </c>
      <c r="C109" s="24">
        <f>IF($O109="","",INDEX(_Helpers!$B$2:$B$151,$O109-2+1))</f>
        <v/>
      </c>
      <c r="D109" s="24">
        <f>IF($O109="","",INDEX(_Helpers!$C$2:$C$151,$O109-2+1))</f>
        <v/>
      </c>
      <c r="E109" s="24">
        <f>IF($O109="","",INDEX(_Helpers!$L$2:$L$151,$O109-2+1))</f>
        <v/>
      </c>
      <c r="F109" s="25">
        <f>IF($O109="","",INDEX(_Helpers!$M$2:$M$151,$O109-2+1))</f>
        <v/>
      </c>
      <c r="G109" s="26">
        <f>IF($O109="","",IF(INDEX(_Helpers!$G$2:$G$151,$O109-2+1)=1,"Starter",""))</f>
        <v/>
      </c>
      <c r="H109" s="26">
        <f>IF($O109="","",IF(INDEX(_Helpers!$H$2:$H$151,$O109-2+1)=1,"Leaver",""))</f>
        <v/>
      </c>
      <c r="I109" s="26">
        <f>IF($O109="","",INDEX(_Helpers!$P$2:$P$151,$O109-2+1))</f>
        <v/>
      </c>
      <c r="J109" s="25">
        <f>IF($O109="","",INDEX(_Helpers!$V$2:$V$151,$O109-2+1))</f>
        <v/>
      </c>
      <c r="K109" s="26">
        <f>IF($O109="","",INDEX(_Helpers!$AJ$2:$AJ$151,$O109-2+1))</f>
        <v/>
      </c>
      <c r="L109" s="24">
        <f>IF($O109="","",INDEX(_Helpers!$AK$2:$AK$151,$O109-2+1))</f>
        <v/>
      </c>
      <c r="M109" s="27" t="n"/>
      <c r="N109" s="2" t="n"/>
      <c r="O109" s="17">
        <f t="array" ref="O109">IFERROR(SMALL(IF(_Helpers!$F$2:$F$151=1,ROW(_Helpers!$F$2:$F$151)),ROWS($A$4:A109)),"")</f>
        <v/>
      </c>
    </row>
    <row r="110">
      <c r="A110" s="23">
        <f>IF($O110="","",INDEX(_Helpers!$A$2:$A$151,$O110-2+1))</f>
        <v/>
      </c>
      <c r="B110" s="23">
        <f>IF($O110="","",INDEX(_Helpers!$D$2:$D$151,$O110-2+1))</f>
        <v/>
      </c>
      <c r="C110" s="24">
        <f>IF($O110="","",INDEX(_Helpers!$B$2:$B$151,$O110-2+1))</f>
        <v/>
      </c>
      <c r="D110" s="24">
        <f>IF($O110="","",INDEX(_Helpers!$C$2:$C$151,$O110-2+1))</f>
        <v/>
      </c>
      <c r="E110" s="24">
        <f>IF($O110="","",INDEX(_Helpers!$L$2:$L$151,$O110-2+1))</f>
        <v/>
      </c>
      <c r="F110" s="25">
        <f>IF($O110="","",INDEX(_Helpers!$M$2:$M$151,$O110-2+1))</f>
        <v/>
      </c>
      <c r="G110" s="26">
        <f>IF($O110="","",IF(INDEX(_Helpers!$G$2:$G$151,$O110-2+1)=1,"Starter",""))</f>
        <v/>
      </c>
      <c r="H110" s="26">
        <f>IF($O110="","",IF(INDEX(_Helpers!$H$2:$H$151,$O110-2+1)=1,"Leaver",""))</f>
        <v/>
      </c>
      <c r="I110" s="26">
        <f>IF($O110="","",INDEX(_Helpers!$P$2:$P$151,$O110-2+1))</f>
        <v/>
      </c>
      <c r="J110" s="25">
        <f>IF($O110="","",INDEX(_Helpers!$V$2:$V$151,$O110-2+1))</f>
        <v/>
      </c>
      <c r="K110" s="26">
        <f>IF($O110="","",INDEX(_Helpers!$AJ$2:$AJ$151,$O110-2+1))</f>
        <v/>
      </c>
      <c r="L110" s="24">
        <f>IF($O110="","",INDEX(_Helpers!$AK$2:$AK$151,$O110-2+1))</f>
        <v/>
      </c>
      <c r="M110" s="27" t="n"/>
      <c r="N110" s="2" t="n"/>
      <c r="O110" s="17">
        <f t="array" ref="O110">IFERROR(SMALL(IF(_Helpers!$F$2:$F$151=1,ROW(_Helpers!$F$2:$F$151)),ROWS($A$4:A110)),"")</f>
        <v/>
      </c>
    </row>
    <row r="111">
      <c r="A111" s="23">
        <f>IF($O111="","",INDEX(_Helpers!$A$2:$A$151,$O111-2+1))</f>
        <v/>
      </c>
      <c r="B111" s="23">
        <f>IF($O111="","",INDEX(_Helpers!$D$2:$D$151,$O111-2+1))</f>
        <v/>
      </c>
      <c r="C111" s="24">
        <f>IF($O111="","",INDEX(_Helpers!$B$2:$B$151,$O111-2+1))</f>
        <v/>
      </c>
      <c r="D111" s="24">
        <f>IF($O111="","",INDEX(_Helpers!$C$2:$C$151,$O111-2+1))</f>
        <v/>
      </c>
      <c r="E111" s="24">
        <f>IF($O111="","",INDEX(_Helpers!$L$2:$L$151,$O111-2+1))</f>
        <v/>
      </c>
      <c r="F111" s="25">
        <f>IF($O111="","",INDEX(_Helpers!$M$2:$M$151,$O111-2+1))</f>
        <v/>
      </c>
      <c r="G111" s="26">
        <f>IF($O111="","",IF(INDEX(_Helpers!$G$2:$G$151,$O111-2+1)=1,"Starter",""))</f>
        <v/>
      </c>
      <c r="H111" s="26">
        <f>IF($O111="","",IF(INDEX(_Helpers!$H$2:$H$151,$O111-2+1)=1,"Leaver",""))</f>
        <v/>
      </c>
      <c r="I111" s="26">
        <f>IF($O111="","",INDEX(_Helpers!$P$2:$P$151,$O111-2+1))</f>
        <v/>
      </c>
      <c r="J111" s="25">
        <f>IF($O111="","",INDEX(_Helpers!$V$2:$V$151,$O111-2+1))</f>
        <v/>
      </c>
      <c r="K111" s="26">
        <f>IF($O111="","",INDEX(_Helpers!$AJ$2:$AJ$151,$O111-2+1))</f>
        <v/>
      </c>
      <c r="L111" s="24">
        <f>IF($O111="","",INDEX(_Helpers!$AK$2:$AK$151,$O111-2+1))</f>
        <v/>
      </c>
      <c r="M111" s="27" t="n"/>
      <c r="N111" s="2" t="n"/>
      <c r="O111" s="17">
        <f t="array" ref="O111">IFERROR(SMALL(IF(_Helpers!$F$2:$F$151=1,ROW(_Helpers!$F$2:$F$151)),ROWS($A$4:A111)),"")</f>
        <v/>
      </c>
    </row>
    <row r="112">
      <c r="A112" s="23">
        <f>IF($O112="","",INDEX(_Helpers!$A$2:$A$151,$O112-2+1))</f>
        <v/>
      </c>
      <c r="B112" s="23">
        <f>IF($O112="","",INDEX(_Helpers!$D$2:$D$151,$O112-2+1))</f>
        <v/>
      </c>
      <c r="C112" s="24">
        <f>IF($O112="","",INDEX(_Helpers!$B$2:$B$151,$O112-2+1))</f>
        <v/>
      </c>
      <c r="D112" s="24">
        <f>IF($O112="","",INDEX(_Helpers!$C$2:$C$151,$O112-2+1))</f>
        <v/>
      </c>
      <c r="E112" s="24">
        <f>IF($O112="","",INDEX(_Helpers!$L$2:$L$151,$O112-2+1))</f>
        <v/>
      </c>
      <c r="F112" s="25">
        <f>IF($O112="","",INDEX(_Helpers!$M$2:$M$151,$O112-2+1))</f>
        <v/>
      </c>
      <c r="G112" s="26">
        <f>IF($O112="","",IF(INDEX(_Helpers!$G$2:$G$151,$O112-2+1)=1,"Starter",""))</f>
        <v/>
      </c>
      <c r="H112" s="26">
        <f>IF($O112="","",IF(INDEX(_Helpers!$H$2:$H$151,$O112-2+1)=1,"Leaver",""))</f>
        <v/>
      </c>
      <c r="I112" s="26">
        <f>IF($O112="","",INDEX(_Helpers!$P$2:$P$151,$O112-2+1))</f>
        <v/>
      </c>
      <c r="J112" s="25">
        <f>IF($O112="","",INDEX(_Helpers!$V$2:$V$151,$O112-2+1))</f>
        <v/>
      </c>
      <c r="K112" s="26">
        <f>IF($O112="","",INDEX(_Helpers!$AJ$2:$AJ$151,$O112-2+1))</f>
        <v/>
      </c>
      <c r="L112" s="24">
        <f>IF($O112="","",INDEX(_Helpers!$AK$2:$AK$151,$O112-2+1))</f>
        <v/>
      </c>
      <c r="M112" s="27" t="n"/>
      <c r="N112" s="2" t="n"/>
      <c r="O112" s="17">
        <f t="array" ref="O112">IFERROR(SMALL(IF(_Helpers!$F$2:$F$151=1,ROW(_Helpers!$F$2:$F$151)),ROWS($A$4:A112)),"")</f>
        <v/>
      </c>
    </row>
    <row r="113">
      <c r="A113" s="23">
        <f>IF($O113="","",INDEX(_Helpers!$A$2:$A$151,$O113-2+1))</f>
        <v/>
      </c>
      <c r="B113" s="23">
        <f>IF($O113="","",INDEX(_Helpers!$D$2:$D$151,$O113-2+1))</f>
        <v/>
      </c>
      <c r="C113" s="24">
        <f>IF($O113="","",INDEX(_Helpers!$B$2:$B$151,$O113-2+1))</f>
        <v/>
      </c>
      <c r="D113" s="24">
        <f>IF($O113="","",INDEX(_Helpers!$C$2:$C$151,$O113-2+1))</f>
        <v/>
      </c>
      <c r="E113" s="24">
        <f>IF($O113="","",INDEX(_Helpers!$L$2:$L$151,$O113-2+1))</f>
        <v/>
      </c>
      <c r="F113" s="25">
        <f>IF($O113="","",INDEX(_Helpers!$M$2:$M$151,$O113-2+1))</f>
        <v/>
      </c>
      <c r="G113" s="26">
        <f>IF($O113="","",IF(INDEX(_Helpers!$G$2:$G$151,$O113-2+1)=1,"Starter",""))</f>
        <v/>
      </c>
      <c r="H113" s="26">
        <f>IF($O113="","",IF(INDEX(_Helpers!$H$2:$H$151,$O113-2+1)=1,"Leaver",""))</f>
        <v/>
      </c>
      <c r="I113" s="26">
        <f>IF($O113="","",INDEX(_Helpers!$P$2:$P$151,$O113-2+1))</f>
        <v/>
      </c>
      <c r="J113" s="25">
        <f>IF($O113="","",INDEX(_Helpers!$V$2:$V$151,$O113-2+1))</f>
        <v/>
      </c>
      <c r="K113" s="26">
        <f>IF($O113="","",INDEX(_Helpers!$AJ$2:$AJ$151,$O113-2+1))</f>
        <v/>
      </c>
      <c r="L113" s="24">
        <f>IF($O113="","",INDEX(_Helpers!$AK$2:$AK$151,$O113-2+1))</f>
        <v/>
      </c>
      <c r="M113" s="27" t="n"/>
      <c r="N113" s="2" t="n"/>
      <c r="O113" s="17">
        <f t="array" ref="O113">IFERROR(SMALL(IF(_Helpers!$F$2:$F$151=1,ROW(_Helpers!$F$2:$F$151)),ROWS($A$4:A113)),"")</f>
        <v/>
      </c>
    </row>
    <row r="114">
      <c r="A114" s="23">
        <f>IF($O114="","",INDEX(_Helpers!$A$2:$A$151,$O114-2+1))</f>
        <v/>
      </c>
      <c r="B114" s="23">
        <f>IF($O114="","",INDEX(_Helpers!$D$2:$D$151,$O114-2+1))</f>
        <v/>
      </c>
      <c r="C114" s="24">
        <f>IF($O114="","",INDEX(_Helpers!$B$2:$B$151,$O114-2+1))</f>
        <v/>
      </c>
      <c r="D114" s="24">
        <f>IF($O114="","",INDEX(_Helpers!$C$2:$C$151,$O114-2+1))</f>
        <v/>
      </c>
      <c r="E114" s="24">
        <f>IF($O114="","",INDEX(_Helpers!$L$2:$L$151,$O114-2+1))</f>
        <v/>
      </c>
      <c r="F114" s="25">
        <f>IF($O114="","",INDEX(_Helpers!$M$2:$M$151,$O114-2+1))</f>
        <v/>
      </c>
      <c r="G114" s="26">
        <f>IF($O114="","",IF(INDEX(_Helpers!$G$2:$G$151,$O114-2+1)=1,"Starter",""))</f>
        <v/>
      </c>
      <c r="H114" s="26">
        <f>IF($O114="","",IF(INDEX(_Helpers!$H$2:$H$151,$O114-2+1)=1,"Leaver",""))</f>
        <v/>
      </c>
      <c r="I114" s="26">
        <f>IF($O114="","",INDEX(_Helpers!$P$2:$P$151,$O114-2+1))</f>
        <v/>
      </c>
      <c r="J114" s="25">
        <f>IF($O114="","",INDEX(_Helpers!$V$2:$V$151,$O114-2+1))</f>
        <v/>
      </c>
      <c r="K114" s="26">
        <f>IF($O114="","",INDEX(_Helpers!$AJ$2:$AJ$151,$O114-2+1))</f>
        <v/>
      </c>
      <c r="L114" s="24">
        <f>IF($O114="","",INDEX(_Helpers!$AK$2:$AK$151,$O114-2+1))</f>
        <v/>
      </c>
      <c r="M114" s="27" t="n"/>
      <c r="N114" s="2" t="n"/>
      <c r="O114" s="17">
        <f t="array" ref="O114">IFERROR(SMALL(IF(_Helpers!$F$2:$F$151=1,ROW(_Helpers!$F$2:$F$151)),ROWS($A$4:A114)),"")</f>
        <v/>
      </c>
    </row>
    <row r="115">
      <c r="A115" s="23">
        <f>IF($O115="","",INDEX(_Helpers!$A$2:$A$151,$O115-2+1))</f>
        <v/>
      </c>
      <c r="B115" s="23">
        <f>IF($O115="","",INDEX(_Helpers!$D$2:$D$151,$O115-2+1))</f>
        <v/>
      </c>
      <c r="C115" s="24">
        <f>IF($O115="","",INDEX(_Helpers!$B$2:$B$151,$O115-2+1))</f>
        <v/>
      </c>
      <c r="D115" s="24">
        <f>IF($O115="","",INDEX(_Helpers!$C$2:$C$151,$O115-2+1))</f>
        <v/>
      </c>
      <c r="E115" s="24">
        <f>IF($O115="","",INDEX(_Helpers!$L$2:$L$151,$O115-2+1))</f>
        <v/>
      </c>
      <c r="F115" s="25">
        <f>IF($O115="","",INDEX(_Helpers!$M$2:$M$151,$O115-2+1))</f>
        <v/>
      </c>
      <c r="G115" s="26">
        <f>IF($O115="","",IF(INDEX(_Helpers!$G$2:$G$151,$O115-2+1)=1,"Starter",""))</f>
        <v/>
      </c>
      <c r="H115" s="26">
        <f>IF($O115="","",IF(INDEX(_Helpers!$H$2:$H$151,$O115-2+1)=1,"Leaver",""))</f>
        <v/>
      </c>
      <c r="I115" s="26">
        <f>IF($O115="","",INDEX(_Helpers!$P$2:$P$151,$O115-2+1))</f>
        <v/>
      </c>
      <c r="J115" s="25">
        <f>IF($O115="","",INDEX(_Helpers!$V$2:$V$151,$O115-2+1))</f>
        <v/>
      </c>
      <c r="K115" s="26">
        <f>IF($O115="","",INDEX(_Helpers!$AJ$2:$AJ$151,$O115-2+1))</f>
        <v/>
      </c>
      <c r="L115" s="24">
        <f>IF($O115="","",INDEX(_Helpers!$AK$2:$AK$151,$O115-2+1))</f>
        <v/>
      </c>
      <c r="M115" s="27" t="n"/>
      <c r="N115" s="2" t="n"/>
      <c r="O115" s="17">
        <f t="array" ref="O115">IFERROR(SMALL(IF(_Helpers!$F$2:$F$151=1,ROW(_Helpers!$F$2:$F$151)),ROWS($A$4:A115)),"")</f>
        <v/>
      </c>
    </row>
    <row r="116">
      <c r="A116" s="23">
        <f>IF($O116="","",INDEX(_Helpers!$A$2:$A$151,$O116-2+1))</f>
        <v/>
      </c>
      <c r="B116" s="23">
        <f>IF($O116="","",INDEX(_Helpers!$D$2:$D$151,$O116-2+1))</f>
        <v/>
      </c>
      <c r="C116" s="24">
        <f>IF($O116="","",INDEX(_Helpers!$B$2:$B$151,$O116-2+1))</f>
        <v/>
      </c>
      <c r="D116" s="24">
        <f>IF($O116="","",INDEX(_Helpers!$C$2:$C$151,$O116-2+1))</f>
        <v/>
      </c>
      <c r="E116" s="24">
        <f>IF($O116="","",INDEX(_Helpers!$L$2:$L$151,$O116-2+1))</f>
        <v/>
      </c>
      <c r="F116" s="25">
        <f>IF($O116="","",INDEX(_Helpers!$M$2:$M$151,$O116-2+1))</f>
        <v/>
      </c>
      <c r="G116" s="26">
        <f>IF($O116="","",IF(INDEX(_Helpers!$G$2:$G$151,$O116-2+1)=1,"Starter",""))</f>
        <v/>
      </c>
      <c r="H116" s="26">
        <f>IF($O116="","",IF(INDEX(_Helpers!$H$2:$H$151,$O116-2+1)=1,"Leaver",""))</f>
        <v/>
      </c>
      <c r="I116" s="26">
        <f>IF($O116="","",INDEX(_Helpers!$P$2:$P$151,$O116-2+1))</f>
        <v/>
      </c>
      <c r="J116" s="25">
        <f>IF($O116="","",INDEX(_Helpers!$V$2:$V$151,$O116-2+1))</f>
        <v/>
      </c>
      <c r="K116" s="26">
        <f>IF($O116="","",INDEX(_Helpers!$AJ$2:$AJ$151,$O116-2+1))</f>
        <v/>
      </c>
      <c r="L116" s="24">
        <f>IF($O116="","",INDEX(_Helpers!$AK$2:$AK$151,$O116-2+1))</f>
        <v/>
      </c>
      <c r="M116" s="27" t="n"/>
      <c r="N116" s="2" t="n"/>
      <c r="O116" s="17">
        <f t="array" ref="O116">IFERROR(SMALL(IF(_Helpers!$F$2:$F$151=1,ROW(_Helpers!$F$2:$F$151)),ROWS($A$4:A116)),"")</f>
        <v/>
      </c>
    </row>
    <row r="117">
      <c r="A117" s="23">
        <f>IF($O117="","",INDEX(_Helpers!$A$2:$A$151,$O117-2+1))</f>
        <v/>
      </c>
      <c r="B117" s="23">
        <f>IF($O117="","",INDEX(_Helpers!$D$2:$D$151,$O117-2+1))</f>
        <v/>
      </c>
      <c r="C117" s="24">
        <f>IF($O117="","",INDEX(_Helpers!$B$2:$B$151,$O117-2+1))</f>
        <v/>
      </c>
      <c r="D117" s="24">
        <f>IF($O117="","",INDEX(_Helpers!$C$2:$C$151,$O117-2+1))</f>
        <v/>
      </c>
      <c r="E117" s="24">
        <f>IF($O117="","",INDEX(_Helpers!$L$2:$L$151,$O117-2+1))</f>
        <v/>
      </c>
      <c r="F117" s="25">
        <f>IF($O117="","",INDEX(_Helpers!$M$2:$M$151,$O117-2+1))</f>
        <v/>
      </c>
      <c r="G117" s="26">
        <f>IF($O117="","",IF(INDEX(_Helpers!$G$2:$G$151,$O117-2+1)=1,"Starter",""))</f>
        <v/>
      </c>
      <c r="H117" s="26">
        <f>IF($O117="","",IF(INDEX(_Helpers!$H$2:$H$151,$O117-2+1)=1,"Leaver",""))</f>
        <v/>
      </c>
      <c r="I117" s="26">
        <f>IF($O117="","",INDEX(_Helpers!$P$2:$P$151,$O117-2+1))</f>
        <v/>
      </c>
      <c r="J117" s="25">
        <f>IF($O117="","",INDEX(_Helpers!$V$2:$V$151,$O117-2+1))</f>
        <v/>
      </c>
      <c r="K117" s="26">
        <f>IF($O117="","",INDEX(_Helpers!$AJ$2:$AJ$151,$O117-2+1))</f>
        <v/>
      </c>
      <c r="L117" s="24">
        <f>IF($O117="","",INDEX(_Helpers!$AK$2:$AK$151,$O117-2+1))</f>
        <v/>
      </c>
      <c r="M117" s="27" t="n"/>
      <c r="N117" s="2" t="n"/>
      <c r="O117" s="17">
        <f t="array" ref="O117">IFERROR(SMALL(IF(_Helpers!$F$2:$F$151=1,ROW(_Helpers!$F$2:$F$151)),ROWS($A$4:A117)),"")</f>
        <v/>
      </c>
    </row>
    <row r="118">
      <c r="A118" s="23">
        <f>IF($O118="","",INDEX(_Helpers!$A$2:$A$151,$O118-2+1))</f>
        <v/>
      </c>
      <c r="B118" s="23">
        <f>IF($O118="","",INDEX(_Helpers!$D$2:$D$151,$O118-2+1))</f>
        <v/>
      </c>
      <c r="C118" s="24">
        <f>IF($O118="","",INDEX(_Helpers!$B$2:$B$151,$O118-2+1))</f>
        <v/>
      </c>
      <c r="D118" s="24">
        <f>IF($O118="","",INDEX(_Helpers!$C$2:$C$151,$O118-2+1))</f>
        <v/>
      </c>
      <c r="E118" s="24">
        <f>IF($O118="","",INDEX(_Helpers!$L$2:$L$151,$O118-2+1))</f>
        <v/>
      </c>
      <c r="F118" s="25">
        <f>IF($O118="","",INDEX(_Helpers!$M$2:$M$151,$O118-2+1))</f>
        <v/>
      </c>
      <c r="G118" s="26">
        <f>IF($O118="","",IF(INDEX(_Helpers!$G$2:$G$151,$O118-2+1)=1,"Starter",""))</f>
        <v/>
      </c>
      <c r="H118" s="26">
        <f>IF($O118="","",IF(INDEX(_Helpers!$H$2:$H$151,$O118-2+1)=1,"Leaver",""))</f>
        <v/>
      </c>
      <c r="I118" s="26">
        <f>IF($O118="","",INDEX(_Helpers!$P$2:$P$151,$O118-2+1))</f>
        <v/>
      </c>
      <c r="J118" s="25">
        <f>IF($O118="","",INDEX(_Helpers!$V$2:$V$151,$O118-2+1))</f>
        <v/>
      </c>
      <c r="K118" s="26">
        <f>IF($O118="","",INDEX(_Helpers!$AJ$2:$AJ$151,$O118-2+1))</f>
        <v/>
      </c>
      <c r="L118" s="24">
        <f>IF($O118="","",INDEX(_Helpers!$AK$2:$AK$151,$O118-2+1))</f>
        <v/>
      </c>
      <c r="M118" s="27" t="n"/>
      <c r="N118" s="2" t="n"/>
      <c r="O118" s="17">
        <f t="array" ref="O118">IFERROR(SMALL(IF(_Helpers!$F$2:$F$151=1,ROW(_Helpers!$F$2:$F$151)),ROWS($A$4:A118)),"")</f>
        <v/>
      </c>
    </row>
    <row r="119">
      <c r="A119" s="23">
        <f>IF($O119="","",INDEX(_Helpers!$A$2:$A$151,$O119-2+1))</f>
        <v/>
      </c>
      <c r="B119" s="23">
        <f>IF($O119="","",INDEX(_Helpers!$D$2:$D$151,$O119-2+1))</f>
        <v/>
      </c>
      <c r="C119" s="24">
        <f>IF($O119="","",INDEX(_Helpers!$B$2:$B$151,$O119-2+1))</f>
        <v/>
      </c>
      <c r="D119" s="24">
        <f>IF($O119="","",INDEX(_Helpers!$C$2:$C$151,$O119-2+1))</f>
        <v/>
      </c>
      <c r="E119" s="24">
        <f>IF($O119="","",INDEX(_Helpers!$L$2:$L$151,$O119-2+1))</f>
        <v/>
      </c>
      <c r="F119" s="25">
        <f>IF($O119="","",INDEX(_Helpers!$M$2:$M$151,$O119-2+1))</f>
        <v/>
      </c>
      <c r="G119" s="26">
        <f>IF($O119="","",IF(INDEX(_Helpers!$G$2:$G$151,$O119-2+1)=1,"Starter",""))</f>
        <v/>
      </c>
      <c r="H119" s="26">
        <f>IF($O119="","",IF(INDEX(_Helpers!$H$2:$H$151,$O119-2+1)=1,"Leaver",""))</f>
        <v/>
      </c>
      <c r="I119" s="26">
        <f>IF($O119="","",INDEX(_Helpers!$P$2:$P$151,$O119-2+1))</f>
        <v/>
      </c>
      <c r="J119" s="25">
        <f>IF($O119="","",INDEX(_Helpers!$V$2:$V$151,$O119-2+1))</f>
        <v/>
      </c>
      <c r="K119" s="26">
        <f>IF($O119="","",INDEX(_Helpers!$AJ$2:$AJ$151,$O119-2+1))</f>
        <v/>
      </c>
      <c r="L119" s="24">
        <f>IF($O119="","",INDEX(_Helpers!$AK$2:$AK$151,$O119-2+1))</f>
        <v/>
      </c>
      <c r="M119" s="27" t="n"/>
      <c r="N119" s="2" t="n"/>
      <c r="O119" s="17">
        <f t="array" ref="O119">IFERROR(SMALL(IF(_Helpers!$F$2:$F$151=1,ROW(_Helpers!$F$2:$F$151)),ROWS($A$4:A119)),"")</f>
        <v/>
      </c>
    </row>
    <row r="120">
      <c r="A120" s="23">
        <f>IF($O120="","",INDEX(_Helpers!$A$2:$A$151,$O120-2+1))</f>
        <v/>
      </c>
      <c r="B120" s="23">
        <f>IF($O120="","",INDEX(_Helpers!$D$2:$D$151,$O120-2+1))</f>
        <v/>
      </c>
      <c r="C120" s="24">
        <f>IF($O120="","",INDEX(_Helpers!$B$2:$B$151,$O120-2+1))</f>
        <v/>
      </c>
      <c r="D120" s="24">
        <f>IF($O120="","",INDEX(_Helpers!$C$2:$C$151,$O120-2+1))</f>
        <v/>
      </c>
      <c r="E120" s="24">
        <f>IF($O120="","",INDEX(_Helpers!$L$2:$L$151,$O120-2+1))</f>
        <v/>
      </c>
      <c r="F120" s="25">
        <f>IF($O120="","",INDEX(_Helpers!$M$2:$M$151,$O120-2+1))</f>
        <v/>
      </c>
      <c r="G120" s="26">
        <f>IF($O120="","",IF(INDEX(_Helpers!$G$2:$G$151,$O120-2+1)=1,"Starter",""))</f>
        <v/>
      </c>
      <c r="H120" s="26">
        <f>IF($O120="","",IF(INDEX(_Helpers!$H$2:$H$151,$O120-2+1)=1,"Leaver",""))</f>
        <v/>
      </c>
      <c r="I120" s="26">
        <f>IF($O120="","",INDEX(_Helpers!$P$2:$P$151,$O120-2+1))</f>
        <v/>
      </c>
      <c r="J120" s="25">
        <f>IF($O120="","",INDEX(_Helpers!$V$2:$V$151,$O120-2+1))</f>
        <v/>
      </c>
      <c r="K120" s="26">
        <f>IF($O120="","",INDEX(_Helpers!$AJ$2:$AJ$151,$O120-2+1))</f>
        <v/>
      </c>
      <c r="L120" s="24">
        <f>IF($O120="","",INDEX(_Helpers!$AK$2:$AK$151,$O120-2+1))</f>
        <v/>
      </c>
      <c r="M120" s="27" t="n"/>
      <c r="N120" s="2" t="n"/>
      <c r="O120" s="17">
        <f t="array" ref="O120">IFERROR(SMALL(IF(_Helpers!$F$2:$F$151=1,ROW(_Helpers!$F$2:$F$151)),ROWS($A$4:A120)),"")</f>
        <v/>
      </c>
    </row>
    <row r="121">
      <c r="A121" s="23">
        <f>IF($O121="","",INDEX(_Helpers!$A$2:$A$151,$O121-2+1))</f>
        <v/>
      </c>
      <c r="B121" s="23">
        <f>IF($O121="","",INDEX(_Helpers!$D$2:$D$151,$O121-2+1))</f>
        <v/>
      </c>
      <c r="C121" s="24">
        <f>IF($O121="","",INDEX(_Helpers!$B$2:$B$151,$O121-2+1))</f>
        <v/>
      </c>
      <c r="D121" s="24">
        <f>IF($O121="","",INDEX(_Helpers!$C$2:$C$151,$O121-2+1))</f>
        <v/>
      </c>
      <c r="E121" s="24">
        <f>IF($O121="","",INDEX(_Helpers!$L$2:$L$151,$O121-2+1))</f>
        <v/>
      </c>
      <c r="F121" s="25">
        <f>IF($O121="","",INDEX(_Helpers!$M$2:$M$151,$O121-2+1))</f>
        <v/>
      </c>
      <c r="G121" s="26">
        <f>IF($O121="","",IF(INDEX(_Helpers!$G$2:$G$151,$O121-2+1)=1,"Starter",""))</f>
        <v/>
      </c>
      <c r="H121" s="26">
        <f>IF($O121="","",IF(INDEX(_Helpers!$H$2:$H$151,$O121-2+1)=1,"Leaver",""))</f>
        <v/>
      </c>
      <c r="I121" s="26">
        <f>IF($O121="","",INDEX(_Helpers!$P$2:$P$151,$O121-2+1))</f>
        <v/>
      </c>
      <c r="J121" s="25">
        <f>IF($O121="","",INDEX(_Helpers!$V$2:$V$151,$O121-2+1))</f>
        <v/>
      </c>
      <c r="K121" s="26">
        <f>IF($O121="","",INDEX(_Helpers!$AJ$2:$AJ$151,$O121-2+1))</f>
        <v/>
      </c>
      <c r="L121" s="24">
        <f>IF($O121="","",INDEX(_Helpers!$AK$2:$AK$151,$O121-2+1))</f>
        <v/>
      </c>
      <c r="M121" s="27" t="n"/>
      <c r="N121" s="2" t="n"/>
      <c r="O121" s="17">
        <f t="array" ref="O121">IFERROR(SMALL(IF(_Helpers!$F$2:$F$151=1,ROW(_Helpers!$F$2:$F$151)),ROWS($A$4:A121)),"")</f>
        <v/>
      </c>
    </row>
    <row r="122">
      <c r="A122" s="23">
        <f>IF($O122="","",INDEX(_Helpers!$A$2:$A$151,$O122-2+1))</f>
        <v/>
      </c>
      <c r="B122" s="23">
        <f>IF($O122="","",INDEX(_Helpers!$D$2:$D$151,$O122-2+1))</f>
        <v/>
      </c>
      <c r="C122" s="24">
        <f>IF($O122="","",INDEX(_Helpers!$B$2:$B$151,$O122-2+1))</f>
        <v/>
      </c>
      <c r="D122" s="24">
        <f>IF($O122="","",INDEX(_Helpers!$C$2:$C$151,$O122-2+1))</f>
        <v/>
      </c>
      <c r="E122" s="24">
        <f>IF($O122="","",INDEX(_Helpers!$L$2:$L$151,$O122-2+1))</f>
        <v/>
      </c>
      <c r="F122" s="25">
        <f>IF($O122="","",INDEX(_Helpers!$M$2:$M$151,$O122-2+1))</f>
        <v/>
      </c>
      <c r="G122" s="26">
        <f>IF($O122="","",IF(INDEX(_Helpers!$G$2:$G$151,$O122-2+1)=1,"Starter",""))</f>
        <v/>
      </c>
      <c r="H122" s="26">
        <f>IF($O122="","",IF(INDEX(_Helpers!$H$2:$H$151,$O122-2+1)=1,"Leaver",""))</f>
        <v/>
      </c>
      <c r="I122" s="26">
        <f>IF($O122="","",INDEX(_Helpers!$P$2:$P$151,$O122-2+1))</f>
        <v/>
      </c>
      <c r="J122" s="25">
        <f>IF($O122="","",INDEX(_Helpers!$V$2:$V$151,$O122-2+1))</f>
        <v/>
      </c>
      <c r="K122" s="26">
        <f>IF($O122="","",INDEX(_Helpers!$AJ$2:$AJ$151,$O122-2+1))</f>
        <v/>
      </c>
      <c r="L122" s="24">
        <f>IF($O122="","",INDEX(_Helpers!$AK$2:$AK$151,$O122-2+1))</f>
        <v/>
      </c>
      <c r="M122" s="27" t="n"/>
      <c r="N122" s="2" t="n"/>
      <c r="O122" s="17">
        <f t="array" ref="O122">IFERROR(SMALL(IF(_Helpers!$F$2:$F$151=1,ROW(_Helpers!$F$2:$F$151)),ROWS($A$4:A122)),"")</f>
        <v/>
      </c>
    </row>
    <row r="123">
      <c r="A123" s="23">
        <f>IF($O123="","",INDEX(_Helpers!$A$2:$A$151,$O123-2+1))</f>
        <v/>
      </c>
      <c r="B123" s="23">
        <f>IF($O123="","",INDEX(_Helpers!$D$2:$D$151,$O123-2+1))</f>
        <v/>
      </c>
      <c r="C123" s="24">
        <f>IF($O123="","",INDEX(_Helpers!$B$2:$B$151,$O123-2+1))</f>
        <v/>
      </c>
      <c r="D123" s="24">
        <f>IF($O123="","",INDEX(_Helpers!$C$2:$C$151,$O123-2+1))</f>
        <v/>
      </c>
      <c r="E123" s="24">
        <f>IF($O123="","",INDEX(_Helpers!$L$2:$L$151,$O123-2+1))</f>
        <v/>
      </c>
      <c r="F123" s="25">
        <f>IF($O123="","",INDEX(_Helpers!$M$2:$M$151,$O123-2+1))</f>
        <v/>
      </c>
      <c r="G123" s="26">
        <f>IF($O123="","",IF(INDEX(_Helpers!$G$2:$G$151,$O123-2+1)=1,"Starter",""))</f>
        <v/>
      </c>
      <c r="H123" s="26">
        <f>IF($O123="","",IF(INDEX(_Helpers!$H$2:$H$151,$O123-2+1)=1,"Leaver",""))</f>
        <v/>
      </c>
      <c r="I123" s="26">
        <f>IF($O123="","",INDEX(_Helpers!$P$2:$P$151,$O123-2+1))</f>
        <v/>
      </c>
      <c r="J123" s="25">
        <f>IF($O123="","",INDEX(_Helpers!$V$2:$V$151,$O123-2+1))</f>
        <v/>
      </c>
      <c r="K123" s="26">
        <f>IF($O123="","",INDEX(_Helpers!$AJ$2:$AJ$151,$O123-2+1))</f>
        <v/>
      </c>
      <c r="L123" s="24">
        <f>IF($O123="","",INDEX(_Helpers!$AK$2:$AK$151,$O123-2+1))</f>
        <v/>
      </c>
      <c r="M123" s="27" t="n"/>
      <c r="N123" s="2" t="n"/>
      <c r="O123" s="17">
        <f t="array" ref="O123">IFERROR(SMALL(IF(_Helpers!$F$2:$F$151=1,ROW(_Helpers!$F$2:$F$151)),ROWS($A$4:A123)),"")</f>
        <v/>
      </c>
    </row>
    <row r="124">
      <c r="A124" s="23">
        <f>IF($O124="","",INDEX(_Helpers!$A$2:$A$151,$O124-2+1))</f>
        <v/>
      </c>
      <c r="B124" s="23">
        <f>IF($O124="","",INDEX(_Helpers!$D$2:$D$151,$O124-2+1))</f>
        <v/>
      </c>
      <c r="C124" s="24">
        <f>IF($O124="","",INDEX(_Helpers!$B$2:$B$151,$O124-2+1))</f>
        <v/>
      </c>
      <c r="D124" s="24">
        <f>IF($O124="","",INDEX(_Helpers!$C$2:$C$151,$O124-2+1))</f>
        <v/>
      </c>
      <c r="E124" s="24">
        <f>IF($O124="","",INDEX(_Helpers!$L$2:$L$151,$O124-2+1))</f>
        <v/>
      </c>
      <c r="F124" s="25">
        <f>IF($O124="","",INDEX(_Helpers!$M$2:$M$151,$O124-2+1))</f>
        <v/>
      </c>
      <c r="G124" s="26">
        <f>IF($O124="","",IF(INDEX(_Helpers!$G$2:$G$151,$O124-2+1)=1,"Starter",""))</f>
        <v/>
      </c>
      <c r="H124" s="26">
        <f>IF($O124="","",IF(INDEX(_Helpers!$H$2:$H$151,$O124-2+1)=1,"Leaver",""))</f>
        <v/>
      </c>
      <c r="I124" s="26">
        <f>IF($O124="","",INDEX(_Helpers!$P$2:$P$151,$O124-2+1))</f>
        <v/>
      </c>
      <c r="J124" s="25">
        <f>IF($O124="","",INDEX(_Helpers!$V$2:$V$151,$O124-2+1))</f>
        <v/>
      </c>
      <c r="K124" s="26">
        <f>IF($O124="","",INDEX(_Helpers!$AJ$2:$AJ$151,$O124-2+1))</f>
        <v/>
      </c>
      <c r="L124" s="24">
        <f>IF($O124="","",INDEX(_Helpers!$AK$2:$AK$151,$O124-2+1))</f>
        <v/>
      </c>
      <c r="M124" s="27" t="n"/>
      <c r="N124" s="2" t="n"/>
      <c r="O124" s="17">
        <f t="array" ref="O124">IFERROR(SMALL(IF(_Helpers!$F$2:$F$151=1,ROW(_Helpers!$F$2:$F$151)),ROWS($A$4:A124)),"")</f>
        <v/>
      </c>
    </row>
    <row r="125">
      <c r="A125" s="23">
        <f>IF($O125="","",INDEX(_Helpers!$A$2:$A$151,$O125-2+1))</f>
        <v/>
      </c>
      <c r="B125" s="23">
        <f>IF($O125="","",INDEX(_Helpers!$D$2:$D$151,$O125-2+1))</f>
        <v/>
      </c>
      <c r="C125" s="24">
        <f>IF($O125="","",INDEX(_Helpers!$B$2:$B$151,$O125-2+1))</f>
        <v/>
      </c>
      <c r="D125" s="24">
        <f>IF($O125="","",INDEX(_Helpers!$C$2:$C$151,$O125-2+1))</f>
        <v/>
      </c>
      <c r="E125" s="24">
        <f>IF($O125="","",INDEX(_Helpers!$L$2:$L$151,$O125-2+1))</f>
        <v/>
      </c>
      <c r="F125" s="25">
        <f>IF($O125="","",INDEX(_Helpers!$M$2:$M$151,$O125-2+1))</f>
        <v/>
      </c>
      <c r="G125" s="26">
        <f>IF($O125="","",IF(INDEX(_Helpers!$G$2:$G$151,$O125-2+1)=1,"Starter",""))</f>
        <v/>
      </c>
      <c r="H125" s="26">
        <f>IF($O125="","",IF(INDEX(_Helpers!$H$2:$H$151,$O125-2+1)=1,"Leaver",""))</f>
        <v/>
      </c>
      <c r="I125" s="26">
        <f>IF($O125="","",INDEX(_Helpers!$P$2:$P$151,$O125-2+1))</f>
        <v/>
      </c>
      <c r="J125" s="25">
        <f>IF($O125="","",INDEX(_Helpers!$V$2:$V$151,$O125-2+1))</f>
        <v/>
      </c>
      <c r="K125" s="26">
        <f>IF($O125="","",INDEX(_Helpers!$AJ$2:$AJ$151,$O125-2+1))</f>
        <v/>
      </c>
      <c r="L125" s="24">
        <f>IF($O125="","",INDEX(_Helpers!$AK$2:$AK$151,$O125-2+1))</f>
        <v/>
      </c>
      <c r="M125" s="27" t="n"/>
      <c r="N125" s="2" t="n"/>
      <c r="O125" s="17">
        <f t="array" ref="O125">IFERROR(SMALL(IF(_Helpers!$F$2:$F$151=1,ROW(_Helpers!$F$2:$F$151)),ROWS($A$4:A125)),"")</f>
        <v/>
      </c>
    </row>
    <row r="126">
      <c r="A126" s="23">
        <f>IF($O126="","",INDEX(_Helpers!$A$2:$A$151,$O126-2+1))</f>
        <v/>
      </c>
      <c r="B126" s="23">
        <f>IF($O126="","",INDEX(_Helpers!$D$2:$D$151,$O126-2+1))</f>
        <v/>
      </c>
      <c r="C126" s="24">
        <f>IF($O126="","",INDEX(_Helpers!$B$2:$B$151,$O126-2+1))</f>
        <v/>
      </c>
      <c r="D126" s="24">
        <f>IF($O126="","",INDEX(_Helpers!$C$2:$C$151,$O126-2+1))</f>
        <v/>
      </c>
      <c r="E126" s="24">
        <f>IF($O126="","",INDEX(_Helpers!$L$2:$L$151,$O126-2+1))</f>
        <v/>
      </c>
      <c r="F126" s="25">
        <f>IF($O126="","",INDEX(_Helpers!$M$2:$M$151,$O126-2+1))</f>
        <v/>
      </c>
      <c r="G126" s="26">
        <f>IF($O126="","",IF(INDEX(_Helpers!$G$2:$G$151,$O126-2+1)=1,"Starter",""))</f>
        <v/>
      </c>
      <c r="H126" s="26">
        <f>IF($O126="","",IF(INDEX(_Helpers!$H$2:$H$151,$O126-2+1)=1,"Leaver",""))</f>
        <v/>
      </c>
      <c r="I126" s="26">
        <f>IF($O126="","",INDEX(_Helpers!$P$2:$P$151,$O126-2+1))</f>
        <v/>
      </c>
      <c r="J126" s="25">
        <f>IF($O126="","",INDEX(_Helpers!$V$2:$V$151,$O126-2+1))</f>
        <v/>
      </c>
      <c r="K126" s="26">
        <f>IF($O126="","",INDEX(_Helpers!$AJ$2:$AJ$151,$O126-2+1))</f>
        <v/>
      </c>
      <c r="L126" s="24">
        <f>IF($O126="","",INDEX(_Helpers!$AK$2:$AK$151,$O126-2+1))</f>
        <v/>
      </c>
      <c r="M126" s="27" t="n"/>
      <c r="N126" s="2" t="n"/>
      <c r="O126" s="17">
        <f t="array" ref="O126">IFERROR(SMALL(IF(_Helpers!$F$2:$F$151=1,ROW(_Helpers!$F$2:$F$151)),ROWS($A$4:A126)),"")</f>
        <v/>
      </c>
    </row>
    <row r="127">
      <c r="A127" s="23">
        <f>IF($O127="","",INDEX(_Helpers!$A$2:$A$151,$O127-2+1))</f>
        <v/>
      </c>
      <c r="B127" s="23">
        <f>IF($O127="","",INDEX(_Helpers!$D$2:$D$151,$O127-2+1))</f>
        <v/>
      </c>
      <c r="C127" s="24">
        <f>IF($O127="","",INDEX(_Helpers!$B$2:$B$151,$O127-2+1))</f>
        <v/>
      </c>
      <c r="D127" s="24">
        <f>IF($O127="","",INDEX(_Helpers!$C$2:$C$151,$O127-2+1))</f>
        <v/>
      </c>
      <c r="E127" s="24">
        <f>IF($O127="","",INDEX(_Helpers!$L$2:$L$151,$O127-2+1))</f>
        <v/>
      </c>
      <c r="F127" s="25">
        <f>IF($O127="","",INDEX(_Helpers!$M$2:$M$151,$O127-2+1))</f>
        <v/>
      </c>
      <c r="G127" s="26">
        <f>IF($O127="","",IF(INDEX(_Helpers!$G$2:$G$151,$O127-2+1)=1,"Starter",""))</f>
        <v/>
      </c>
      <c r="H127" s="26">
        <f>IF($O127="","",IF(INDEX(_Helpers!$H$2:$H$151,$O127-2+1)=1,"Leaver",""))</f>
        <v/>
      </c>
      <c r="I127" s="26">
        <f>IF($O127="","",INDEX(_Helpers!$P$2:$P$151,$O127-2+1))</f>
        <v/>
      </c>
      <c r="J127" s="25">
        <f>IF($O127="","",INDEX(_Helpers!$V$2:$V$151,$O127-2+1))</f>
        <v/>
      </c>
      <c r="K127" s="26">
        <f>IF($O127="","",INDEX(_Helpers!$AJ$2:$AJ$151,$O127-2+1))</f>
        <v/>
      </c>
      <c r="L127" s="24">
        <f>IF($O127="","",INDEX(_Helpers!$AK$2:$AK$151,$O127-2+1))</f>
        <v/>
      </c>
      <c r="M127" s="27" t="n"/>
      <c r="N127" s="2" t="n"/>
      <c r="O127" s="17">
        <f t="array" ref="O127">IFERROR(SMALL(IF(_Helpers!$F$2:$F$151=1,ROW(_Helpers!$F$2:$F$151)),ROWS($A$4:A127)),"")</f>
        <v/>
      </c>
    </row>
    <row r="128">
      <c r="A128" s="23">
        <f>IF($O128="","",INDEX(_Helpers!$A$2:$A$151,$O128-2+1))</f>
        <v/>
      </c>
      <c r="B128" s="23">
        <f>IF($O128="","",INDEX(_Helpers!$D$2:$D$151,$O128-2+1))</f>
        <v/>
      </c>
      <c r="C128" s="24">
        <f>IF($O128="","",INDEX(_Helpers!$B$2:$B$151,$O128-2+1))</f>
        <v/>
      </c>
      <c r="D128" s="24">
        <f>IF($O128="","",INDEX(_Helpers!$C$2:$C$151,$O128-2+1))</f>
        <v/>
      </c>
      <c r="E128" s="24">
        <f>IF($O128="","",INDEX(_Helpers!$L$2:$L$151,$O128-2+1))</f>
        <v/>
      </c>
      <c r="F128" s="25">
        <f>IF($O128="","",INDEX(_Helpers!$M$2:$M$151,$O128-2+1))</f>
        <v/>
      </c>
      <c r="G128" s="26">
        <f>IF($O128="","",IF(INDEX(_Helpers!$G$2:$G$151,$O128-2+1)=1,"Starter",""))</f>
        <v/>
      </c>
      <c r="H128" s="26">
        <f>IF($O128="","",IF(INDEX(_Helpers!$H$2:$H$151,$O128-2+1)=1,"Leaver",""))</f>
        <v/>
      </c>
      <c r="I128" s="26">
        <f>IF($O128="","",INDEX(_Helpers!$P$2:$P$151,$O128-2+1))</f>
        <v/>
      </c>
      <c r="J128" s="25">
        <f>IF($O128="","",INDEX(_Helpers!$V$2:$V$151,$O128-2+1))</f>
        <v/>
      </c>
      <c r="K128" s="26">
        <f>IF($O128="","",INDEX(_Helpers!$AJ$2:$AJ$151,$O128-2+1))</f>
        <v/>
      </c>
      <c r="L128" s="24">
        <f>IF($O128="","",INDEX(_Helpers!$AK$2:$AK$151,$O128-2+1))</f>
        <v/>
      </c>
      <c r="M128" s="27" t="n"/>
      <c r="N128" s="2" t="n"/>
      <c r="O128" s="17">
        <f t="array" ref="O128">IFERROR(SMALL(IF(_Helpers!$F$2:$F$151=1,ROW(_Helpers!$F$2:$F$151)),ROWS($A$4:A128)),"")</f>
        <v/>
      </c>
    </row>
    <row r="129">
      <c r="A129" s="23">
        <f>IF($O129="","",INDEX(_Helpers!$A$2:$A$151,$O129-2+1))</f>
        <v/>
      </c>
      <c r="B129" s="23">
        <f>IF($O129="","",INDEX(_Helpers!$D$2:$D$151,$O129-2+1))</f>
        <v/>
      </c>
      <c r="C129" s="24">
        <f>IF($O129="","",INDEX(_Helpers!$B$2:$B$151,$O129-2+1))</f>
        <v/>
      </c>
      <c r="D129" s="24">
        <f>IF($O129="","",INDEX(_Helpers!$C$2:$C$151,$O129-2+1))</f>
        <v/>
      </c>
      <c r="E129" s="24">
        <f>IF($O129="","",INDEX(_Helpers!$L$2:$L$151,$O129-2+1))</f>
        <v/>
      </c>
      <c r="F129" s="25">
        <f>IF($O129="","",INDEX(_Helpers!$M$2:$M$151,$O129-2+1))</f>
        <v/>
      </c>
      <c r="G129" s="26">
        <f>IF($O129="","",IF(INDEX(_Helpers!$G$2:$G$151,$O129-2+1)=1,"Starter",""))</f>
        <v/>
      </c>
      <c r="H129" s="26">
        <f>IF($O129="","",IF(INDEX(_Helpers!$H$2:$H$151,$O129-2+1)=1,"Leaver",""))</f>
        <v/>
      </c>
      <c r="I129" s="26">
        <f>IF($O129="","",INDEX(_Helpers!$P$2:$P$151,$O129-2+1))</f>
        <v/>
      </c>
      <c r="J129" s="25">
        <f>IF($O129="","",INDEX(_Helpers!$V$2:$V$151,$O129-2+1))</f>
        <v/>
      </c>
      <c r="K129" s="26">
        <f>IF($O129="","",INDEX(_Helpers!$AJ$2:$AJ$151,$O129-2+1))</f>
        <v/>
      </c>
      <c r="L129" s="24">
        <f>IF($O129="","",INDEX(_Helpers!$AK$2:$AK$151,$O129-2+1))</f>
        <v/>
      </c>
      <c r="M129" s="27" t="n"/>
      <c r="N129" s="2" t="n"/>
      <c r="O129" s="17">
        <f t="array" ref="O129">IFERROR(SMALL(IF(_Helpers!$F$2:$F$151=1,ROW(_Helpers!$F$2:$F$151)),ROWS($A$4:A129)),"")</f>
        <v/>
      </c>
    </row>
    <row r="130">
      <c r="A130" s="23">
        <f>IF($O130="","",INDEX(_Helpers!$A$2:$A$151,$O130-2+1))</f>
        <v/>
      </c>
      <c r="B130" s="23">
        <f>IF($O130="","",INDEX(_Helpers!$D$2:$D$151,$O130-2+1))</f>
        <v/>
      </c>
      <c r="C130" s="24">
        <f>IF($O130="","",INDEX(_Helpers!$B$2:$B$151,$O130-2+1))</f>
        <v/>
      </c>
      <c r="D130" s="24">
        <f>IF($O130="","",INDEX(_Helpers!$C$2:$C$151,$O130-2+1))</f>
        <v/>
      </c>
      <c r="E130" s="24">
        <f>IF($O130="","",INDEX(_Helpers!$L$2:$L$151,$O130-2+1))</f>
        <v/>
      </c>
      <c r="F130" s="25">
        <f>IF($O130="","",INDEX(_Helpers!$M$2:$M$151,$O130-2+1))</f>
        <v/>
      </c>
      <c r="G130" s="26">
        <f>IF($O130="","",IF(INDEX(_Helpers!$G$2:$G$151,$O130-2+1)=1,"Starter",""))</f>
        <v/>
      </c>
      <c r="H130" s="26">
        <f>IF($O130="","",IF(INDEX(_Helpers!$H$2:$H$151,$O130-2+1)=1,"Leaver",""))</f>
        <v/>
      </c>
      <c r="I130" s="26">
        <f>IF($O130="","",INDEX(_Helpers!$P$2:$P$151,$O130-2+1))</f>
        <v/>
      </c>
      <c r="J130" s="25">
        <f>IF($O130="","",INDEX(_Helpers!$V$2:$V$151,$O130-2+1))</f>
        <v/>
      </c>
      <c r="K130" s="26">
        <f>IF($O130="","",INDEX(_Helpers!$AJ$2:$AJ$151,$O130-2+1))</f>
        <v/>
      </c>
      <c r="L130" s="24">
        <f>IF($O130="","",INDEX(_Helpers!$AK$2:$AK$151,$O130-2+1))</f>
        <v/>
      </c>
      <c r="M130" s="27" t="n"/>
      <c r="N130" s="2" t="n"/>
      <c r="O130" s="17">
        <f t="array" ref="O130">IFERROR(SMALL(IF(_Helpers!$F$2:$F$151=1,ROW(_Helpers!$F$2:$F$151)),ROWS($A$4:A130)),"")</f>
        <v/>
      </c>
    </row>
    <row r="131">
      <c r="A131" s="23">
        <f>IF($O131="","",INDEX(_Helpers!$A$2:$A$151,$O131-2+1))</f>
        <v/>
      </c>
      <c r="B131" s="23">
        <f>IF($O131="","",INDEX(_Helpers!$D$2:$D$151,$O131-2+1))</f>
        <v/>
      </c>
      <c r="C131" s="24">
        <f>IF($O131="","",INDEX(_Helpers!$B$2:$B$151,$O131-2+1))</f>
        <v/>
      </c>
      <c r="D131" s="24">
        <f>IF($O131="","",INDEX(_Helpers!$C$2:$C$151,$O131-2+1))</f>
        <v/>
      </c>
      <c r="E131" s="24">
        <f>IF($O131="","",INDEX(_Helpers!$L$2:$L$151,$O131-2+1))</f>
        <v/>
      </c>
      <c r="F131" s="25">
        <f>IF($O131="","",INDEX(_Helpers!$M$2:$M$151,$O131-2+1))</f>
        <v/>
      </c>
      <c r="G131" s="26">
        <f>IF($O131="","",IF(INDEX(_Helpers!$G$2:$G$151,$O131-2+1)=1,"Starter",""))</f>
        <v/>
      </c>
      <c r="H131" s="26">
        <f>IF($O131="","",IF(INDEX(_Helpers!$H$2:$H$151,$O131-2+1)=1,"Leaver",""))</f>
        <v/>
      </c>
      <c r="I131" s="26">
        <f>IF($O131="","",INDEX(_Helpers!$P$2:$P$151,$O131-2+1))</f>
        <v/>
      </c>
      <c r="J131" s="25">
        <f>IF($O131="","",INDEX(_Helpers!$V$2:$V$151,$O131-2+1))</f>
        <v/>
      </c>
      <c r="K131" s="26">
        <f>IF($O131="","",INDEX(_Helpers!$AJ$2:$AJ$151,$O131-2+1))</f>
        <v/>
      </c>
      <c r="L131" s="24">
        <f>IF($O131="","",INDEX(_Helpers!$AK$2:$AK$151,$O131-2+1))</f>
        <v/>
      </c>
      <c r="M131" s="27" t="n"/>
      <c r="N131" s="2" t="n"/>
      <c r="O131" s="17">
        <f t="array" ref="O131">IFERROR(SMALL(IF(_Helpers!$F$2:$F$151=1,ROW(_Helpers!$F$2:$F$151)),ROWS($A$4:A131)),"")</f>
        <v/>
      </c>
    </row>
    <row r="132">
      <c r="A132" s="23">
        <f>IF($O132="","",INDEX(_Helpers!$A$2:$A$151,$O132-2+1))</f>
        <v/>
      </c>
      <c r="B132" s="23">
        <f>IF($O132="","",INDEX(_Helpers!$D$2:$D$151,$O132-2+1))</f>
        <v/>
      </c>
      <c r="C132" s="24">
        <f>IF($O132="","",INDEX(_Helpers!$B$2:$B$151,$O132-2+1))</f>
        <v/>
      </c>
      <c r="D132" s="24">
        <f>IF($O132="","",INDEX(_Helpers!$C$2:$C$151,$O132-2+1))</f>
        <v/>
      </c>
      <c r="E132" s="24">
        <f>IF($O132="","",INDEX(_Helpers!$L$2:$L$151,$O132-2+1))</f>
        <v/>
      </c>
      <c r="F132" s="25">
        <f>IF($O132="","",INDEX(_Helpers!$M$2:$M$151,$O132-2+1))</f>
        <v/>
      </c>
      <c r="G132" s="26">
        <f>IF($O132="","",IF(INDEX(_Helpers!$G$2:$G$151,$O132-2+1)=1,"Starter",""))</f>
        <v/>
      </c>
      <c r="H132" s="26">
        <f>IF($O132="","",IF(INDEX(_Helpers!$H$2:$H$151,$O132-2+1)=1,"Leaver",""))</f>
        <v/>
      </c>
      <c r="I132" s="26">
        <f>IF($O132="","",INDEX(_Helpers!$P$2:$P$151,$O132-2+1))</f>
        <v/>
      </c>
      <c r="J132" s="25">
        <f>IF($O132="","",INDEX(_Helpers!$V$2:$V$151,$O132-2+1))</f>
        <v/>
      </c>
      <c r="K132" s="26">
        <f>IF($O132="","",INDEX(_Helpers!$AJ$2:$AJ$151,$O132-2+1))</f>
        <v/>
      </c>
      <c r="L132" s="24">
        <f>IF($O132="","",INDEX(_Helpers!$AK$2:$AK$151,$O132-2+1))</f>
        <v/>
      </c>
      <c r="M132" s="27" t="n"/>
      <c r="N132" s="2" t="n"/>
      <c r="O132" s="17">
        <f t="array" ref="O132">IFERROR(SMALL(IF(_Helpers!$F$2:$F$151=1,ROW(_Helpers!$F$2:$F$151)),ROWS($A$4:A132)),"")</f>
        <v/>
      </c>
    </row>
    <row r="133">
      <c r="A133" s="23">
        <f>IF($O133="","",INDEX(_Helpers!$A$2:$A$151,$O133-2+1))</f>
        <v/>
      </c>
      <c r="B133" s="23">
        <f>IF($O133="","",INDEX(_Helpers!$D$2:$D$151,$O133-2+1))</f>
        <v/>
      </c>
      <c r="C133" s="24">
        <f>IF($O133="","",INDEX(_Helpers!$B$2:$B$151,$O133-2+1))</f>
        <v/>
      </c>
      <c r="D133" s="24">
        <f>IF($O133="","",INDEX(_Helpers!$C$2:$C$151,$O133-2+1))</f>
        <v/>
      </c>
      <c r="E133" s="24">
        <f>IF($O133="","",INDEX(_Helpers!$L$2:$L$151,$O133-2+1))</f>
        <v/>
      </c>
      <c r="F133" s="25">
        <f>IF($O133="","",INDEX(_Helpers!$M$2:$M$151,$O133-2+1))</f>
        <v/>
      </c>
      <c r="G133" s="26">
        <f>IF($O133="","",IF(INDEX(_Helpers!$G$2:$G$151,$O133-2+1)=1,"Starter",""))</f>
        <v/>
      </c>
      <c r="H133" s="26">
        <f>IF($O133="","",IF(INDEX(_Helpers!$H$2:$H$151,$O133-2+1)=1,"Leaver",""))</f>
        <v/>
      </c>
      <c r="I133" s="26">
        <f>IF($O133="","",INDEX(_Helpers!$P$2:$P$151,$O133-2+1))</f>
        <v/>
      </c>
      <c r="J133" s="25">
        <f>IF($O133="","",INDEX(_Helpers!$V$2:$V$151,$O133-2+1))</f>
        <v/>
      </c>
      <c r="K133" s="26">
        <f>IF($O133="","",INDEX(_Helpers!$AJ$2:$AJ$151,$O133-2+1))</f>
        <v/>
      </c>
      <c r="L133" s="24">
        <f>IF($O133="","",INDEX(_Helpers!$AK$2:$AK$151,$O133-2+1))</f>
        <v/>
      </c>
      <c r="M133" s="27" t="n"/>
      <c r="N133" s="2" t="n"/>
      <c r="O133" s="17">
        <f t="array" ref="O133">IFERROR(SMALL(IF(_Helpers!$F$2:$F$151=1,ROW(_Helpers!$F$2:$F$151)),ROWS($A$4:A133)),"")</f>
        <v/>
      </c>
    </row>
    <row r="134">
      <c r="A134" s="23">
        <f>IF($O134="","",INDEX(_Helpers!$A$2:$A$151,$O134-2+1))</f>
        <v/>
      </c>
      <c r="B134" s="23">
        <f>IF($O134="","",INDEX(_Helpers!$D$2:$D$151,$O134-2+1))</f>
        <v/>
      </c>
      <c r="C134" s="24">
        <f>IF($O134="","",INDEX(_Helpers!$B$2:$B$151,$O134-2+1))</f>
        <v/>
      </c>
      <c r="D134" s="24">
        <f>IF($O134="","",INDEX(_Helpers!$C$2:$C$151,$O134-2+1))</f>
        <v/>
      </c>
      <c r="E134" s="24">
        <f>IF($O134="","",INDEX(_Helpers!$L$2:$L$151,$O134-2+1))</f>
        <v/>
      </c>
      <c r="F134" s="25">
        <f>IF($O134="","",INDEX(_Helpers!$M$2:$M$151,$O134-2+1))</f>
        <v/>
      </c>
      <c r="G134" s="26">
        <f>IF($O134="","",IF(INDEX(_Helpers!$G$2:$G$151,$O134-2+1)=1,"Starter",""))</f>
        <v/>
      </c>
      <c r="H134" s="26">
        <f>IF($O134="","",IF(INDEX(_Helpers!$H$2:$H$151,$O134-2+1)=1,"Leaver",""))</f>
        <v/>
      </c>
      <c r="I134" s="26">
        <f>IF($O134="","",INDEX(_Helpers!$P$2:$P$151,$O134-2+1))</f>
        <v/>
      </c>
      <c r="J134" s="25">
        <f>IF($O134="","",INDEX(_Helpers!$V$2:$V$151,$O134-2+1))</f>
        <v/>
      </c>
      <c r="K134" s="26">
        <f>IF($O134="","",INDEX(_Helpers!$AJ$2:$AJ$151,$O134-2+1))</f>
        <v/>
      </c>
      <c r="L134" s="24">
        <f>IF($O134="","",INDEX(_Helpers!$AK$2:$AK$151,$O134-2+1))</f>
        <v/>
      </c>
      <c r="M134" s="27" t="n"/>
      <c r="N134" s="2" t="n"/>
      <c r="O134" s="17">
        <f t="array" ref="O134">IFERROR(SMALL(IF(_Helpers!$F$2:$F$151=1,ROW(_Helpers!$F$2:$F$151)),ROWS($A$4:A134)),"")</f>
        <v/>
      </c>
    </row>
    <row r="135">
      <c r="A135" s="23">
        <f>IF($O135="","",INDEX(_Helpers!$A$2:$A$151,$O135-2+1))</f>
        <v/>
      </c>
      <c r="B135" s="23">
        <f>IF($O135="","",INDEX(_Helpers!$D$2:$D$151,$O135-2+1))</f>
        <v/>
      </c>
      <c r="C135" s="24">
        <f>IF($O135="","",INDEX(_Helpers!$B$2:$B$151,$O135-2+1))</f>
        <v/>
      </c>
      <c r="D135" s="24">
        <f>IF($O135="","",INDEX(_Helpers!$C$2:$C$151,$O135-2+1))</f>
        <v/>
      </c>
      <c r="E135" s="24">
        <f>IF($O135="","",INDEX(_Helpers!$L$2:$L$151,$O135-2+1))</f>
        <v/>
      </c>
      <c r="F135" s="25">
        <f>IF($O135="","",INDEX(_Helpers!$M$2:$M$151,$O135-2+1))</f>
        <v/>
      </c>
      <c r="G135" s="26">
        <f>IF($O135="","",IF(INDEX(_Helpers!$G$2:$G$151,$O135-2+1)=1,"Starter",""))</f>
        <v/>
      </c>
      <c r="H135" s="26">
        <f>IF($O135="","",IF(INDEX(_Helpers!$H$2:$H$151,$O135-2+1)=1,"Leaver",""))</f>
        <v/>
      </c>
      <c r="I135" s="26">
        <f>IF($O135="","",INDEX(_Helpers!$P$2:$P$151,$O135-2+1))</f>
        <v/>
      </c>
      <c r="J135" s="25">
        <f>IF($O135="","",INDEX(_Helpers!$V$2:$V$151,$O135-2+1))</f>
        <v/>
      </c>
      <c r="K135" s="26">
        <f>IF($O135="","",INDEX(_Helpers!$AJ$2:$AJ$151,$O135-2+1))</f>
        <v/>
      </c>
      <c r="L135" s="24">
        <f>IF($O135="","",INDEX(_Helpers!$AK$2:$AK$151,$O135-2+1))</f>
        <v/>
      </c>
      <c r="M135" s="27" t="n"/>
      <c r="N135" s="2" t="n"/>
      <c r="O135" s="17">
        <f t="array" ref="O135">IFERROR(SMALL(IF(_Helpers!$F$2:$F$151=1,ROW(_Helpers!$F$2:$F$151)),ROWS($A$4:A135)),"")</f>
        <v/>
      </c>
    </row>
    <row r="136">
      <c r="A136" s="23">
        <f>IF($O136="","",INDEX(_Helpers!$A$2:$A$151,$O136-2+1))</f>
        <v/>
      </c>
      <c r="B136" s="23">
        <f>IF($O136="","",INDEX(_Helpers!$D$2:$D$151,$O136-2+1))</f>
        <v/>
      </c>
      <c r="C136" s="24">
        <f>IF($O136="","",INDEX(_Helpers!$B$2:$B$151,$O136-2+1))</f>
        <v/>
      </c>
      <c r="D136" s="24">
        <f>IF($O136="","",INDEX(_Helpers!$C$2:$C$151,$O136-2+1))</f>
        <v/>
      </c>
      <c r="E136" s="24">
        <f>IF($O136="","",INDEX(_Helpers!$L$2:$L$151,$O136-2+1))</f>
        <v/>
      </c>
      <c r="F136" s="25">
        <f>IF($O136="","",INDEX(_Helpers!$M$2:$M$151,$O136-2+1))</f>
        <v/>
      </c>
      <c r="G136" s="26">
        <f>IF($O136="","",IF(INDEX(_Helpers!$G$2:$G$151,$O136-2+1)=1,"Starter",""))</f>
        <v/>
      </c>
      <c r="H136" s="26">
        <f>IF($O136="","",IF(INDEX(_Helpers!$H$2:$H$151,$O136-2+1)=1,"Leaver",""))</f>
        <v/>
      </c>
      <c r="I136" s="26">
        <f>IF($O136="","",INDEX(_Helpers!$P$2:$P$151,$O136-2+1))</f>
        <v/>
      </c>
      <c r="J136" s="25">
        <f>IF($O136="","",INDEX(_Helpers!$V$2:$V$151,$O136-2+1))</f>
        <v/>
      </c>
      <c r="K136" s="26">
        <f>IF($O136="","",INDEX(_Helpers!$AJ$2:$AJ$151,$O136-2+1))</f>
        <v/>
      </c>
      <c r="L136" s="24">
        <f>IF($O136="","",INDEX(_Helpers!$AK$2:$AK$151,$O136-2+1))</f>
        <v/>
      </c>
      <c r="M136" s="27" t="n"/>
      <c r="N136" s="2" t="n"/>
      <c r="O136" s="17">
        <f t="array" ref="O136">IFERROR(SMALL(IF(_Helpers!$F$2:$F$151=1,ROW(_Helpers!$F$2:$F$151)),ROWS($A$4:A136)),"")</f>
        <v/>
      </c>
    </row>
    <row r="137">
      <c r="A137" s="23">
        <f>IF($O137="","",INDEX(_Helpers!$A$2:$A$151,$O137-2+1))</f>
        <v/>
      </c>
      <c r="B137" s="23">
        <f>IF($O137="","",INDEX(_Helpers!$D$2:$D$151,$O137-2+1))</f>
        <v/>
      </c>
      <c r="C137" s="24">
        <f>IF($O137="","",INDEX(_Helpers!$B$2:$B$151,$O137-2+1))</f>
        <v/>
      </c>
      <c r="D137" s="24">
        <f>IF($O137="","",INDEX(_Helpers!$C$2:$C$151,$O137-2+1))</f>
        <v/>
      </c>
      <c r="E137" s="24">
        <f>IF($O137="","",INDEX(_Helpers!$L$2:$L$151,$O137-2+1))</f>
        <v/>
      </c>
      <c r="F137" s="25">
        <f>IF($O137="","",INDEX(_Helpers!$M$2:$M$151,$O137-2+1))</f>
        <v/>
      </c>
      <c r="G137" s="26">
        <f>IF($O137="","",IF(INDEX(_Helpers!$G$2:$G$151,$O137-2+1)=1,"Starter",""))</f>
        <v/>
      </c>
      <c r="H137" s="26">
        <f>IF($O137="","",IF(INDEX(_Helpers!$H$2:$H$151,$O137-2+1)=1,"Leaver",""))</f>
        <v/>
      </c>
      <c r="I137" s="26">
        <f>IF($O137="","",INDEX(_Helpers!$P$2:$P$151,$O137-2+1))</f>
        <v/>
      </c>
      <c r="J137" s="25">
        <f>IF($O137="","",INDEX(_Helpers!$V$2:$V$151,$O137-2+1))</f>
        <v/>
      </c>
      <c r="K137" s="26">
        <f>IF($O137="","",INDEX(_Helpers!$AJ$2:$AJ$151,$O137-2+1))</f>
        <v/>
      </c>
      <c r="L137" s="24">
        <f>IF($O137="","",INDEX(_Helpers!$AK$2:$AK$151,$O137-2+1))</f>
        <v/>
      </c>
      <c r="M137" s="27" t="n"/>
      <c r="N137" s="2" t="n"/>
      <c r="O137" s="17">
        <f t="array" ref="O137">IFERROR(SMALL(IF(_Helpers!$F$2:$F$151=1,ROW(_Helpers!$F$2:$F$151)),ROWS($A$4:A137)),"")</f>
        <v/>
      </c>
    </row>
    <row r="138">
      <c r="A138" s="23">
        <f>IF($O138="","",INDEX(_Helpers!$A$2:$A$151,$O138-2+1))</f>
        <v/>
      </c>
      <c r="B138" s="23">
        <f>IF($O138="","",INDEX(_Helpers!$D$2:$D$151,$O138-2+1))</f>
        <v/>
      </c>
      <c r="C138" s="24">
        <f>IF($O138="","",INDEX(_Helpers!$B$2:$B$151,$O138-2+1))</f>
        <v/>
      </c>
      <c r="D138" s="24">
        <f>IF($O138="","",INDEX(_Helpers!$C$2:$C$151,$O138-2+1))</f>
        <v/>
      </c>
      <c r="E138" s="24">
        <f>IF($O138="","",INDEX(_Helpers!$L$2:$L$151,$O138-2+1))</f>
        <v/>
      </c>
      <c r="F138" s="25">
        <f>IF($O138="","",INDEX(_Helpers!$M$2:$M$151,$O138-2+1))</f>
        <v/>
      </c>
      <c r="G138" s="26">
        <f>IF($O138="","",IF(INDEX(_Helpers!$G$2:$G$151,$O138-2+1)=1,"Starter",""))</f>
        <v/>
      </c>
      <c r="H138" s="26">
        <f>IF($O138="","",IF(INDEX(_Helpers!$H$2:$H$151,$O138-2+1)=1,"Leaver",""))</f>
        <v/>
      </c>
      <c r="I138" s="26">
        <f>IF($O138="","",INDEX(_Helpers!$P$2:$P$151,$O138-2+1))</f>
        <v/>
      </c>
      <c r="J138" s="25">
        <f>IF($O138="","",INDEX(_Helpers!$V$2:$V$151,$O138-2+1))</f>
        <v/>
      </c>
      <c r="K138" s="26">
        <f>IF($O138="","",INDEX(_Helpers!$AJ$2:$AJ$151,$O138-2+1))</f>
        <v/>
      </c>
      <c r="L138" s="24">
        <f>IF($O138="","",INDEX(_Helpers!$AK$2:$AK$151,$O138-2+1))</f>
        <v/>
      </c>
      <c r="M138" s="27" t="n"/>
      <c r="N138" s="2" t="n"/>
      <c r="O138" s="17">
        <f t="array" ref="O138">IFERROR(SMALL(IF(_Helpers!$F$2:$F$151=1,ROW(_Helpers!$F$2:$F$151)),ROWS($A$4:A138)),"")</f>
        <v/>
      </c>
    </row>
    <row r="139">
      <c r="A139" s="23">
        <f>IF($O139="","",INDEX(_Helpers!$A$2:$A$151,$O139-2+1))</f>
        <v/>
      </c>
      <c r="B139" s="23">
        <f>IF($O139="","",INDEX(_Helpers!$D$2:$D$151,$O139-2+1))</f>
        <v/>
      </c>
      <c r="C139" s="24">
        <f>IF($O139="","",INDEX(_Helpers!$B$2:$B$151,$O139-2+1))</f>
        <v/>
      </c>
      <c r="D139" s="24">
        <f>IF($O139="","",INDEX(_Helpers!$C$2:$C$151,$O139-2+1))</f>
        <v/>
      </c>
      <c r="E139" s="24">
        <f>IF($O139="","",INDEX(_Helpers!$L$2:$L$151,$O139-2+1))</f>
        <v/>
      </c>
      <c r="F139" s="25">
        <f>IF($O139="","",INDEX(_Helpers!$M$2:$M$151,$O139-2+1))</f>
        <v/>
      </c>
      <c r="G139" s="26">
        <f>IF($O139="","",IF(INDEX(_Helpers!$G$2:$G$151,$O139-2+1)=1,"Starter",""))</f>
        <v/>
      </c>
      <c r="H139" s="26">
        <f>IF($O139="","",IF(INDEX(_Helpers!$H$2:$H$151,$O139-2+1)=1,"Leaver",""))</f>
        <v/>
      </c>
      <c r="I139" s="26">
        <f>IF($O139="","",INDEX(_Helpers!$P$2:$P$151,$O139-2+1))</f>
        <v/>
      </c>
      <c r="J139" s="25">
        <f>IF($O139="","",INDEX(_Helpers!$V$2:$V$151,$O139-2+1))</f>
        <v/>
      </c>
      <c r="K139" s="26">
        <f>IF($O139="","",INDEX(_Helpers!$AJ$2:$AJ$151,$O139-2+1))</f>
        <v/>
      </c>
      <c r="L139" s="24">
        <f>IF($O139="","",INDEX(_Helpers!$AK$2:$AK$151,$O139-2+1))</f>
        <v/>
      </c>
      <c r="M139" s="27" t="n"/>
      <c r="N139" s="2" t="n"/>
      <c r="O139" s="17">
        <f t="array" ref="O139">IFERROR(SMALL(IF(_Helpers!$F$2:$F$151=1,ROW(_Helpers!$F$2:$F$151)),ROWS($A$4:A139)),"")</f>
        <v/>
      </c>
    </row>
    <row r="140">
      <c r="A140" s="23">
        <f>IF($O140="","",INDEX(_Helpers!$A$2:$A$151,$O140-2+1))</f>
        <v/>
      </c>
      <c r="B140" s="23">
        <f>IF($O140="","",INDEX(_Helpers!$D$2:$D$151,$O140-2+1))</f>
        <v/>
      </c>
      <c r="C140" s="24">
        <f>IF($O140="","",INDEX(_Helpers!$B$2:$B$151,$O140-2+1))</f>
        <v/>
      </c>
      <c r="D140" s="24">
        <f>IF($O140="","",INDEX(_Helpers!$C$2:$C$151,$O140-2+1))</f>
        <v/>
      </c>
      <c r="E140" s="24">
        <f>IF($O140="","",INDEX(_Helpers!$L$2:$L$151,$O140-2+1))</f>
        <v/>
      </c>
      <c r="F140" s="25">
        <f>IF($O140="","",INDEX(_Helpers!$M$2:$M$151,$O140-2+1))</f>
        <v/>
      </c>
      <c r="G140" s="26">
        <f>IF($O140="","",IF(INDEX(_Helpers!$G$2:$G$151,$O140-2+1)=1,"Starter",""))</f>
        <v/>
      </c>
      <c r="H140" s="26">
        <f>IF($O140="","",IF(INDEX(_Helpers!$H$2:$H$151,$O140-2+1)=1,"Leaver",""))</f>
        <v/>
      </c>
      <c r="I140" s="26">
        <f>IF($O140="","",INDEX(_Helpers!$P$2:$P$151,$O140-2+1))</f>
        <v/>
      </c>
      <c r="J140" s="25">
        <f>IF($O140="","",INDEX(_Helpers!$V$2:$V$151,$O140-2+1))</f>
        <v/>
      </c>
      <c r="K140" s="26">
        <f>IF($O140="","",INDEX(_Helpers!$AJ$2:$AJ$151,$O140-2+1))</f>
        <v/>
      </c>
      <c r="L140" s="24">
        <f>IF($O140="","",INDEX(_Helpers!$AK$2:$AK$151,$O140-2+1))</f>
        <v/>
      </c>
      <c r="M140" s="27" t="n"/>
      <c r="N140" s="2" t="n"/>
      <c r="O140" s="17">
        <f t="array" ref="O140">IFERROR(SMALL(IF(_Helpers!$F$2:$F$151=1,ROW(_Helpers!$F$2:$F$151)),ROWS($A$4:A140)),"")</f>
        <v/>
      </c>
    </row>
    <row r="141">
      <c r="A141" s="23">
        <f>IF($O141="","",INDEX(_Helpers!$A$2:$A$151,$O141-2+1))</f>
        <v/>
      </c>
      <c r="B141" s="23">
        <f>IF($O141="","",INDEX(_Helpers!$D$2:$D$151,$O141-2+1))</f>
        <v/>
      </c>
      <c r="C141" s="24">
        <f>IF($O141="","",INDEX(_Helpers!$B$2:$B$151,$O141-2+1))</f>
        <v/>
      </c>
      <c r="D141" s="24">
        <f>IF($O141="","",INDEX(_Helpers!$C$2:$C$151,$O141-2+1))</f>
        <v/>
      </c>
      <c r="E141" s="24">
        <f>IF($O141="","",INDEX(_Helpers!$L$2:$L$151,$O141-2+1))</f>
        <v/>
      </c>
      <c r="F141" s="25">
        <f>IF($O141="","",INDEX(_Helpers!$M$2:$M$151,$O141-2+1))</f>
        <v/>
      </c>
      <c r="G141" s="26">
        <f>IF($O141="","",IF(INDEX(_Helpers!$G$2:$G$151,$O141-2+1)=1,"Starter",""))</f>
        <v/>
      </c>
      <c r="H141" s="26">
        <f>IF($O141="","",IF(INDEX(_Helpers!$H$2:$H$151,$O141-2+1)=1,"Leaver",""))</f>
        <v/>
      </c>
      <c r="I141" s="26">
        <f>IF($O141="","",INDEX(_Helpers!$P$2:$P$151,$O141-2+1))</f>
        <v/>
      </c>
      <c r="J141" s="25">
        <f>IF($O141="","",INDEX(_Helpers!$V$2:$V$151,$O141-2+1))</f>
        <v/>
      </c>
      <c r="K141" s="26">
        <f>IF($O141="","",INDEX(_Helpers!$AJ$2:$AJ$151,$O141-2+1))</f>
        <v/>
      </c>
      <c r="L141" s="24">
        <f>IF($O141="","",INDEX(_Helpers!$AK$2:$AK$151,$O141-2+1))</f>
        <v/>
      </c>
      <c r="M141" s="27" t="n"/>
      <c r="N141" s="2" t="n"/>
      <c r="O141" s="17">
        <f t="array" ref="O141">IFERROR(SMALL(IF(_Helpers!$F$2:$F$151=1,ROW(_Helpers!$F$2:$F$151)),ROWS($A$4:A141)),"")</f>
        <v/>
      </c>
    </row>
    <row r="142">
      <c r="A142" s="23">
        <f>IF($O142="","",INDEX(_Helpers!$A$2:$A$151,$O142-2+1))</f>
        <v/>
      </c>
      <c r="B142" s="23">
        <f>IF($O142="","",INDEX(_Helpers!$D$2:$D$151,$O142-2+1))</f>
        <v/>
      </c>
      <c r="C142" s="24">
        <f>IF($O142="","",INDEX(_Helpers!$B$2:$B$151,$O142-2+1))</f>
        <v/>
      </c>
      <c r="D142" s="24">
        <f>IF($O142="","",INDEX(_Helpers!$C$2:$C$151,$O142-2+1))</f>
        <v/>
      </c>
      <c r="E142" s="24">
        <f>IF($O142="","",INDEX(_Helpers!$L$2:$L$151,$O142-2+1))</f>
        <v/>
      </c>
      <c r="F142" s="25">
        <f>IF($O142="","",INDEX(_Helpers!$M$2:$M$151,$O142-2+1))</f>
        <v/>
      </c>
      <c r="G142" s="26">
        <f>IF($O142="","",IF(INDEX(_Helpers!$G$2:$G$151,$O142-2+1)=1,"Starter",""))</f>
        <v/>
      </c>
      <c r="H142" s="26">
        <f>IF($O142="","",IF(INDEX(_Helpers!$H$2:$H$151,$O142-2+1)=1,"Leaver",""))</f>
        <v/>
      </c>
      <c r="I142" s="26">
        <f>IF($O142="","",INDEX(_Helpers!$P$2:$P$151,$O142-2+1))</f>
        <v/>
      </c>
      <c r="J142" s="25">
        <f>IF($O142="","",INDEX(_Helpers!$V$2:$V$151,$O142-2+1))</f>
        <v/>
      </c>
      <c r="K142" s="26">
        <f>IF($O142="","",INDEX(_Helpers!$AJ$2:$AJ$151,$O142-2+1))</f>
        <v/>
      </c>
      <c r="L142" s="24">
        <f>IF($O142="","",INDEX(_Helpers!$AK$2:$AK$151,$O142-2+1))</f>
        <v/>
      </c>
      <c r="M142" s="27" t="n"/>
      <c r="N142" s="2" t="n"/>
      <c r="O142" s="17">
        <f t="array" ref="O142">IFERROR(SMALL(IF(_Helpers!$F$2:$F$151=1,ROW(_Helpers!$F$2:$F$151)),ROWS($A$4:A142)),"")</f>
        <v/>
      </c>
    </row>
    <row r="143">
      <c r="A143" s="23">
        <f>IF($O143="","",INDEX(_Helpers!$A$2:$A$151,$O143-2+1))</f>
        <v/>
      </c>
      <c r="B143" s="23">
        <f>IF($O143="","",INDEX(_Helpers!$D$2:$D$151,$O143-2+1))</f>
        <v/>
      </c>
      <c r="C143" s="24">
        <f>IF($O143="","",INDEX(_Helpers!$B$2:$B$151,$O143-2+1))</f>
        <v/>
      </c>
      <c r="D143" s="24">
        <f>IF($O143="","",INDEX(_Helpers!$C$2:$C$151,$O143-2+1))</f>
        <v/>
      </c>
      <c r="E143" s="24">
        <f>IF($O143="","",INDEX(_Helpers!$L$2:$L$151,$O143-2+1))</f>
        <v/>
      </c>
      <c r="F143" s="25">
        <f>IF($O143="","",INDEX(_Helpers!$M$2:$M$151,$O143-2+1))</f>
        <v/>
      </c>
      <c r="G143" s="26">
        <f>IF($O143="","",IF(INDEX(_Helpers!$G$2:$G$151,$O143-2+1)=1,"Starter",""))</f>
        <v/>
      </c>
      <c r="H143" s="26">
        <f>IF($O143="","",IF(INDEX(_Helpers!$H$2:$H$151,$O143-2+1)=1,"Leaver",""))</f>
        <v/>
      </c>
      <c r="I143" s="26">
        <f>IF($O143="","",INDEX(_Helpers!$P$2:$P$151,$O143-2+1))</f>
        <v/>
      </c>
      <c r="J143" s="25">
        <f>IF($O143="","",INDEX(_Helpers!$V$2:$V$151,$O143-2+1))</f>
        <v/>
      </c>
      <c r="K143" s="26">
        <f>IF($O143="","",INDEX(_Helpers!$AJ$2:$AJ$151,$O143-2+1))</f>
        <v/>
      </c>
      <c r="L143" s="24">
        <f>IF($O143="","",INDEX(_Helpers!$AK$2:$AK$151,$O143-2+1))</f>
        <v/>
      </c>
      <c r="M143" s="27" t="n"/>
      <c r="N143" s="2" t="n"/>
      <c r="O143" s="17">
        <f t="array" ref="O143">IFERROR(SMALL(IF(_Helpers!$F$2:$F$151=1,ROW(_Helpers!$F$2:$F$151)),ROWS($A$4:A143)),"")</f>
        <v/>
      </c>
    </row>
    <row r="144">
      <c r="A144" s="23">
        <f>IF($O144="","",INDEX(_Helpers!$A$2:$A$151,$O144-2+1))</f>
        <v/>
      </c>
      <c r="B144" s="23">
        <f>IF($O144="","",INDEX(_Helpers!$D$2:$D$151,$O144-2+1))</f>
        <v/>
      </c>
      <c r="C144" s="24">
        <f>IF($O144="","",INDEX(_Helpers!$B$2:$B$151,$O144-2+1))</f>
        <v/>
      </c>
      <c r="D144" s="24">
        <f>IF($O144="","",INDEX(_Helpers!$C$2:$C$151,$O144-2+1))</f>
        <v/>
      </c>
      <c r="E144" s="24">
        <f>IF($O144="","",INDEX(_Helpers!$L$2:$L$151,$O144-2+1))</f>
        <v/>
      </c>
      <c r="F144" s="25">
        <f>IF($O144="","",INDEX(_Helpers!$M$2:$M$151,$O144-2+1))</f>
        <v/>
      </c>
      <c r="G144" s="26">
        <f>IF($O144="","",IF(INDEX(_Helpers!$G$2:$G$151,$O144-2+1)=1,"Starter",""))</f>
        <v/>
      </c>
      <c r="H144" s="26">
        <f>IF($O144="","",IF(INDEX(_Helpers!$H$2:$H$151,$O144-2+1)=1,"Leaver",""))</f>
        <v/>
      </c>
      <c r="I144" s="26">
        <f>IF($O144="","",INDEX(_Helpers!$P$2:$P$151,$O144-2+1))</f>
        <v/>
      </c>
      <c r="J144" s="25">
        <f>IF($O144="","",INDEX(_Helpers!$V$2:$V$151,$O144-2+1))</f>
        <v/>
      </c>
      <c r="K144" s="26">
        <f>IF($O144="","",INDEX(_Helpers!$AJ$2:$AJ$151,$O144-2+1))</f>
        <v/>
      </c>
      <c r="L144" s="24">
        <f>IF($O144="","",INDEX(_Helpers!$AK$2:$AK$151,$O144-2+1))</f>
        <v/>
      </c>
      <c r="M144" s="27" t="n"/>
      <c r="N144" s="2" t="n"/>
      <c r="O144" s="17">
        <f t="array" ref="O144">IFERROR(SMALL(IF(_Helpers!$F$2:$F$151=1,ROW(_Helpers!$F$2:$F$151)),ROWS($A$4:A144)),"")</f>
        <v/>
      </c>
    </row>
    <row r="145">
      <c r="A145" s="23">
        <f>IF($O145="","",INDEX(_Helpers!$A$2:$A$151,$O145-2+1))</f>
        <v/>
      </c>
      <c r="B145" s="23">
        <f>IF($O145="","",INDEX(_Helpers!$D$2:$D$151,$O145-2+1))</f>
        <v/>
      </c>
      <c r="C145" s="24">
        <f>IF($O145="","",INDEX(_Helpers!$B$2:$B$151,$O145-2+1))</f>
        <v/>
      </c>
      <c r="D145" s="24">
        <f>IF($O145="","",INDEX(_Helpers!$C$2:$C$151,$O145-2+1))</f>
        <v/>
      </c>
      <c r="E145" s="24">
        <f>IF($O145="","",INDEX(_Helpers!$L$2:$L$151,$O145-2+1))</f>
        <v/>
      </c>
      <c r="F145" s="25">
        <f>IF($O145="","",INDEX(_Helpers!$M$2:$M$151,$O145-2+1))</f>
        <v/>
      </c>
      <c r="G145" s="26">
        <f>IF($O145="","",IF(INDEX(_Helpers!$G$2:$G$151,$O145-2+1)=1,"Starter",""))</f>
        <v/>
      </c>
      <c r="H145" s="26">
        <f>IF($O145="","",IF(INDEX(_Helpers!$H$2:$H$151,$O145-2+1)=1,"Leaver",""))</f>
        <v/>
      </c>
      <c r="I145" s="26">
        <f>IF($O145="","",INDEX(_Helpers!$P$2:$P$151,$O145-2+1))</f>
        <v/>
      </c>
      <c r="J145" s="25">
        <f>IF($O145="","",INDEX(_Helpers!$V$2:$V$151,$O145-2+1))</f>
        <v/>
      </c>
      <c r="K145" s="26">
        <f>IF($O145="","",INDEX(_Helpers!$AJ$2:$AJ$151,$O145-2+1))</f>
        <v/>
      </c>
      <c r="L145" s="24">
        <f>IF($O145="","",INDEX(_Helpers!$AK$2:$AK$151,$O145-2+1))</f>
        <v/>
      </c>
      <c r="M145" s="27" t="n"/>
      <c r="N145" s="2" t="n"/>
      <c r="O145" s="17">
        <f t="array" ref="O145">IFERROR(SMALL(IF(_Helpers!$F$2:$F$151=1,ROW(_Helpers!$F$2:$F$151)),ROWS($A$4:A145)),"")</f>
        <v/>
      </c>
    </row>
    <row r="146">
      <c r="A146" s="23">
        <f>IF($O146="","",INDEX(_Helpers!$A$2:$A$151,$O146-2+1))</f>
        <v/>
      </c>
      <c r="B146" s="23">
        <f>IF($O146="","",INDEX(_Helpers!$D$2:$D$151,$O146-2+1))</f>
        <v/>
      </c>
      <c r="C146" s="24">
        <f>IF($O146="","",INDEX(_Helpers!$B$2:$B$151,$O146-2+1))</f>
        <v/>
      </c>
      <c r="D146" s="24">
        <f>IF($O146="","",INDEX(_Helpers!$C$2:$C$151,$O146-2+1))</f>
        <v/>
      </c>
      <c r="E146" s="24">
        <f>IF($O146="","",INDEX(_Helpers!$L$2:$L$151,$O146-2+1))</f>
        <v/>
      </c>
      <c r="F146" s="25">
        <f>IF($O146="","",INDEX(_Helpers!$M$2:$M$151,$O146-2+1))</f>
        <v/>
      </c>
      <c r="G146" s="26">
        <f>IF($O146="","",IF(INDEX(_Helpers!$G$2:$G$151,$O146-2+1)=1,"Starter",""))</f>
        <v/>
      </c>
      <c r="H146" s="26">
        <f>IF($O146="","",IF(INDEX(_Helpers!$H$2:$H$151,$O146-2+1)=1,"Leaver",""))</f>
        <v/>
      </c>
      <c r="I146" s="26">
        <f>IF($O146="","",INDEX(_Helpers!$P$2:$P$151,$O146-2+1))</f>
        <v/>
      </c>
      <c r="J146" s="25">
        <f>IF($O146="","",INDEX(_Helpers!$V$2:$V$151,$O146-2+1))</f>
        <v/>
      </c>
      <c r="K146" s="26">
        <f>IF($O146="","",INDEX(_Helpers!$AJ$2:$AJ$151,$O146-2+1))</f>
        <v/>
      </c>
      <c r="L146" s="24">
        <f>IF($O146="","",INDEX(_Helpers!$AK$2:$AK$151,$O146-2+1))</f>
        <v/>
      </c>
      <c r="M146" s="27" t="n"/>
      <c r="N146" s="2" t="n"/>
      <c r="O146" s="17">
        <f t="array" ref="O146">IFERROR(SMALL(IF(_Helpers!$F$2:$F$151=1,ROW(_Helpers!$F$2:$F$151)),ROWS($A$4:A146)),"")</f>
        <v/>
      </c>
    </row>
    <row r="147">
      <c r="A147" s="23">
        <f>IF($O147="","",INDEX(_Helpers!$A$2:$A$151,$O147-2+1))</f>
        <v/>
      </c>
      <c r="B147" s="23">
        <f>IF($O147="","",INDEX(_Helpers!$D$2:$D$151,$O147-2+1))</f>
        <v/>
      </c>
      <c r="C147" s="24">
        <f>IF($O147="","",INDEX(_Helpers!$B$2:$B$151,$O147-2+1))</f>
        <v/>
      </c>
      <c r="D147" s="24">
        <f>IF($O147="","",INDEX(_Helpers!$C$2:$C$151,$O147-2+1))</f>
        <v/>
      </c>
      <c r="E147" s="24">
        <f>IF($O147="","",INDEX(_Helpers!$L$2:$L$151,$O147-2+1))</f>
        <v/>
      </c>
      <c r="F147" s="25">
        <f>IF($O147="","",INDEX(_Helpers!$M$2:$M$151,$O147-2+1))</f>
        <v/>
      </c>
      <c r="G147" s="26">
        <f>IF($O147="","",IF(INDEX(_Helpers!$G$2:$G$151,$O147-2+1)=1,"Starter",""))</f>
        <v/>
      </c>
      <c r="H147" s="26">
        <f>IF($O147="","",IF(INDEX(_Helpers!$H$2:$H$151,$O147-2+1)=1,"Leaver",""))</f>
        <v/>
      </c>
      <c r="I147" s="26">
        <f>IF($O147="","",INDEX(_Helpers!$P$2:$P$151,$O147-2+1))</f>
        <v/>
      </c>
      <c r="J147" s="25">
        <f>IF($O147="","",INDEX(_Helpers!$V$2:$V$151,$O147-2+1))</f>
        <v/>
      </c>
      <c r="K147" s="26">
        <f>IF($O147="","",INDEX(_Helpers!$AJ$2:$AJ$151,$O147-2+1))</f>
        <v/>
      </c>
      <c r="L147" s="24">
        <f>IF($O147="","",INDEX(_Helpers!$AK$2:$AK$151,$O147-2+1))</f>
        <v/>
      </c>
      <c r="M147" s="27" t="n"/>
      <c r="N147" s="2" t="n"/>
      <c r="O147" s="17">
        <f t="array" ref="O147">IFERROR(SMALL(IF(_Helpers!$F$2:$F$151=1,ROW(_Helpers!$F$2:$F$151)),ROWS($A$4:A147)),"")</f>
        <v/>
      </c>
    </row>
    <row r="148">
      <c r="A148" s="23">
        <f>IF($O148="","",INDEX(_Helpers!$A$2:$A$151,$O148-2+1))</f>
        <v/>
      </c>
      <c r="B148" s="23">
        <f>IF($O148="","",INDEX(_Helpers!$D$2:$D$151,$O148-2+1))</f>
        <v/>
      </c>
      <c r="C148" s="24">
        <f>IF($O148="","",INDEX(_Helpers!$B$2:$B$151,$O148-2+1))</f>
        <v/>
      </c>
      <c r="D148" s="24">
        <f>IF($O148="","",INDEX(_Helpers!$C$2:$C$151,$O148-2+1))</f>
        <v/>
      </c>
      <c r="E148" s="24">
        <f>IF($O148="","",INDEX(_Helpers!$L$2:$L$151,$O148-2+1))</f>
        <v/>
      </c>
      <c r="F148" s="25">
        <f>IF($O148="","",INDEX(_Helpers!$M$2:$M$151,$O148-2+1))</f>
        <v/>
      </c>
      <c r="G148" s="26">
        <f>IF($O148="","",IF(INDEX(_Helpers!$G$2:$G$151,$O148-2+1)=1,"Starter",""))</f>
        <v/>
      </c>
      <c r="H148" s="26">
        <f>IF($O148="","",IF(INDEX(_Helpers!$H$2:$H$151,$O148-2+1)=1,"Leaver",""))</f>
        <v/>
      </c>
      <c r="I148" s="26">
        <f>IF($O148="","",INDEX(_Helpers!$P$2:$P$151,$O148-2+1))</f>
        <v/>
      </c>
      <c r="J148" s="25">
        <f>IF($O148="","",INDEX(_Helpers!$V$2:$V$151,$O148-2+1))</f>
        <v/>
      </c>
      <c r="K148" s="26">
        <f>IF($O148="","",INDEX(_Helpers!$AJ$2:$AJ$151,$O148-2+1))</f>
        <v/>
      </c>
      <c r="L148" s="24">
        <f>IF($O148="","",INDEX(_Helpers!$AK$2:$AK$151,$O148-2+1))</f>
        <v/>
      </c>
      <c r="M148" s="27" t="n"/>
      <c r="N148" s="2" t="n"/>
      <c r="O148" s="17">
        <f t="array" ref="O148">IFERROR(SMALL(IF(_Helpers!$F$2:$F$151=1,ROW(_Helpers!$F$2:$F$151)),ROWS($A$4:A148)),"")</f>
        <v/>
      </c>
    </row>
    <row r="149">
      <c r="A149" s="23">
        <f>IF($O149="","",INDEX(_Helpers!$A$2:$A$151,$O149-2+1))</f>
        <v/>
      </c>
      <c r="B149" s="23">
        <f>IF($O149="","",INDEX(_Helpers!$D$2:$D$151,$O149-2+1))</f>
        <v/>
      </c>
      <c r="C149" s="24">
        <f>IF($O149="","",INDEX(_Helpers!$B$2:$B$151,$O149-2+1))</f>
        <v/>
      </c>
      <c r="D149" s="24">
        <f>IF($O149="","",INDEX(_Helpers!$C$2:$C$151,$O149-2+1))</f>
        <v/>
      </c>
      <c r="E149" s="24">
        <f>IF($O149="","",INDEX(_Helpers!$L$2:$L$151,$O149-2+1))</f>
        <v/>
      </c>
      <c r="F149" s="25">
        <f>IF($O149="","",INDEX(_Helpers!$M$2:$M$151,$O149-2+1))</f>
        <v/>
      </c>
      <c r="G149" s="26">
        <f>IF($O149="","",IF(INDEX(_Helpers!$G$2:$G$151,$O149-2+1)=1,"Starter",""))</f>
        <v/>
      </c>
      <c r="H149" s="26">
        <f>IF($O149="","",IF(INDEX(_Helpers!$H$2:$H$151,$O149-2+1)=1,"Leaver",""))</f>
        <v/>
      </c>
      <c r="I149" s="26">
        <f>IF($O149="","",INDEX(_Helpers!$P$2:$P$151,$O149-2+1))</f>
        <v/>
      </c>
      <c r="J149" s="25">
        <f>IF($O149="","",INDEX(_Helpers!$V$2:$V$151,$O149-2+1))</f>
        <v/>
      </c>
      <c r="K149" s="26">
        <f>IF($O149="","",INDEX(_Helpers!$AJ$2:$AJ$151,$O149-2+1))</f>
        <v/>
      </c>
      <c r="L149" s="24">
        <f>IF($O149="","",INDEX(_Helpers!$AK$2:$AK$151,$O149-2+1))</f>
        <v/>
      </c>
      <c r="M149" s="27" t="n"/>
      <c r="N149" s="2" t="n"/>
      <c r="O149" s="17">
        <f t="array" ref="O149">IFERROR(SMALL(IF(_Helpers!$F$2:$F$151=1,ROW(_Helpers!$F$2:$F$151)),ROWS($A$4:A149)),"")</f>
        <v/>
      </c>
    </row>
    <row r="150">
      <c r="A150" s="23">
        <f>IF($O150="","",INDEX(_Helpers!$A$2:$A$151,$O150-2+1))</f>
        <v/>
      </c>
      <c r="B150" s="23">
        <f>IF($O150="","",INDEX(_Helpers!$D$2:$D$151,$O150-2+1))</f>
        <v/>
      </c>
      <c r="C150" s="24">
        <f>IF($O150="","",INDEX(_Helpers!$B$2:$B$151,$O150-2+1))</f>
        <v/>
      </c>
      <c r="D150" s="24">
        <f>IF($O150="","",INDEX(_Helpers!$C$2:$C$151,$O150-2+1))</f>
        <v/>
      </c>
      <c r="E150" s="24">
        <f>IF($O150="","",INDEX(_Helpers!$L$2:$L$151,$O150-2+1))</f>
        <v/>
      </c>
      <c r="F150" s="25">
        <f>IF($O150="","",INDEX(_Helpers!$M$2:$M$151,$O150-2+1))</f>
        <v/>
      </c>
      <c r="G150" s="26">
        <f>IF($O150="","",IF(INDEX(_Helpers!$G$2:$G$151,$O150-2+1)=1,"Starter",""))</f>
        <v/>
      </c>
      <c r="H150" s="26">
        <f>IF($O150="","",IF(INDEX(_Helpers!$H$2:$H$151,$O150-2+1)=1,"Leaver",""))</f>
        <v/>
      </c>
      <c r="I150" s="26">
        <f>IF($O150="","",INDEX(_Helpers!$P$2:$P$151,$O150-2+1))</f>
        <v/>
      </c>
      <c r="J150" s="25">
        <f>IF($O150="","",INDEX(_Helpers!$V$2:$V$151,$O150-2+1))</f>
        <v/>
      </c>
      <c r="K150" s="26">
        <f>IF($O150="","",INDEX(_Helpers!$AJ$2:$AJ$151,$O150-2+1))</f>
        <v/>
      </c>
      <c r="L150" s="24">
        <f>IF($O150="","",INDEX(_Helpers!$AK$2:$AK$151,$O150-2+1))</f>
        <v/>
      </c>
      <c r="M150" s="27" t="n"/>
      <c r="N150" s="2" t="n"/>
      <c r="O150" s="17">
        <f t="array" ref="O150">IFERROR(SMALL(IF(_Helpers!$F$2:$F$151=1,ROW(_Helpers!$F$2:$F$151)),ROWS($A$4:A150)),"")</f>
        <v/>
      </c>
    </row>
    <row r="151">
      <c r="A151" s="23">
        <f>IF($O151="","",INDEX(_Helpers!$A$2:$A$151,$O151-2+1))</f>
        <v/>
      </c>
      <c r="B151" s="23">
        <f>IF($O151="","",INDEX(_Helpers!$D$2:$D$151,$O151-2+1))</f>
        <v/>
      </c>
      <c r="C151" s="24">
        <f>IF($O151="","",INDEX(_Helpers!$B$2:$B$151,$O151-2+1))</f>
        <v/>
      </c>
      <c r="D151" s="24">
        <f>IF($O151="","",INDEX(_Helpers!$C$2:$C$151,$O151-2+1))</f>
        <v/>
      </c>
      <c r="E151" s="24">
        <f>IF($O151="","",INDEX(_Helpers!$L$2:$L$151,$O151-2+1))</f>
        <v/>
      </c>
      <c r="F151" s="25">
        <f>IF($O151="","",INDEX(_Helpers!$M$2:$M$151,$O151-2+1))</f>
        <v/>
      </c>
      <c r="G151" s="26">
        <f>IF($O151="","",IF(INDEX(_Helpers!$G$2:$G$151,$O151-2+1)=1,"Starter",""))</f>
        <v/>
      </c>
      <c r="H151" s="26">
        <f>IF($O151="","",IF(INDEX(_Helpers!$H$2:$H$151,$O151-2+1)=1,"Leaver",""))</f>
        <v/>
      </c>
      <c r="I151" s="26">
        <f>IF($O151="","",INDEX(_Helpers!$P$2:$P$151,$O151-2+1))</f>
        <v/>
      </c>
      <c r="J151" s="25">
        <f>IF($O151="","",INDEX(_Helpers!$V$2:$V$151,$O151-2+1))</f>
        <v/>
      </c>
      <c r="K151" s="26">
        <f>IF($O151="","",INDEX(_Helpers!$AJ$2:$AJ$151,$O151-2+1))</f>
        <v/>
      </c>
      <c r="L151" s="24">
        <f>IF($O151="","",INDEX(_Helpers!$AK$2:$AK$151,$O151-2+1))</f>
        <v/>
      </c>
      <c r="M151" s="27" t="n"/>
      <c r="N151" s="2" t="n"/>
      <c r="O151" s="17">
        <f t="array" ref="O151">IFERROR(SMALL(IF(_Helpers!$F$2:$F$151=1,ROW(_Helpers!$F$2:$F$151)),ROWS($A$4:A151)),"")</f>
        <v/>
      </c>
    </row>
    <row r="152">
      <c r="A152" s="23">
        <f>IF($O152="","",INDEX(_Helpers!$A$2:$A$151,$O152-2+1))</f>
        <v/>
      </c>
      <c r="B152" s="23">
        <f>IF($O152="","",INDEX(_Helpers!$D$2:$D$151,$O152-2+1))</f>
        <v/>
      </c>
      <c r="C152" s="24">
        <f>IF($O152="","",INDEX(_Helpers!$B$2:$B$151,$O152-2+1))</f>
        <v/>
      </c>
      <c r="D152" s="24">
        <f>IF($O152="","",INDEX(_Helpers!$C$2:$C$151,$O152-2+1))</f>
        <v/>
      </c>
      <c r="E152" s="24">
        <f>IF($O152="","",INDEX(_Helpers!$L$2:$L$151,$O152-2+1))</f>
        <v/>
      </c>
      <c r="F152" s="25">
        <f>IF($O152="","",INDEX(_Helpers!$M$2:$M$151,$O152-2+1))</f>
        <v/>
      </c>
      <c r="G152" s="26">
        <f>IF($O152="","",IF(INDEX(_Helpers!$G$2:$G$151,$O152-2+1)=1,"Starter",""))</f>
        <v/>
      </c>
      <c r="H152" s="26">
        <f>IF($O152="","",IF(INDEX(_Helpers!$H$2:$H$151,$O152-2+1)=1,"Leaver",""))</f>
        <v/>
      </c>
      <c r="I152" s="26">
        <f>IF($O152="","",INDEX(_Helpers!$P$2:$P$151,$O152-2+1))</f>
        <v/>
      </c>
      <c r="J152" s="25">
        <f>IF($O152="","",INDEX(_Helpers!$V$2:$V$151,$O152-2+1))</f>
        <v/>
      </c>
      <c r="K152" s="26">
        <f>IF($O152="","",INDEX(_Helpers!$AJ$2:$AJ$151,$O152-2+1))</f>
        <v/>
      </c>
      <c r="L152" s="24">
        <f>IF($O152="","",INDEX(_Helpers!$AK$2:$AK$151,$O152-2+1))</f>
        <v/>
      </c>
      <c r="M152" s="27" t="n"/>
      <c r="N152" s="2" t="n"/>
      <c r="O152" s="17">
        <f t="array" ref="O152">IFERROR(SMALL(IF(_Helpers!$F$2:$F$151=1,ROW(_Helpers!$F$2:$F$151)),ROWS($A$4:A152)),"")</f>
        <v/>
      </c>
    </row>
    <row r="153">
      <c r="A153" s="23">
        <f>IF($O153="","",INDEX(_Helpers!$A$2:$A$151,$O153-2+1))</f>
        <v/>
      </c>
      <c r="B153" s="23">
        <f>IF($O153="","",INDEX(_Helpers!$D$2:$D$151,$O153-2+1))</f>
        <v/>
      </c>
      <c r="C153" s="24">
        <f>IF($O153="","",INDEX(_Helpers!$B$2:$B$151,$O153-2+1))</f>
        <v/>
      </c>
      <c r="D153" s="24">
        <f>IF($O153="","",INDEX(_Helpers!$C$2:$C$151,$O153-2+1))</f>
        <v/>
      </c>
      <c r="E153" s="24">
        <f>IF($O153="","",INDEX(_Helpers!$L$2:$L$151,$O153-2+1))</f>
        <v/>
      </c>
      <c r="F153" s="25">
        <f>IF($O153="","",INDEX(_Helpers!$M$2:$M$151,$O153-2+1))</f>
        <v/>
      </c>
      <c r="G153" s="26">
        <f>IF($O153="","",IF(INDEX(_Helpers!$G$2:$G$151,$O153-2+1)=1,"Starter",""))</f>
        <v/>
      </c>
      <c r="H153" s="26">
        <f>IF($O153="","",IF(INDEX(_Helpers!$H$2:$H$151,$O153-2+1)=1,"Leaver",""))</f>
        <v/>
      </c>
      <c r="I153" s="26">
        <f>IF($O153="","",INDEX(_Helpers!$P$2:$P$151,$O153-2+1))</f>
        <v/>
      </c>
      <c r="J153" s="25">
        <f>IF($O153="","",INDEX(_Helpers!$V$2:$V$151,$O153-2+1))</f>
        <v/>
      </c>
      <c r="K153" s="26">
        <f>IF($O153="","",INDEX(_Helpers!$AJ$2:$AJ$151,$O153-2+1))</f>
        <v/>
      </c>
      <c r="L153" s="24">
        <f>IF($O153="","",INDEX(_Helpers!$AK$2:$AK$151,$O153-2+1))</f>
        <v/>
      </c>
      <c r="M153" s="27" t="n"/>
      <c r="N153" s="2" t="n"/>
      <c r="O153" s="17">
        <f t="array" ref="O153">IFERROR(SMALL(IF(_Helpers!$F$2:$F$151=1,ROW(_Helpers!$F$2:$F$151)),ROWS($A$4:A153)),"")</f>
        <v/>
      </c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</row>
  </sheetData>
  <autoFilter ref="A3:N153"/>
  <mergeCells count="2">
    <mergeCell ref="A2:M2"/>
    <mergeCell ref="A1:M1"/>
  </mergeCells>
  <conditionalFormatting sqref="A4:M153">
    <cfRule type="expression" priority="1" dxfId="0">
      <formula>$I4="Review required"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3D315D"/>
    <outlinePr summaryBelow="1" summaryRight="1"/>
    <pageSetUpPr/>
  </sheetPr>
  <dimension ref="A1:J15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2" customWidth="1" min="3" max="3"/>
    <col width="12" customWidth="1" min="4" max="4"/>
    <col width="12" customWidth="1" min="5" max="5"/>
    <col width="11" customWidth="1" min="6" max="6"/>
    <col hidden="1" width="13" customWidth="1" min="8" max="8"/>
  </cols>
  <sheetData>
    <row r="1">
      <c r="A1" s="1" t="inlineStr">
        <is>
          <t>Zero Hours Contracts - Net Pay Movements</t>
        </is>
      </c>
      <c r="H1" s="2" t="n"/>
      <c r="I1" s="2" t="n"/>
      <c r="J1" s="2" t="n"/>
    </row>
    <row r="2">
      <c r="A2" s="22" t="inlineStr">
        <is>
          <t>Staff whose ONLY contract basis on the Structure report is Zero Hours. Listed for visibility only.</t>
        </is>
      </c>
      <c r="H2" s="2" t="n"/>
      <c r="I2" s="2" t="n"/>
      <c r="J2" s="2" t="n"/>
    </row>
    <row r="3" ht="22" customHeight="1">
      <c r="A3" s="14" t="inlineStr">
        <is>
          <t>Payroll Number</t>
        </is>
      </c>
      <c r="B3" s="14" t="inlineStr">
        <is>
          <t>Practice</t>
        </is>
      </c>
      <c r="C3" s="14" t="inlineStr">
        <is>
          <t>Prior Net</t>
        </is>
      </c>
      <c r="D3" s="14" t="inlineStr">
        <is>
          <t>Current Net</t>
        </is>
      </c>
      <c r="E3" s="14" t="inlineStr">
        <is>
          <t>Difference £</t>
        </is>
      </c>
      <c r="F3" s="14" t="inlineStr">
        <is>
          <t>Difference %</t>
        </is>
      </c>
      <c r="G3" s="2" t="n"/>
      <c r="H3" s="17" t="inlineStr">
        <is>
          <t>Helper: rank pointer</t>
        </is>
      </c>
      <c r="I3" s="2" t="n"/>
      <c r="J3" s="2" t="n"/>
    </row>
    <row r="4">
      <c r="A4" s="23">
        <f>IF($H4="","",INDEX(_Helpers!$A$2:$A$151,$H4-2+1))</f>
        <v/>
      </c>
      <c r="B4" s="23">
        <f>IF($H4="","",INDEX(_Helpers!$D$2:$D$151,$H4-2+1))</f>
        <v/>
      </c>
      <c r="C4" s="24">
        <f>IF($H4="","",INDEX(_Helpers!$B$2:$B$151,$H4-2+1))</f>
        <v/>
      </c>
      <c r="D4" s="24">
        <f>IF($H4="","",INDEX(_Helpers!$C$2:$C$151,$H4-2+1))</f>
        <v/>
      </c>
      <c r="E4" s="24">
        <f>IF($H4="","",INDEX(_Helpers!$L$2:$L$151,$H4-2+1))</f>
        <v/>
      </c>
      <c r="F4" s="25">
        <f>IF($H4="","",INDEX(_Helpers!$M$2:$M$151,$H4-2+1))</f>
        <v/>
      </c>
      <c r="G4" s="2" t="n"/>
      <c r="H4" s="17">
        <f t="array" ref="H4">IFERROR(SMALL(IF(_Helpers!$E$2:$E$151=1,ROW(_Helpers!$E$2:$E$151)),ROWS($A$4:A4)),"")</f>
        <v/>
      </c>
      <c r="I4" s="2" t="n"/>
      <c r="J4" s="2" t="n"/>
    </row>
    <row r="5">
      <c r="A5" s="23">
        <f>IF($H5="","",INDEX(_Helpers!$A$2:$A$151,$H5-2+1))</f>
        <v/>
      </c>
      <c r="B5" s="23">
        <f>IF($H5="","",INDEX(_Helpers!$D$2:$D$151,$H5-2+1))</f>
        <v/>
      </c>
      <c r="C5" s="24">
        <f>IF($H5="","",INDEX(_Helpers!$B$2:$B$151,$H5-2+1))</f>
        <v/>
      </c>
      <c r="D5" s="24">
        <f>IF($H5="","",INDEX(_Helpers!$C$2:$C$151,$H5-2+1))</f>
        <v/>
      </c>
      <c r="E5" s="24">
        <f>IF($H5="","",INDEX(_Helpers!$L$2:$L$151,$H5-2+1))</f>
        <v/>
      </c>
      <c r="F5" s="25">
        <f>IF($H5="","",INDEX(_Helpers!$M$2:$M$151,$H5-2+1))</f>
        <v/>
      </c>
      <c r="G5" s="2" t="n"/>
      <c r="H5" s="17">
        <f t="array" ref="H5">IFERROR(SMALL(IF(_Helpers!$E$2:$E$151=1,ROW(_Helpers!$E$2:$E$151)),ROWS($A$4:A5)),"")</f>
        <v/>
      </c>
      <c r="I5" s="2" t="n"/>
      <c r="J5" s="2" t="n"/>
    </row>
    <row r="6">
      <c r="A6" s="23">
        <f>IF($H6="","",INDEX(_Helpers!$A$2:$A$151,$H6-2+1))</f>
        <v/>
      </c>
      <c r="B6" s="23">
        <f>IF($H6="","",INDEX(_Helpers!$D$2:$D$151,$H6-2+1))</f>
        <v/>
      </c>
      <c r="C6" s="24">
        <f>IF($H6="","",INDEX(_Helpers!$B$2:$B$151,$H6-2+1))</f>
        <v/>
      </c>
      <c r="D6" s="24">
        <f>IF($H6="","",INDEX(_Helpers!$C$2:$C$151,$H6-2+1))</f>
        <v/>
      </c>
      <c r="E6" s="24">
        <f>IF($H6="","",INDEX(_Helpers!$L$2:$L$151,$H6-2+1))</f>
        <v/>
      </c>
      <c r="F6" s="25">
        <f>IF($H6="","",INDEX(_Helpers!$M$2:$M$151,$H6-2+1))</f>
        <v/>
      </c>
      <c r="G6" s="2" t="n"/>
      <c r="H6" s="17">
        <f t="array" ref="H6">IFERROR(SMALL(IF(_Helpers!$E$2:$E$151=1,ROW(_Helpers!$E$2:$E$151)),ROWS($A$4:A6)),"")</f>
        <v/>
      </c>
      <c r="I6" s="2" t="n"/>
      <c r="J6" s="2" t="n"/>
    </row>
    <row r="7">
      <c r="A7" s="23">
        <f>IF($H7="","",INDEX(_Helpers!$A$2:$A$151,$H7-2+1))</f>
        <v/>
      </c>
      <c r="B7" s="23">
        <f>IF($H7="","",INDEX(_Helpers!$D$2:$D$151,$H7-2+1))</f>
        <v/>
      </c>
      <c r="C7" s="24">
        <f>IF($H7="","",INDEX(_Helpers!$B$2:$B$151,$H7-2+1))</f>
        <v/>
      </c>
      <c r="D7" s="24">
        <f>IF($H7="","",INDEX(_Helpers!$C$2:$C$151,$H7-2+1))</f>
        <v/>
      </c>
      <c r="E7" s="24">
        <f>IF($H7="","",INDEX(_Helpers!$L$2:$L$151,$H7-2+1))</f>
        <v/>
      </c>
      <c r="F7" s="25">
        <f>IF($H7="","",INDEX(_Helpers!$M$2:$M$151,$H7-2+1))</f>
        <v/>
      </c>
      <c r="G7" s="2" t="n"/>
      <c r="H7" s="17">
        <f t="array" ref="H7">IFERROR(SMALL(IF(_Helpers!$E$2:$E$151=1,ROW(_Helpers!$E$2:$E$151)),ROWS($A$4:A7)),"")</f>
        <v/>
      </c>
      <c r="I7" s="2" t="n"/>
      <c r="J7" s="2" t="n"/>
    </row>
    <row r="8">
      <c r="A8" s="23">
        <f>IF($H8="","",INDEX(_Helpers!$A$2:$A$151,$H8-2+1))</f>
        <v/>
      </c>
      <c r="B8" s="23">
        <f>IF($H8="","",INDEX(_Helpers!$D$2:$D$151,$H8-2+1))</f>
        <v/>
      </c>
      <c r="C8" s="24">
        <f>IF($H8="","",INDEX(_Helpers!$B$2:$B$151,$H8-2+1))</f>
        <v/>
      </c>
      <c r="D8" s="24">
        <f>IF($H8="","",INDEX(_Helpers!$C$2:$C$151,$H8-2+1))</f>
        <v/>
      </c>
      <c r="E8" s="24">
        <f>IF($H8="","",INDEX(_Helpers!$L$2:$L$151,$H8-2+1))</f>
        <v/>
      </c>
      <c r="F8" s="25">
        <f>IF($H8="","",INDEX(_Helpers!$M$2:$M$151,$H8-2+1))</f>
        <v/>
      </c>
      <c r="G8" s="2" t="n"/>
      <c r="H8" s="17">
        <f t="array" ref="H8">IFERROR(SMALL(IF(_Helpers!$E$2:$E$151=1,ROW(_Helpers!$E$2:$E$151)),ROWS($A$4:A8)),"")</f>
        <v/>
      </c>
      <c r="I8" s="2" t="n"/>
      <c r="J8" s="2" t="n"/>
    </row>
    <row r="9">
      <c r="A9" s="23">
        <f>IF($H9="","",INDEX(_Helpers!$A$2:$A$151,$H9-2+1))</f>
        <v/>
      </c>
      <c r="B9" s="23">
        <f>IF($H9="","",INDEX(_Helpers!$D$2:$D$151,$H9-2+1))</f>
        <v/>
      </c>
      <c r="C9" s="24">
        <f>IF($H9="","",INDEX(_Helpers!$B$2:$B$151,$H9-2+1))</f>
        <v/>
      </c>
      <c r="D9" s="24">
        <f>IF($H9="","",INDEX(_Helpers!$C$2:$C$151,$H9-2+1))</f>
        <v/>
      </c>
      <c r="E9" s="24">
        <f>IF($H9="","",INDEX(_Helpers!$L$2:$L$151,$H9-2+1))</f>
        <v/>
      </c>
      <c r="F9" s="25">
        <f>IF($H9="","",INDEX(_Helpers!$M$2:$M$151,$H9-2+1))</f>
        <v/>
      </c>
      <c r="G9" s="2" t="n"/>
      <c r="H9" s="17">
        <f t="array" ref="H9">IFERROR(SMALL(IF(_Helpers!$E$2:$E$151=1,ROW(_Helpers!$E$2:$E$151)),ROWS($A$4:A9)),"")</f>
        <v/>
      </c>
      <c r="I9" s="2" t="n"/>
      <c r="J9" s="2" t="n"/>
    </row>
    <row r="10">
      <c r="A10" s="23">
        <f>IF($H10="","",INDEX(_Helpers!$A$2:$A$151,$H10-2+1))</f>
        <v/>
      </c>
      <c r="B10" s="23">
        <f>IF($H10="","",INDEX(_Helpers!$D$2:$D$151,$H10-2+1))</f>
        <v/>
      </c>
      <c r="C10" s="24">
        <f>IF($H10="","",INDEX(_Helpers!$B$2:$B$151,$H10-2+1))</f>
        <v/>
      </c>
      <c r="D10" s="24">
        <f>IF($H10="","",INDEX(_Helpers!$C$2:$C$151,$H10-2+1))</f>
        <v/>
      </c>
      <c r="E10" s="24">
        <f>IF($H10="","",INDEX(_Helpers!$L$2:$L$151,$H10-2+1))</f>
        <v/>
      </c>
      <c r="F10" s="25">
        <f>IF($H10="","",INDEX(_Helpers!$M$2:$M$151,$H10-2+1))</f>
        <v/>
      </c>
      <c r="G10" s="2" t="n"/>
      <c r="H10" s="17">
        <f t="array" ref="H10">IFERROR(SMALL(IF(_Helpers!$E$2:$E$151=1,ROW(_Helpers!$E$2:$E$151)),ROWS($A$4:A10)),"")</f>
        <v/>
      </c>
      <c r="I10" s="2" t="n"/>
      <c r="J10" s="2" t="n"/>
    </row>
    <row r="11">
      <c r="A11" s="23">
        <f>IF($H11="","",INDEX(_Helpers!$A$2:$A$151,$H11-2+1))</f>
        <v/>
      </c>
      <c r="B11" s="23">
        <f>IF($H11="","",INDEX(_Helpers!$D$2:$D$151,$H11-2+1))</f>
        <v/>
      </c>
      <c r="C11" s="24">
        <f>IF($H11="","",INDEX(_Helpers!$B$2:$B$151,$H11-2+1))</f>
        <v/>
      </c>
      <c r="D11" s="24">
        <f>IF($H11="","",INDEX(_Helpers!$C$2:$C$151,$H11-2+1))</f>
        <v/>
      </c>
      <c r="E11" s="24">
        <f>IF($H11="","",INDEX(_Helpers!$L$2:$L$151,$H11-2+1))</f>
        <v/>
      </c>
      <c r="F11" s="25">
        <f>IF($H11="","",INDEX(_Helpers!$M$2:$M$151,$H11-2+1))</f>
        <v/>
      </c>
      <c r="G11" s="2" t="n"/>
      <c r="H11" s="17">
        <f t="array" ref="H11">IFERROR(SMALL(IF(_Helpers!$E$2:$E$151=1,ROW(_Helpers!$E$2:$E$151)),ROWS($A$4:A11)),"")</f>
        <v/>
      </c>
      <c r="I11" s="2" t="n"/>
      <c r="J11" s="2" t="n"/>
    </row>
    <row r="12">
      <c r="A12" s="23">
        <f>IF($H12="","",INDEX(_Helpers!$A$2:$A$151,$H12-2+1))</f>
        <v/>
      </c>
      <c r="B12" s="23">
        <f>IF($H12="","",INDEX(_Helpers!$D$2:$D$151,$H12-2+1))</f>
        <v/>
      </c>
      <c r="C12" s="24">
        <f>IF($H12="","",INDEX(_Helpers!$B$2:$B$151,$H12-2+1))</f>
        <v/>
      </c>
      <c r="D12" s="24">
        <f>IF($H12="","",INDEX(_Helpers!$C$2:$C$151,$H12-2+1))</f>
        <v/>
      </c>
      <c r="E12" s="24">
        <f>IF($H12="","",INDEX(_Helpers!$L$2:$L$151,$H12-2+1))</f>
        <v/>
      </c>
      <c r="F12" s="25">
        <f>IF($H12="","",INDEX(_Helpers!$M$2:$M$151,$H12-2+1))</f>
        <v/>
      </c>
      <c r="G12" s="2" t="n"/>
      <c r="H12" s="17">
        <f t="array" ref="H12">IFERROR(SMALL(IF(_Helpers!$E$2:$E$151=1,ROW(_Helpers!$E$2:$E$151)),ROWS($A$4:A12)),"")</f>
        <v/>
      </c>
      <c r="I12" s="2" t="n"/>
      <c r="J12" s="2" t="n"/>
    </row>
    <row r="13">
      <c r="A13" s="23">
        <f>IF($H13="","",INDEX(_Helpers!$A$2:$A$151,$H13-2+1))</f>
        <v/>
      </c>
      <c r="B13" s="23">
        <f>IF($H13="","",INDEX(_Helpers!$D$2:$D$151,$H13-2+1))</f>
        <v/>
      </c>
      <c r="C13" s="24">
        <f>IF($H13="","",INDEX(_Helpers!$B$2:$B$151,$H13-2+1))</f>
        <v/>
      </c>
      <c r="D13" s="24">
        <f>IF($H13="","",INDEX(_Helpers!$C$2:$C$151,$H13-2+1))</f>
        <v/>
      </c>
      <c r="E13" s="24">
        <f>IF($H13="","",INDEX(_Helpers!$L$2:$L$151,$H13-2+1))</f>
        <v/>
      </c>
      <c r="F13" s="25">
        <f>IF($H13="","",INDEX(_Helpers!$M$2:$M$151,$H13-2+1))</f>
        <v/>
      </c>
      <c r="G13" s="2" t="n"/>
      <c r="H13" s="17">
        <f t="array" ref="H13">IFERROR(SMALL(IF(_Helpers!$E$2:$E$151=1,ROW(_Helpers!$E$2:$E$151)),ROWS($A$4:A13)),"")</f>
        <v/>
      </c>
      <c r="I13" s="2" t="n"/>
      <c r="J13" s="2" t="n"/>
    </row>
    <row r="14">
      <c r="A14" s="23">
        <f>IF($H14="","",INDEX(_Helpers!$A$2:$A$151,$H14-2+1))</f>
        <v/>
      </c>
      <c r="B14" s="23">
        <f>IF($H14="","",INDEX(_Helpers!$D$2:$D$151,$H14-2+1))</f>
        <v/>
      </c>
      <c r="C14" s="24">
        <f>IF($H14="","",INDEX(_Helpers!$B$2:$B$151,$H14-2+1))</f>
        <v/>
      </c>
      <c r="D14" s="24">
        <f>IF($H14="","",INDEX(_Helpers!$C$2:$C$151,$H14-2+1))</f>
        <v/>
      </c>
      <c r="E14" s="24">
        <f>IF($H14="","",INDEX(_Helpers!$L$2:$L$151,$H14-2+1))</f>
        <v/>
      </c>
      <c r="F14" s="25">
        <f>IF($H14="","",INDEX(_Helpers!$M$2:$M$151,$H14-2+1))</f>
        <v/>
      </c>
      <c r="G14" s="2" t="n"/>
      <c r="H14" s="17">
        <f t="array" ref="H14">IFERROR(SMALL(IF(_Helpers!$E$2:$E$151=1,ROW(_Helpers!$E$2:$E$151)),ROWS($A$4:A14)),"")</f>
        <v/>
      </c>
      <c r="I14" s="2" t="n"/>
      <c r="J14" s="2" t="n"/>
    </row>
    <row r="15">
      <c r="A15" s="23">
        <f>IF($H15="","",INDEX(_Helpers!$A$2:$A$151,$H15-2+1))</f>
        <v/>
      </c>
      <c r="B15" s="23">
        <f>IF($H15="","",INDEX(_Helpers!$D$2:$D$151,$H15-2+1))</f>
        <v/>
      </c>
      <c r="C15" s="24">
        <f>IF($H15="","",INDEX(_Helpers!$B$2:$B$151,$H15-2+1))</f>
        <v/>
      </c>
      <c r="D15" s="24">
        <f>IF($H15="","",INDEX(_Helpers!$C$2:$C$151,$H15-2+1))</f>
        <v/>
      </c>
      <c r="E15" s="24">
        <f>IF($H15="","",INDEX(_Helpers!$L$2:$L$151,$H15-2+1))</f>
        <v/>
      </c>
      <c r="F15" s="25">
        <f>IF($H15="","",INDEX(_Helpers!$M$2:$M$151,$H15-2+1))</f>
        <v/>
      </c>
      <c r="G15" s="2" t="n"/>
      <c r="H15" s="17">
        <f t="array" ref="H15">IFERROR(SMALL(IF(_Helpers!$E$2:$E$151=1,ROW(_Helpers!$E$2:$E$151)),ROWS($A$4:A15)),"")</f>
        <v/>
      </c>
      <c r="I15" s="2" t="n"/>
      <c r="J15" s="2" t="n"/>
    </row>
    <row r="16">
      <c r="A16" s="23">
        <f>IF($H16="","",INDEX(_Helpers!$A$2:$A$151,$H16-2+1))</f>
        <v/>
      </c>
      <c r="B16" s="23">
        <f>IF($H16="","",INDEX(_Helpers!$D$2:$D$151,$H16-2+1))</f>
        <v/>
      </c>
      <c r="C16" s="24">
        <f>IF($H16="","",INDEX(_Helpers!$B$2:$B$151,$H16-2+1))</f>
        <v/>
      </c>
      <c r="D16" s="24">
        <f>IF($H16="","",INDEX(_Helpers!$C$2:$C$151,$H16-2+1))</f>
        <v/>
      </c>
      <c r="E16" s="24">
        <f>IF($H16="","",INDEX(_Helpers!$L$2:$L$151,$H16-2+1))</f>
        <v/>
      </c>
      <c r="F16" s="25">
        <f>IF($H16="","",INDEX(_Helpers!$M$2:$M$151,$H16-2+1))</f>
        <v/>
      </c>
      <c r="G16" s="2" t="n"/>
      <c r="H16" s="17">
        <f t="array" ref="H16">IFERROR(SMALL(IF(_Helpers!$E$2:$E$151=1,ROW(_Helpers!$E$2:$E$151)),ROWS($A$4:A16)),"")</f>
        <v/>
      </c>
      <c r="I16" s="2" t="n"/>
      <c r="J16" s="2" t="n"/>
    </row>
    <row r="17">
      <c r="A17" s="23">
        <f>IF($H17="","",INDEX(_Helpers!$A$2:$A$151,$H17-2+1))</f>
        <v/>
      </c>
      <c r="B17" s="23">
        <f>IF($H17="","",INDEX(_Helpers!$D$2:$D$151,$H17-2+1))</f>
        <v/>
      </c>
      <c r="C17" s="24">
        <f>IF($H17="","",INDEX(_Helpers!$B$2:$B$151,$H17-2+1))</f>
        <v/>
      </c>
      <c r="D17" s="24">
        <f>IF($H17="","",INDEX(_Helpers!$C$2:$C$151,$H17-2+1))</f>
        <v/>
      </c>
      <c r="E17" s="24">
        <f>IF($H17="","",INDEX(_Helpers!$L$2:$L$151,$H17-2+1))</f>
        <v/>
      </c>
      <c r="F17" s="25">
        <f>IF($H17="","",INDEX(_Helpers!$M$2:$M$151,$H17-2+1))</f>
        <v/>
      </c>
      <c r="G17" s="2" t="n"/>
      <c r="H17" s="17">
        <f t="array" ref="H17">IFERROR(SMALL(IF(_Helpers!$E$2:$E$151=1,ROW(_Helpers!$E$2:$E$151)),ROWS($A$4:A17)),"")</f>
        <v/>
      </c>
      <c r="I17" s="2" t="n"/>
      <c r="J17" s="2" t="n"/>
    </row>
    <row r="18">
      <c r="A18" s="23">
        <f>IF($H18="","",INDEX(_Helpers!$A$2:$A$151,$H18-2+1))</f>
        <v/>
      </c>
      <c r="B18" s="23">
        <f>IF($H18="","",INDEX(_Helpers!$D$2:$D$151,$H18-2+1))</f>
        <v/>
      </c>
      <c r="C18" s="24">
        <f>IF($H18="","",INDEX(_Helpers!$B$2:$B$151,$H18-2+1))</f>
        <v/>
      </c>
      <c r="D18" s="24">
        <f>IF($H18="","",INDEX(_Helpers!$C$2:$C$151,$H18-2+1))</f>
        <v/>
      </c>
      <c r="E18" s="24">
        <f>IF($H18="","",INDEX(_Helpers!$L$2:$L$151,$H18-2+1))</f>
        <v/>
      </c>
      <c r="F18" s="25">
        <f>IF($H18="","",INDEX(_Helpers!$M$2:$M$151,$H18-2+1))</f>
        <v/>
      </c>
      <c r="G18" s="2" t="n"/>
      <c r="H18" s="17">
        <f t="array" ref="H18">IFERROR(SMALL(IF(_Helpers!$E$2:$E$151=1,ROW(_Helpers!$E$2:$E$151)),ROWS($A$4:A18)),"")</f>
        <v/>
      </c>
      <c r="I18" s="2" t="n"/>
      <c r="J18" s="2" t="n"/>
    </row>
    <row r="19">
      <c r="A19" s="23">
        <f>IF($H19="","",INDEX(_Helpers!$A$2:$A$151,$H19-2+1))</f>
        <v/>
      </c>
      <c r="B19" s="23">
        <f>IF($H19="","",INDEX(_Helpers!$D$2:$D$151,$H19-2+1))</f>
        <v/>
      </c>
      <c r="C19" s="24">
        <f>IF($H19="","",INDEX(_Helpers!$B$2:$B$151,$H19-2+1))</f>
        <v/>
      </c>
      <c r="D19" s="24">
        <f>IF($H19="","",INDEX(_Helpers!$C$2:$C$151,$H19-2+1))</f>
        <v/>
      </c>
      <c r="E19" s="24">
        <f>IF($H19="","",INDEX(_Helpers!$L$2:$L$151,$H19-2+1))</f>
        <v/>
      </c>
      <c r="F19" s="25">
        <f>IF($H19="","",INDEX(_Helpers!$M$2:$M$151,$H19-2+1))</f>
        <v/>
      </c>
      <c r="G19" s="2" t="n"/>
      <c r="H19" s="17">
        <f t="array" ref="H19">IFERROR(SMALL(IF(_Helpers!$E$2:$E$151=1,ROW(_Helpers!$E$2:$E$151)),ROWS($A$4:A19)),"")</f>
        <v/>
      </c>
      <c r="I19" s="2" t="n"/>
      <c r="J19" s="2" t="n"/>
    </row>
    <row r="20">
      <c r="A20" s="23">
        <f>IF($H20="","",INDEX(_Helpers!$A$2:$A$151,$H20-2+1))</f>
        <v/>
      </c>
      <c r="B20" s="23">
        <f>IF($H20="","",INDEX(_Helpers!$D$2:$D$151,$H20-2+1))</f>
        <v/>
      </c>
      <c r="C20" s="24">
        <f>IF($H20="","",INDEX(_Helpers!$B$2:$B$151,$H20-2+1))</f>
        <v/>
      </c>
      <c r="D20" s="24">
        <f>IF($H20="","",INDEX(_Helpers!$C$2:$C$151,$H20-2+1))</f>
        <v/>
      </c>
      <c r="E20" s="24">
        <f>IF($H20="","",INDEX(_Helpers!$L$2:$L$151,$H20-2+1))</f>
        <v/>
      </c>
      <c r="F20" s="25">
        <f>IF($H20="","",INDEX(_Helpers!$M$2:$M$151,$H20-2+1))</f>
        <v/>
      </c>
      <c r="G20" s="2" t="n"/>
      <c r="H20" s="17">
        <f t="array" ref="H20">IFERROR(SMALL(IF(_Helpers!$E$2:$E$151=1,ROW(_Helpers!$E$2:$E$151)),ROWS($A$4:A20)),"")</f>
        <v/>
      </c>
      <c r="I20" s="2" t="n"/>
      <c r="J20" s="2" t="n"/>
    </row>
    <row r="21">
      <c r="A21" s="23">
        <f>IF($H21="","",INDEX(_Helpers!$A$2:$A$151,$H21-2+1))</f>
        <v/>
      </c>
      <c r="B21" s="23">
        <f>IF($H21="","",INDEX(_Helpers!$D$2:$D$151,$H21-2+1))</f>
        <v/>
      </c>
      <c r="C21" s="24">
        <f>IF($H21="","",INDEX(_Helpers!$B$2:$B$151,$H21-2+1))</f>
        <v/>
      </c>
      <c r="D21" s="24">
        <f>IF($H21="","",INDEX(_Helpers!$C$2:$C$151,$H21-2+1))</f>
        <v/>
      </c>
      <c r="E21" s="24">
        <f>IF($H21="","",INDEX(_Helpers!$L$2:$L$151,$H21-2+1))</f>
        <v/>
      </c>
      <c r="F21" s="25">
        <f>IF($H21="","",INDEX(_Helpers!$M$2:$M$151,$H21-2+1))</f>
        <v/>
      </c>
      <c r="G21" s="2" t="n"/>
      <c r="H21" s="17">
        <f t="array" ref="H21">IFERROR(SMALL(IF(_Helpers!$E$2:$E$151=1,ROW(_Helpers!$E$2:$E$151)),ROWS($A$4:A21)),"")</f>
        <v/>
      </c>
      <c r="I21" s="2" t="n"/>
      <c r="J21" s="2" t="n"/>
    </row>
    <row r="22">
      <c r="A22" s="23">
        <f>IF($H22="","",INDEX(_Helpers!$A$2:$A$151,$H22-2+1))</f>
        <v/>
      </c>
      <c r="B22" s="23">
        <f>IF($H22="","",INDEX(_Helpers!$D$2:$D$151,$H22-2+1))</f>
        <v/>
      </c>
      <c r="C22" s="24">
        <f>IF($H22="","",INDEX(_Helpers!$B$2:$B$151,$H22-2+1))</f>
        <v/>
      </c>
      <c r="D22" s="24">
        <f>IF($H22="","",INDEX(_Helpers!$C$2:$C$151,$H22-2+1))</f>
        <v/>
      </c>
      <c r="E22" s="24">
        <f>IF($H22="","",INDEX(_Helpers!$L$2:$L$151,$H22-2+1))</f>
        <v/>
      </c>
      <c r="F22" s="25">
        <f>IF($H22="","",INDEX(_Helpers!$M$2:$M$151,$H22-2+1))</f>
        <v/>
      </c>
      <c r="G22" s="2" t="n"/>
      <c r="H22" s="17">
        <f t="array" ref="H22">IFERROR(SMALL(IF(_Helpers!$E$2:$E$151=1,ROW(_Helpers!$E$2:$E$151)),ROWS($A$4:A22)),"")</f>
        <v/>
      </c>
      <c r="I22" s="2" t="n"/>
      <c r="J22" s="2" t="n"/>
    </row>
    <row r="23">
      <c r="A23" s="23">
        <f>IF($H23="","",INDEX(_Helpers!$A$2:$A$151,$H23-2+1))</f>
        <v/>
      </c>
      <c r="B23" s="23">
        <f>IF($H23="","",INDEX(_Helpers!$D$2:$D$151,$H23-2+1))</f>
        <v/>
      </c>
      <c r="C23" s="24">
        <f>IF($H23="","",INDEX(_Helpers!$B$2:$B$151,$H23-2+1))</f>
        <v/>
      </c>
      <c r="D23" s="24">
        <f>IF($H23="","",INDEX(_Helpers!$C$2:$C$151,$H23-2+1))</f>
        <v/>
      </c>
      <c r="E23" s="24">
        <f>IF($H23="","",INDEX(_Helpers!$L$2:$L$151,$H23-2+1))</f>
        <v/>
      </c>
      <c r="F23" s="25">
        <f>IF($H23="","",INDEX(_Helpers!$M$2:$M$151,$H23-2+1))</f>
        <v/>
      </c>
      <c r="G23" s="2" t="n"/>
      <c r="H23" s="17">
        <f t="array" ref="H23">IFERROR(SMALL(IF(_Helpers!$E$2:$E$151=1,ROW(_Helpers!$E$2:$E$151)),ROWS($A$4:A23)),"")</f>
        <v/>
      </c>
      <c r="I23" s="2" t="n"/>
      <c r="J23" s="2" t="n"/>
    </row>
    <row r="24">
      <c r="A24" s="23">
        <f>IF($H24="","",INDEX(_Helpers!$A$2:$A$151,$H24-2+1))</f>
        <v/>
      </c>
      <c r="B24" s="23">
        <f>IF($H24="","",INDEX(_Helpers!$D$2:$D$151,$H24-2+1))</f>
        <v/>
      </c>
      <c r="C24" s="24">
        <f>IF($H24="","",INDEX(_Helpers!$B$2:$B$151,$H24-2+1))</f>
        <v/>
      </c>
      <c r="D24" s="24">
        <f>IF($H24="","",INDEX(_Helpers!$C$2:$C$151,$H24-2+1))</f>
        <v/>
      </c>
      <c r="E24" s="24">
        <f>IF($H24="","",INDEX(_Helpers!$L$2:$L$151,$H24-2+1))</f>
        <v/>
      </c>
      <c r="F24" s="25">
        <f>IF($H24="","",INDEX(_Helpers!$M$2:$M$151,$H24-2+1))</f>
        <v/>
      </c>
      <c r="G24" s="2" t="n"/>
      <c r="H24" s="17">
        <f t="array" ref="H24">IFERROR(SMALL(IF(_Helpers!$E$2:$E$151=1,ROW(_Helpers!$E$2:$E$151)),ROWS($A$4:A24)),"")</f>
        <v/>
      </c>
      <c r="I24" s="2" t="n"/>
      <c r="J24" s="2" t="n"/>
    </row>
    <row r="25">
      <c r="A25" s="23">
        <f>IF($H25="","",INDEX(_Helpers!$A$2:$A$151,$H25-2+1))</f>
        <v/>
      </c>
      <c r="B25" s="23">
        <f>IF($H25="","",INDEX(_Helpers!$D$2:$D$151,$H25-2+1))</f>
        <v/>
      </c>
      <c r="C25" s="24">
        <f>IF($H25="","",INDEX(_Helpers!$B$2:$B$151,$H25-2+1))</f>
        <v/>
      </c>
      <c r="D25" s="24">
        <f>IF($H25="","",INDEX(_Helpers!$C$2:$C$151,$H25-2+1))</f>
        <v/>
      </c>
      <c r="E25" s="24">
        <f>IF($H25="","",INDEX(_Helpers!$L$2:$L$151,$H25-2+1))</f>
        <v/>
      </c>
      <c r="F25" s="25">
        <f>IF($H25="","",INDEX(_Helpers!$M$2:$M$151,$H25-2+1))</f>
        <v/>
      </c>
      <c r="G25" s="2" t="n"/>
      <c r="H25" s="17">
        <f t="array" ref="H25">IFERROR(SMALL(IF(_Helpers!$E$2:$E$151=1,ROW(_Helpers!$E$2:$E$151)),ROWS($A$4:A25)),"")</f>
        <v/>
      </c>
      <c r="I25" s="2" t="n"/>
      <c r="J25" s="2" t="n"/>
    </row>
    <row r="26">
      <c r="A26" s="23">
        <f>IF($H26="","",INDEX(_Helpers!$A$2:$A$151,$H26-2+1))</f>
        <v/>
      </c>
      <c r="B26" s="23">
        <f>IF($H26="","",INDEX(_Helpers!$D$2:$D$151,$H26-2+1))</f>
        <v/>
      </c>
      <c r="C26" s="24">
        <f>IF($H26="","",INDEX(_Helpers!$B$2:$B$151,$H26-2+1))</f>
        <v/>
      </c>
      <c r="D26" s="24">
        <f>IF($H26="","",INDEX(_Helpers!$C$2:$C$151,$H26-2+1))</f>
        <v/>
      </c>
      <c r="E26" s="24">
        <f>IF($H26="","",INDEX(_Helpers!$L$2:$L$151,$H26-2+1))</f>
        <v/>
      </c>
      <c r="F26" s="25">
        <f>IF($H26="","",INDEX(_Helpers!$M$2:$M$151,$H26-2+1))</f>
        <v/>
      </c>
      <c r="G26" s="2" t="n"/>
      <c r="H26" s="17">
        <f t="array" ref="H26">IFERROR(SMALL(IF(_Helpers!$E$2:$E$151=1,ROW(_Helpers!$E$2:$E$151)),ROWS($A$4:A26)),"")</f>
        <v/>
      </c>
      <c r="I26" s="2" t="n"/>
      <c r="J26" s="2" t="n"/>
    </row>
    <row r="27">
      <c r="A27" s="23">
        <f>IF($H27="","",INDEX(_Helpers!$A$2:$A$151,$H27-2+1))</f>
        <v/>
      </c>
      <c r="B27" s="23">
        <f>IF($H27="","",INDEX(_Helpers!$D$2:$D$151,$H27-2+1))</f>
        <v/>
      </c>
      <c r="C27" s="24">
        <f>IF($H27="","",INDEX(_Helpers!$B$2:$B$151,$H27-2+1))</f>
        <v/>
      </c>
      <c r="D27" s="24">
        <f>IF($H27="","",INDEX(_Helpers!$C$2:$C$151,$H27-2+1))</f>
        <v/>
      </c>
      <c r="E27" s="24">
        <f>IF($H27="","",INDEX(_Helpers!$L$2:$L$151,$H27-2+1))</f>
        <v/>
      </c>
      <c r="F27" s="25">
        <f>IF($H27="","",INDEX(_Helpers!$M$2:$M$151,$H27-2+1))</f>
        <v/>
      </c>
      <c r="G27" s="2" t="n"/>
      <c r="H27" s="17">
        <f t="array" ref="H27">IFERROR(SMALL(IF(_Helpers!$E$2:$E$151=1,ROW(_Helpers!$E$2:$E$151)),ROWS($A$4:A27)),"")</f>
        <v/>
      </c>
      <c r="I27" s="2" t="n"/>
      <c r="J27" s="2" t="n"/>
    </row>
    <row r="28">
      <c r="A28" s="23">
        <f>IF($H28="","",INDEX(_Helpers!$A$2:$A$151,$H28-2+1))</f>
        <v/>
      </c>
      <c r="B28" s="23">
        <f>IF($H28="","",INDEX(_Helpers!$D$2:$D$151,$H28-2+1))</f>
        <v/>
      </c>
      <c r="C28" s="24">
        <f>IF($H28="","",INDEX(_Helpers!$B$2:$B$151,$H28-2+1))</f>
        <v/>
      </c>
      <c r="D28" s="24">
        <f>IF($H28="","",INDEX(_Helpers!$C$2:$C$151,$H28-2+1))</f>
        <v/>
      </c>
      <c r="E28" s="24">
        <f>IF($H28="","",INDEX(_Helpers!$L$2:$L$151,$H28-2+1))</f>
        <v/>
      </c>
      <c r="F28" s="25">
        <f>IF($H28="","",INDEX(_Helpers!$M$2:$M$151,$H28-2+1))</f>
        <v/>
      </c>
      <c r="G28" s="2" t="n"/>
      <c r="H28" s="17">
        <f t="array" ref="H28">IFERROR(SMALL(IF(_Helpers!$E$2:$E$151=1,ROW(_Helpers!$E$2:$E$151)),ROWS($A$4:A28)),"")</f>
        <v/>
      </c>
      <c r="I28" s="2" t="n"/>
      <c r="J28" s="2" t="n"/>
    </row>
    <row r="29">
      <c r="A29" s="23">
        <f>IF($H29="","",INDEX(_Helpers!$A$2:$A$151,$H29-2+1))</f>
        <v/>
      </c>
      <c r="B29" s="23">
        <f>IF($H29="","",INDEX(_Helpers!$D$2:$D$151,$H29-2+1))</f>
        <v/>
      </c>
      <c r="C29" s="24">
        <f>IF($H29="","",INDEX(_Helpers!$B$2:$B$151,$H29-2+1))</f>
        <v/>
      </c>
      <c r="D29" s="24">
        <f>IF($H29="","",INDEX(_Helpers!$C$2:$C$151,$H29-2+1))</f>
        <v/>
      </c>
      <c r="E29" s="24">
        <f>IF($H29="","",INDEX(_Helpers!$L$2:$L$151,$H29-2+1))</f>
        <v/>
      </c>
      <c r="F29" s="25">
        <f>IF($H29="","",INDEX(_Helpers!$M$2:$M$151,$H29-2+1))</f>
        <v/>
      </c>
      <c r="G29" s="2" t="n"/>
      <c r="H29" s="17">
        <f t="array" ref="H29">IFERROR(SMALL(IF(_Helpers!$E$2:$E$151=1,ROW(_Helpers!$E$2:$E$151)),ROWS($A$4:A29)),"")</f>
        <v/>
      </c>
      <c r="I29" s="2" t="n"/>
      <c r="J29" s="2" t="n"/>
    </row>
    <row r="30">
      <c r="A30" s="23">
        <f>IF($H30="","",INDEX(_Helpers!$A$2:$A$151,$H30-2+1))</f>
        <v/>
      </c>
      <c r="B30" s="23">
        <f>IF($H30="","",INDEX(_Helpers!$D$2:$D$151,$H30-2+1))</f>
        <v/>
      </c>
      <c r="C30" s="24">
        <f>IF($H30="","",INDEX(_Helpers!$B$2:$B$151,$H30-2+1))</f>
        <v/>
      </c>
      <c r="D30" s="24">
        <f>IF($H30="","",INDEX(_Helpers!$C$2:$C$151,$H30-2+1))</f>
        <v/>
      </c>
      <c r="E30" s="24">
        <f>IF($H30="","",INDEX(_Helpers!$L$2:$L$151,$H30-2+1))</f>
        <v/>
      </c>
      <c r="F30" s="25">
        <f>IF($H30="","",INDEX(_Helpers!$M$2:$M$151,$H30-2+1))</f>
        <v/>
      </c>
      <c r="G30" s="2" t="n"/>
      <c r="H30" s="17">
        <f t="array" ref="H30">IFERROR(SMALL(IF(_Helpers!$E$2:$E$151=1,ROW(_Helpers!$E$2:$E$151)),ROWS($A$4:A30)),"")</f>
        <v/>
      </c>
      <c r="I30" s="2" t="n"/>
      <c r="J30" s="2" t="n"/>
    </row>
    <row r="31">
      <c r="A31" s="23">
        <f>IF($H31="","",INDEX(_Helpers!$A$2:$A$151,$H31-2+1))</f>
        <v/>
      </c>
      <c r="B31" s="23">
        <f>IF($H31="","",INDEX(_Helpers!$D$2:$D$151,$H31-2+1))</f>
        <v/>
      </c>
      <c r="C31" s="24">
        <f>IF($H31="","",INDEX(_Helpers!$B$2:$B$151,$H31-2+1))</f>
        <v/>
      </c>
      <c r="D31" s="24">
        <f>IF($H31="","",INDEX(_Helpers!$C$2:$C$151,$H31-2+1))</f>
        <v/>
      </c>
      <c r="E31" s="24">
        <f>IF($H31="","",INDEX(_Helpers!$L$2:$L$151,$H31-2+1))</f>
        <v/>
      </c>
      <c r="F31" s="25">
        <f>IF($H31="","",INDEX(_Helpers!$M$2:$M$151,$H31-2+1))</f>
        <v/>
      </c>
      <c r="G31" s="2" t="n"/>
      <c r="H31" s="17">
        <f t="array" ref="H31">IFERROR(SMALL(IF(_Helpers!$E$2:$E$151=1,ROW(_Helpers!$E$2:$E$151)),ROWS($A$4:A31)),"")</f>
        <v/>
      </c>
      <c r="I31" s="2" t="n"/>
      <c r="J31" s="2" t="n"/>
    </row>
    <row r="32">
      <c r="A32" s="23">
        <f>IF($H32="","",INDEX(_Helpers!$A$2:$A$151,$H32-2+1))</f>
        <v/>
      </c>
      <c r="B32" s="23">
        <f>IF($H32="","",INDEX(_Helpers!$D$2:$D$151,$H32-2+1))</f>
        <v/>
      </c>
      <c r="C32" s="24">
        <f>IF($H32="","",INDEX(_Helpers!$B$2:$B$151,$H32-2+1))</f>
        <v/>
      </c>
      <c r="D32" s="24">
        <f>IF($H32="","",INDEX(_Helpers!$C$2:$C$151,$H32-2+1))</f>
        <v/>
      </c>
      <c r="E32" s="24">
        <f>IF($H32="","",INDEX(_Helpers!$L$2:$L$151,$H32-2+1))</f>
        <v/>
      </c>
      <c r="F32" s="25">
        <f>IF($H32="","",INDEX(_Helpers!$M$2:$M$151,$H32-2+1))</f>
        <v/>
      </c>
      <c r="G32" s="2" t="n"/>
      <c r="H32" s="17">
        <f t="array" ref="H32">IFERROR(SMALL(IF(_Helpers!$E$2:$E$151=1,ROW(_Helpers!$E$2:$E$151)),ROWS($A$4:A32)),"")</f>
        <v/>
      </c>
      <c r="I32" s="2" t="n"/>
      <c r="J32" s="2" t="n"/>
    </row>
    <row r="33">
      <c r="A33" s="23">
        <f>IF($H33="","",INDEX(_Helpers!$A$2:$A$151,$H33-2+1))</f>
        <v/>
      </c>
      <c r="B33" s="23">
        <f>IF($H33="","",INDEX(_Helpers!$D$2:$D$151,$H33-2+1))</f>
        <v/>
      </c>
      <c r="C33" s="24">
        <f>IF($H33="","",INDEX(_Helpers!$B$2:$B$151,$H33-2+1))</f>
        <v/>
      </c>
      <c r="D33" s="24">
        <f>IF($H33="","",INDEX(_Helpers!$C$2:$C$151,$H33-2+1))</f>
        <v/>
      </c>
      <c r="E33" s="24">
        <f>IF($H33="","",INDEX(_Helpers!$L$2:$L$151,$H33-2+1))</f>
        <v/>
      </c>
      <c r="F33" s="25">
        <f>IF($H33="","",INDEX(_Helpers!$M$2:$M$151,$H33-2+1))</f>
        <v/>
      </c>
      <c r="G33" s="2" t="n"/>
      <c r="H33" s="17">
        <f t="array" ref="H33">IFERROR(SMALL(IF(_Helpers!$E$2:$E$151=1,ROW(_Helpers!$E$2:$E$151)),ROWS($A$4:A33)),"")</f>
        <v/>
      </c>
      <c r="I33" s="2" t="n"/>
      <c r="J33" s="2" t="n"/>
    </row>
    <row r="34">
      <c r="A34" s="23">
        <f>IF($H34="","",INDEX(_Helpers!$A$2:$A$151,$H34-2+1))</f>
        <v/>
      </c>
      <c r="B34" s="23">
        <f>IF($H34="","",INDEX(_Helpers!$D$2:$D$151,$H34-2+1))</f>
        <v/>
      </c>
      <c r="C34" s="24">
        <f>IF($H34="","",INDEX(_Helpers!$B$2:$B$151,$H34-2+1))</f>
        <v/>
      </c>
      <c r="D34" s="24">
        <f>IF($H34="","",INDEX(_Helpers!$C$2:$C$151,$H34-2+1))</f>
        <v/>
      </c>
      <c r="E34" s="24">
        <f>IF($H34="","",INDEX(_Helpers!$L$2:$L$151,$H34-2+1))</f>
        <v/>
      </c>
      <c r="F34" s="25">
        <f>IF($H34="","",INDEX(_Helpers!$M$2:$M$151,$H34-2+1))</f>
        <v/>
      </c>
      <c r="G34" s="2" t="n"/>
      <c r="H34" s="17">
        <f t="array" ref="H34">IFERROR(SMALL(IF(_Helpers!$E$2:$E$151=1,ROW(_Helpers!$E$2:$E$151)),ROWS($A$4:A34)),"")</f>
        <v/>
      </c>
      <c r="I34" s="2" t="n"/>
      <c r="J34" s="2" t="n"/>
    </row>
    <row r="35">
      <c r="A35" s="23">
        <f>IF($H35="","",INDEX(_Helpers!$A$2:$A$151,$H35-2+1))</f>
        <v/>
      </c>
      <c r="B35" s="23">
        <f>IF($H35="","",INDEX(_Helpers!$D$2:$D$151,$H35-2+1))</f>
        <v/>
      </c>
      <c r="C35" s="24">
        <f>IF($H35="","",INDEX(_Helpers!$B$2:$B$151,$H35-2+1))</f>
        <v/>
      </c>
      <c r="D35" s="24">
        <f>IF($H35="","",INDEX(_Helpers!$C$2:$C$151,$H35-2+1))</f>
        <v/>
      </c>
      <c r="E35" s="24">
        <f>IF($H35="","",INDEX(_Helpers!$L$2:$L$151,$H35-2+1))</f>
        <v/>
      </c>
      <c r="F35" s="25">
        <f>IF($H35="","",INDEX(_Helpers!$M$2:$M$151,$H35-2+1))</f>
        <v/>
      </c>
      <c r="G35" s="2" t="n"/>
      <c r="H35" s="17">
        <f t="array" ref="H35">IFERROR(SMALL(IF(_Helpers!$E$2:$E$151=1,ROW(_Helpers!$E$2:$E$151)),ROWS($A$4:A35)),"")</f>
        <v/>
      </c>
      <c r="I35" s="2" t="n"/>
      <c r="J35" s="2" t="n"/>
    </row>
    <row r="36">
      <c r="A36" s="23">
        <f>IF($H36="","",INDEX(_Helpers!$A$2:$A$151,$H36-2+1))</f>
        <v/>
      </c>
      <c r="B36" s="23">
        <f>IF($H36="","",INDEX(_Helpers!$D$2:$D$151,$H36-2+1))</f>
        <v/>
      </c>
      <c r="C36" s="24">
        <f>IF($H36="","",INDEX(_Helpers!$B$2:$B$151,$H36-2+1))</f>
        <v/>
      </c>
      <c r="D36" s="24">
        <f>IF($H36="","",INDEX(_Helpers!$C$2:$C$151,$H36-2+1))</f>
        <v/>
      </c>
      <c r="E36" s="24">
        <f>IF($H36="","",INDEX(_Helpers!$L$2:$L$151,$H36-2+1))</f>
        <v/>
      </c>
      <c r="F36" s="25">
        <f>IF($H36="","",INDEX(_Helpers!$M$2:$M$151,$H36-2+1))</f>
        <v/>
      </c>
      <c r="G36" s="2" t="n"/>
      <c r="H36" s="17">
        <f t="array" ref="H36">IFERROR(SMALL(IF(_Helpers!$E$2:$E$151=1,ROW(_Helpers!$E$2:$E$151)),ROWS($A$4:A36)),"")</f>
        <v/>
      </c>
      <c r="I36" s="2" t="n"/>
      <c r="J36" s="2" t="n"/>
    </row>
    <row r="37">
      <c r="A37" s="23">
        <f>IF($H37="","",INDEX(_Helpers!$A$2:$A$151,$H37-2+1))</f>
        <v/>
      </c>
      <c r="B37" s="23">
        <f>IF($H37="","",INDEX(_Helpers!$D$2:$D$151,$H37-2+1))</f>
        <v/>
      </c>
      <c r="C37" s="24">
        <f>IF($H37="","",INDEX(_Helpers!$B$2:$B$151,$H37-2+1))</f>
        <v/>
      </c>
      <c r="D37" s="24">
        <f>IF($H37="","",INDEX(_Helpers!$C$2:$C$151,$H37-2+1))</f>
        <v/>
      </c>
      <c r="E37" s="24">
        <f>IF($H37="","",INDEX(_Helpers!$L$2:$L$151,$H37-2+1))</f>
        <v/>
      </c>
      <c r="F37" s="25">
        <f>IF($H37="","",INDEX(_Helpers!$M$2:$M$151,$H37-2+1))</f>
        <v/>
      </c>
      <c r="G37" s="2" t="n"/>
      <c r="H37" s="17">
        <f t="array" ref="H37">IFERROR(SMALL(IF(_Helpers!$E$2:$E$151=1,ROW(_Helpers!$E$2:$E$151)),ROWS($A$4:A37)),"")</f>
        <v/>
      </c>
      <c r="I37" s="2" t="n"/>
      <c r="J37" s="2" t="n"/>
    </row>
    <row r="38">
      <c r="A38" s="23">
        <f>IF($H38="","",INDEX(_Helpers!$A$2:$A$151,$H38-2+1))</f>
        <v/>
      </c>
      <c r="B38" s="23">
        <f>IF($H38="","",INDEX(_Helpers!$D$2:$D$151,$H38-2+1))</f>
        <v/>
      </c>
      <c r="C38" s="24">
        <f>IF($H38="","",INDEX(_Helpers!$B$2:$B$151,$H38-2+1))</f>
        <v/>
      </c>
      <c r="D38" s="24">
        <f>IF($H38="","",INDEX(_Helpers!$C$2:$C$151,$H38-2+1))</f>
        <v/>
      </c>
      <c r="E38" s="24">
        <f>IF($H38="","",INDEX(_Helpers!$L$2:$L$151,$H38-2+1))</f>
        <v/>
      </c>
      <c r="F38" s="25">
        <f>IF($H38="","",INDEX(_Helpers!$M$2:$M$151,$H38-2+1))</f>
        <v/>
      </c>
      <c r="G38" s="2" t="n"/>
      <c r="H38" s="17">
        <f t="array" ref="H38">IFERROR(SMALL(IF(_Helpers!$E$2:$E$151=1,ROW(_Helpers!$E$2:$E$151)),ROWS($A$4:A38)),"")</f>
        <v/>
      </c>
      <c r="I38" s="2" t="n"/>
      <c r="J38" s="2" t="n"/>
    </row>
    <row r="39">
      <c r="A39" s="23">
        <f>IF($H39="","",INDEX(_Helpers!$A$2:$A$151,$H39-2+1))</f>
        <v/>
      </c>
      <c r="B39" s="23">
        <f>IF($H39="","",INDEX(_Helpers!$D$2:$D$151,$H39-2+1))</f>
        <v/>
      </c>
      <c r="C39" s="24">
        <f>IF($H39="","",INDEX(_Helpers!$B$2:$B$151,$H39-2+1))</f>
        <v/>
      </c>
      <c r="D39" s="24">
        <f>IF($H39="","",INDEX(_Helpers!$C$2:$C$151,$H39-2+1))</f>
        <v/>
      </c>
      <c r="E39" s="24">
        <f>IF($H39="","",INDEX(_Helpers!$L$2:$L$151,$H39-2+1))</f>
        <v/>
      </c>
      <c r="F39" s="25">
        <f>IF($H39="","",INDEX(_Helpers!$M$2:$M$151,$H39-2+1))</f>
        <v/>
      </c>
      <c r="G39" s="2" t="n"/>
      <c r="H39" s="17">
        <f t="array" ref="H39">IFERROR(SMALL(IF(_Helpers!$E$2:$E$151=1,ROW(_Helpers!$E$2:$E$151)),ROWS($A$4:A39)),"")</f>
        <v/>
      </c>
      <c r="I39" s="2" t="n"/>
      <c r="J39" s="2" t="n"/>
    </row>
    <row r="40">
      <c r="A40" s="23">
        <f>IF($H40="","",INDEX(_Helpers!$A$2:$A$151,$H40-2+1))</f>
        <v/>
      </c>
      <c r="B40" s="23">
        <f>IF($H40="","",INDEX(_Helpers!$D$2:$D$151,$H40-2+1))</f>
        <v/>
      </c>
      <c r="C40" s="24">
        <f>IF($H40="","",INDEX(_Helpers!$B$2:$B$151,$H40-2+1))</f>
        <v/>
      </c>
      <c r="D40" s="24">
        <f>IF($H40="","",INDEX(_Helpers!$C$2:$C$151,$H40-2+1))</f>
        <v/>
      </c>
      <c r="E40" s="24">
        <f>IF($H40="","",INDEX(_Helpers!$L$2:$L$151,$H40-2+1))</f>
        <v/>
      </c>
      <c r="F40" s="25">
        <f>IF($H40="","",INDEX(_Helpers!$M$2:$M$151,$H40-2+1))</f>
        <v/>
      </c>
      <c r="G40" s="2" t="n"/>
      <c r="H40" s="17">
        <f t="array" ref="H40">IFERROR(SMALL(IF(_Helpers!$E$2:$E$151=1,ROW(_Helpers!$E$2:$E$151)),ROWS($A$4:A40)),"")</f>
        <v/>
      </c>
      <c r="I40" s="2" t="n"/>
      <c r="J40" s="2" t="n"/>
    </row>
    <row r="41">
      <c r="A41" s="23">
        <f>IF($H41="","",INDEX(_Helpers!$A$2:$A$151,$H41-2+1))</f>
        <v/>
      </c>
      <c r="B41" s="23">
        <f>IF($H41="","",INDEX(_Helpers!$D$2:$D$151,$H41-2+1))</f>
        <v/>
      </c>
      <c r="C41" s="24">
        <f>IF($H41="","",INDEX(_Helpers!$B$2:$B$151,$H41-2+1))</f>
        <v/>
      </c>
      <c r="D41" s="24">
        <f>IF($H41="","",INDEX(_Helpers!$C$2:$C$151,$H41-2+1))</f>
        <v/>
      </c>
      <c r="E41" s="24">
        <f>IF($H41="","",INDEX(_Helpers!$L$2:$L$151,$H41-2+1))</f>
        <v/>
      </c>
      <c r="F41" s="25">
        <f>IF($H41="","",INDEX(_Helpers!$M$2:$M$151,$H41-2+1))</f>
        <v/>
      </c>
      <c r="G41" s="2" t="n"/>
      <c r="H41" s="17">
        <f t="array" ref="H41">IFERROR(SMALL(IF(_Helpers!$E$2:$E$151=1,ROW(_Helpers!$E$2:$E$151)),ROWS($A$4:A41)),"")</f>
        <v/>
      </c>
      <c r="I41" s="2" t="n"/>
      <c r="J41" s="2" t="n"/>
    </row>
    <row r="42">
      <c r="A42" s="23">
        <f>IF($H42="","",INDEX(_Helpers!$A$2:$A$151,$H42-2+1))</f>
        <v/>
      </c>
      <c r="B42" s="23">
        <f>IF($H42="","",INDEX(_Helpers!$D$2:$D$151,$H42-2+1))</f>
        <v/>
      </c>
      <c r="C42" s="24">
        <f>IF($H42="","",INDEX(_Helpers!$B$2:$B$151,$H42-2+1))</f>
        <v/>
      </c>
      <c r="D42" s="24">
        <f>IF($H42="","",INDEX(_Helpers!$C$2:$C$151,$H42-2+1))</f>
        <v/>
      </c>
      <c r="E42" s="24">
        <f>IF($H42="","",INDEX(_Helpers!$L$2:$L$151,$H42-2+1))</f>
        <v/>
      </c>
      <c r="F42" s="25">
        <f>IF($H42="","",INDEX(_Helpers!$M$2:$M$151,$H42-2+1))</f>
        <v/>
      </c>
      <c r="G42" s="2" t="n"/>
      <c r="H42" s="17">
        <f t="array" ref="H42">IFERROR(SMALL(IF(_Helpers!$E$2:$E$151=1,ROW(_Helpers!$E$2:$E$151)),ROWS($A$4:A42)),"")</f>
        <v/>
      </c>
      <c r="I42" s="2" t="n"/>
      <c r="J42" s="2" t="n"/>
    </row>
    <row r="43">
      <c r="A43" s="23">
        <f>IF($H43="","",INDEX(_Helpers!$A$2:$A$151,$H43-2+1))</f>
        <v/>
      </c>
      <c r="B43" s="23">
        <f>IF($H43="","",INDEX(_Helpers!$D$2:$D$151,$H43-2+1))</f>
        <v/>
      </c>
      <c r="C43" s="24">
        <f>IF($H43="","",INDEX(_Helpers!$B$2:$B$151,$H43-2+1))</f>
        <v/>
      </c>
      <c r="D43" s="24">
        <f>IF($H43="","",INDEX(_Helpers!$C$2:$C$151,$H43-2+1))</f>
        <v/>
      </c>
      <c r="E43" s="24">
        <f>IF($H43="","",INDEX(_Helpers!$L$2:$L$151,$H43-2+1))</f>
        <v/>
      </c>
      <c r="F43" s="25">
        <f>IF($H43="","",INDEX(_Helpers!$M$2:$M$151,$H43-2+1))</f>
        <v/>
      </c>
      <c r="G43" s="2" t="n"/>
      <c r="H43" s="17">
        <f t="array" ref="H43">IFERROR(SMALL(IF(_Helpers!$E$2:$E$151=1,ROW(_Helpers!$E$2:$E$151)),ROWS($A$4:A43)),"")</f>
        <v/>
      </c>
      <c r="I43" s="2" t="n"/>
      <c r="J43" s="2" t="n"/>
    </row>
    <row r="44">
      <c r="A44" s="23">
        <f>IF($H44="","",INDEX(_Helpers!$A$2:$A$151,$H44-2+1))</f>
        <v/>
      </c>
      <c r="B44" s="23">
        <f>IF($H44="","",INDEX(_Helpers!$D$2:$D$151,$H44-2+1))</f>
        <v/>
      </c>
      <c r="C44" s="24">
        <f>IF($H44="","",INDEX(_Helpers!$B$2:$B$151,$H44-2+1))</f>
        <v/>
      </c>
      <c r="D44" s="24">
        <f>IF($H44="","",INDEX(_Helpers!$C$2:$C$151,$H44-2+1))</f>
        <v/>
      </c>
      <c r="E44" s="24">
        <f>IF($H44="","",INDEX(_Helpers!$L$2:$L$151,$H44-2+1))</f>
        <v/>
      </c>
      <c r="F44" s="25">
        <f>IF($H44="","",INDEX(_Helpers!$M$2:$M$151,$H44-2+1))</f>
        <v/>
      </c>
      <c r="G44" s="2" t="n"/>
      <c r="H44" s="17">
        <f t="array" ref="H44">IFERROR(SMALL(IF(_Helpers!$E$2:$E$151=1,ROW(_Helpers!$E$2:$E$151)),ROWS($A$4:A44)),"")</f>
        <v/>
      </c>
      <c r="I44" s="2" t="n"/>
      <c r="J44" s="2" t="n"/>
    </row>
    <row r="45">
      <c r="A45" s="23">
        <f>IF($H45="","",INDEX(_Helpers!$A$2:$A$151,$H45-2+1))</f>
        <v/>
      </c>
      <c r="B45" s="23">
        <f>IF($H45="","",INDEX(_Helpers!$D$2:$D$151,$H45-2+1))</f>
        <v/>
      </c>
      <c r="C45" s="24">
        <f>IF($H45="","",INDEX(_Helpers!$B$2:$B$151,$H45-2+1))</f>
        <v/>
      </c>
      <c r="D45" s="24">
        <f>IF($H45="","",INDEX(_Helpers!$C$2:$C$151,$H45-2+1))</f>
        <v/>
      </c>
      <c r="E45" s="24">
        <f>IF($H45="","",INDEX(_Helpers!$L$2:$L$151,$H45-2+1))</f>
        <v/>
      </c>
      <c r="F45" s="25">
        <f>IF($H45="","",INDEX(_Helpers!$M$2:$M$151,$H45-2+1))</f>
        <v/>
      </c>
      <c r="G45" s="2" t="n"/>
      <c r="H45" s="17">
        <f t="array" ref="H45">IFERROR(SMALL(IF(_Helpers!$E$2:$E$151=1,ROW(_Helpers!$E$2:$E$151)),ROWS($A$4:A45)),"")</f>
        <v/>
      </c>
      <c r="I45" s="2" t="n"/>
      <c r="J45" s="2" t="n"/>
    </row>
    <row r="46">
      <c r="A46" s="23">
        <f>IF($H46="","",INDEX(_Helpers!$A$2:$A$151,$H46-2+1))</f>
        <v/>
      </c>
      <c r="B46" s="23">
        <f>IF($H46="","",INDEX(_Helpers!$D$2:$D$151,$H46-2+1))</f>
        <v/>
      </c>
      <c r="C46" s="24">
        <f>IF($H46="","",INDEX(_Helpers!$B$2:$B$151,$H46-2+1))</f>
        <v/>
      </c>
      <c r="D46" s="24">
        <f>IF($H46="","",INDEX(_Helpers!$C$2:$C$151,$H46-2+1))</f>
        <v/>
      </c>
      <c r="E46" s="24">
        <f>IF($H46="","",INDEX(_Helpers!$L$2:$L$151,$H46-2+1))</f>
        <v/>
      </c>
      <c r="F46" s="25">
        <f>IF($H46="","",INDEX(_Helpers!$M$2:$M$151,$H46-2+1))</f>
        <v/>
      </c>
      <c r="G46" s="2" t="n"/>
      <c r="H46" s="17">
        <f t="array" ref="H46">IFERROR(SMALL(IF(_Helpers!$E$2:$E$151=1,ROW(_Helpers!$E$2:$E$151)),ROWS($A$4:A46)),"")</f>
        <v/>
      </c>
      <c r="I46" s="2" t="n"/>
      <c r="J46" s="2" t="n"/>
    </row>
    <row r="47">
      <c r="A47" s="23">
        <f>IF($H47="","",INDEX(_Helpers!$A$2:$A$151,$H47-2+1))</f>
        <v/>
      </c>
      <c r="B47" s="23">
        <f>IF($H47="","",INDEX(_Helpers!$D$2:$D$151,$H47-2+1))</f>
        <v/>
      </c>
      <c r="C47" s="24">
        <f>IF($H47="","",INDEX(_Helpers!$B$2:$B$151,$H47-2+1))</f>
        <v/>
      </c>
      <c r="D47" s="24">
        <f>IF($H47="","",INDEX(_Helpers!$C$2:$C$151,$H47-2+1))</f>
        <v/>
      </c>
      <c r="E47" s="24">
        <f>IF($H47="","",INDEX(_Helpers!$L$2:$L$151,$H47-2+1))</f>
        <v/>
      </c>
      <c r="F47" s="25">
        <f>IF($H47="","",INDEX(_Helpers!$M$2:$M$151,$H47-2+1))</f>
        <v/>
      </c>
      <c r="G47" s="2" t="n"/>
      <c r="H47" s="17">
        <f t="array" ref="H47">IFERROR(SMALL(IF(_Helpers!$E$2:$E$151=1,ROW(_Helpers!$E$2:$E$151)),ROWS($A$4:A47)),"")</f>
        <v/>
      </c>
      <c r="I47" s="2" t="n"/>
      <c r="J47" s="2" t="n"/>
    </row>
    <row r="48">
      <c r="A48" s="23">
        <f>IF($H48="","",INDEX(_Helpers!$A$2:$A$151,$H48-2+1))</f>
        <v/>
      </c>
      <c r="B48" s="23">
        <f>IF($H48="","",INDEX(_Helpers!$D$2:$D$151,$H48-2+1))</f>
        <v/>
      </c>
      <c r="C48" s="24">
        <f>IF($H48="","",INDEX(_Helpers!$B$2:$B$151,$H48-2+1))</f>
        <v/>
      </c>
      <c r="D48" s="24">
        <f>IF($H48="","",INDEX(_Helpers!$C$2:$C$151,$H48-2+1))</f>
        <v/>
      </c>
      <c r="E48" s="24">
        <f>IF($H48="","",INDEX(_Helpers!$L$2:$L$151,$H48-2+1))</f>
        <v/>
      </c>
      <c r="F48" s="25">
        <f>IF($H48="","",INDEX(_Helpers!$M$2:$M$151,$H48-2+1))</f>
        <v/>
      </c>
      <c r="G48" s="2" t="n"/>
      <c r="H48" s="17">
        <f t="array" ref="H48">IFERROR(SMALL(IF(_Helpers!$E$2:$E$151=1,ROW(_Helpers!$E$2:$E$151)),ROWS($A$4:A48)),"")</f>
        <v/>
      </c>
      <c r="I48" s="2" t="n"/>
      <c r="J48" s="2" t="n"/>
    </row>
    <row r="49">
      <c r="A49" s="23">
        <f>IF($H49="","",INDEX(_Helpers!$A$2:$A$151,$H49-2+1))</f>
        <v/>
      </c>
      <c r="B49" s="23">
        <f>IF($H49="","",INDEX(_Helpers!$D$2:$D$151,$H49-2+1))</f>
        <v/>
      </c>
      <c r="C49" s="24">
        <f>IF($H49="","",INDEX(_Helpers!$B$2:$B$151,$H49-2+1))</f>
        <v/>
      </c>
      <c r="D49" s="24">
        <f>IF($H49="","",INDEX(_Helpers!$C$2:$C$151,$H49-2+1))</f>
        <v/>
      </c>
      <c r="E49" s="24">
        <f>IF($H49="","",INDEX(_Helpers!$L$2:$L$151,$H49-2+1))</f>
        <v/>
      </c>
      <c r="F49" s="25">
        <f>IF($H49="","",INDEX(_Helpers!$M$2:$M$151,$H49-2+1))</f>
        <v/>
      </c>
      <c r="G49" s="2" t="n"/>
      <c r="H49" s="17">
        <f t="array" ref="H49">IFERROR(SMALL(IF(_Helpers!$E$2:$E$151=1,ROW(_Helpers!$E$2:$E$151)),ROWS($A$4:A49)),"")</f>
        <v/>
      </c>
      <c r="I49" s="2" t="n"/>
      <c r="J49" s="2" t="n"/>
    </row>
    <row r="50">
      <c r="A50" s="23">
        <f>IF($H50="","",INDEX(_Helpers!$A$2:$A$151,$H50-2+1))</f>
        <v/>
      </c>
      <c r="B50" s="23">
        <f>IF($H50="","",INDEX(_Helpers!$D$2:$D$151,$H50-2+1))</f>
        <v/>
      </c>
      <c r="C50" s="24">
        <f>IF($H50="","",INDEX(_Helpers!$B$2:$B$151,$H50-2+1))</f>
        <v/>
      </c>
      <c r="D50" s="24">
        <f>IF($H50="","",INDEX(_Helpers!$C$2:$C$151,$H50-2+1))</f>
        <v/>
      </c>
      <c r="E50" s="24">
        <f>IF($H50="","",INDEX(_Helpers!$L$2:$L$151,$H50-2+1))</f>
        <v/>
      </c>
      <c r="F50" s="25">
        <f>IF($H50="","",INDEX(_Helpers!$M$2:$M$151,$H50-2+1))</f>
        <v/>
      </c>
      <c r="G50" s="2" t="n"/>
      <c r="H50" s="17">
        <f t="array" ref="H50">IFERROR(SMALL(IF(_Helpers!$E$2:$E$151=1,ROW(_Helpers!$E$2:$E$151)),ROWS($A$4:A50)),"")</f>
        <v/>
      </c>
      <c r="I50" s="2" t="n"/>
      <c r="J50" s="2" t="n"/>
    </row>
    <row r="51">
      <c r="A51" s="23">
        <f>IF($H51="","",INDEX(_Helpers!$A$2:$A$151,$H51-2+1))</f>
        <v/>
      </c>
      <c r="B51" s="23">
        <f>IF($H51="","",INDEX(_Helpers!$D$2:$D$151,$H51-2+1))</f>
        <v/>
      </c>
      <c r="C51" s="24">
        <f>IF($H51="","",INDEX(_Helpers!$B$2:$B$151,$H51-2+1))</f>
        <v/>
      </c>
      <c r="D51" s="24">
        <f>IF($H51="","",INDEX(_Helpers!$C$2:$C$151,$H51-2+1))</f>
        <v/>
      </c>
      <c r="E51" s="24">
        <f>IF($H51="","",INDEX(_Helpers!$L$2:$L$151,$H51-2+1))</f>
        <v/>
      </c>
      <c r="F51" s="25">
        <f>IF($H51="","",INDEX(_Helpers!$M$2:$M$151,$H51-2+1))</f>
        <v/>
      </c>
      <c r="G51" s="2" t="n"/>
      <c r="H51" s="17">
        <f t="array" ref="H51">IFERROR(SMALL(IF(_Helpers!$E$2:$E$151=1,ROW(_Helpers!$E$2:$E$151)),ROWS($A$4:A51)),"")</f>
        <v/>
      </c>
      <c r="I51" s="2" t="n"/>
      <c r="J51" s="2" t="n"/>
    </row>
    <row r="52">
      <c r="A52" s="23">
        <f>IF($H52="","",INDEX(_Helpers!$A$2:$A$151,$H52-2+1))</f>
        <v/>
      </c>
      <c r="B52" s="23">
        <f>IF($H52="","",INDEX(_Helpers!$D$2:$D$151,$H52-2+1))</f>
        <v/>
      </c>
      <c r="C52" s="24">
        <f>IF($H52="","",INDEX(_Helpers!$B$2:$B$151,$H52-2+1))</f>
        <v/>
      </c>
      <c r="D52" s="24">
        <f>IF($H52="","",INDEX(_Helpers!$C$2:$C$151,$H52-2+1))</f>
        <v/>
      </c>
      <c r="E52" s="24">
        <f>IF($H52="","",INDEX(_Helpers!$L$2:$L$151,$H52-2+1))</f>
        <v/>
      </c>
      <c r="F52" s="25">
        <f>IF($H52="","",INDEX(_Helpers!$M$2:$M$151,$H52-2+1))</f>
        <v/>
      </c>
      <c r="G52" s="2" t="n"/>
      <c r="H52" s="17">
        <f t="array" ref="H52">IFERROR(SMALL(IF(_Helpers!$E$2:$E$151=1,ROW(_Helpers!$E$2:$E$151)),ROWS($A$4:A52)),"")</f>
        <v/>
      </c>
      <c r="I52" s="2" t="n"/>
      <c r="J52" s="2" t="n"/>
    </row>
    <row r="53">
      <c r="A53" s="23">
        <f>IF($H53="","",INDEX(_Helpers!$A$2:$A$151,$H53-2+1))</f>
        <v/>
      </c>
      <c r="B53" s="23">
        <f>IF($H53="","",INDEX(_Helpers!$D$2:$D$151,$H53-2+1))</f>
        <v/>
      </c>
      <c r="C53" s="24">
        <f>IF($H53="","",INDEX(_Helpers!$B$2:$B$151,$H53-2+1))</f>
        <v/>
      </c>
      <c r="D53" s="24">
        <f>IF($H53="","",INDEX(_Helpers!$C$2:$C$151,$H53-2+1))</f>
        <v/>
      </c>
      <c r="E53" s="24">
        <f>IF($H53="","",INDEX(_Helpers!$L$2:$L$151,$H53-2+1))</f>
        <v/>
      </c>
      <c r="F53" s="25">
        <f>IF($H53="","",INDEX(_Helpers!$M$2:$M$151,$H53-2+1))</f>
        <v/>
      </c>
      <c r="G53" s="2" t="n"/>
      <c r="H53" s="17">
        <f t="array" ref="H53">IFERROR(SMALL(IF(_Helpers!$E$2:$E$151=1,ROW(_Helpers!$E$2:$E$151)),ROWS($A$4:A53)),"")</f>
        <v/>
      </c>
      <c r="I53" s="2" t="n"/>
      <c r="J53" s="2" t="n"/>
    </row>
    <row r="54">
      <c r="A54" s="23">
        <f>IF($H54="","",INDEX(_Helpers!$A$2:$A$151,$H54-2+1))</f>
        <v/>
      </c>
      <c r="B54" s="23">
        <f>IF($H54="","",INDEX(_Helpers!$D$2:$D$151,$H54-2+1))</f>
        <v/>
      </c>
      <c r="C54" s="24">
        <f>IF($H54="","",INDEX(_Helpers!$B$2:$B$151,$H54-2+1))</f>
        <v/>
      </c>
      <c r="D54" s="24">
        <f>IF($H54="","",INDEX(_Helpers!$C$2:$C$151,$H54-2+1))</f>
        <v/>
      </c>
      <c r="E54" s="24">
        <f>IF($H54="","",INDEX(_Helpers!$L$2:$L$151,$H54-2+1))</f>
        <v/>
      </c>
      <c r="F54" s="25">
        <f>IF($H54="","",INDEX(_Helpers!$M$2:$M$151,$H54-2+1))</f>
        <v/>
      </c>
      <c r="G54" s="2" t="n"/>
      <c r="H54" s="17">
        <f t="array" ref="H54">IFERROR(SMALL(IF(_Helpers!$E$2:$E$151=1,ROW(_Helpers!$E$2:$E$151)),ROWS($A$4:A54)),"")</f>
        <v/>
      </c>
      <c r="I54" s="2" t="n"/>
      <c r="J54" s="2" t="n"/>
    </row>
    <row r="55">
      <c r="A55" s="23">
        <f>IF($H55="","",INDEX(_Helpers!$A$2:$A$151,$H55-2+1))</f>
        <v/>
      </c>
      <c r="B55" s="23">
        <f>IF($H55="","",INDEX(_Helpers!$D$2:$D$151,$H55-2+1))</f>
        <v/>
      </c>
      <c r="C55" s="24">
        <f>IF($H55="","",INDEX(_Helpers!$B$2:$B$151,$H55-2+1))</f>
        <v/>
      </c>
      <c r="D55" s="24">
        <f>IF($H55="","",INDEX(_Helpers!$C$2:$C$151,$H55-2+1))</f>
        <v/>
      </c>
      <c r="E55" s="24">
        <f>IF($H55="","",INDEX(_Helpers!$L$2:$L$151,$H55-2+1))</f>
        <v/>
      </c>
      <c r="F55" s="25">
        <f>IF($H55="","",INDEX(_Helpers!$M$2:$M$151,$H55-2+1))</f>
        <v/>
      </c>
      <c r="G55" s="2" t="n"/>
      <c r="H55" s="17">
        <f t="array" ref="H55">IFERROR(SMALL(IF(_Helpers!$E$2:$E$151=1,ROW(_Helpers!$E$2:$E$151)),ROWS($A$4:A55)),"")</f>
        <v/>
      </c>
      <c r="I55" s="2" t="n"/>
      <c r="J55" s="2" t="n"/>
    </row>
    <row r="56">
      <c r="A56" s="23">
        <f>IF($H56="","",INDEX(_Helpers!$A$2:$A$151,$H56-2+1))</f>
        <v/>
      </c>
      <c r="B56" s="23">
        <f>IF($H56="","",INDEX(_Helpers!$D$2:$D$151,$H56-2+1))</f>
        <v/>
      </c>
      <c r="C56" s="24">
        <f>IF($H56="","",INDEX(_Helpers!$B$2:$B$151,$H56-2+1))</f>
        <v/>
      </c>
      <c r="D56" s="24">
        <f>IF($H56="","",INDEX(_Helpers!$C$2:$C$151,$H56-2+1))</f>
        <v/>
      </c>
      <c r="E56" s="24">
        <f>IF($H56="","",INDEX(_Helpers!$L$2:$L$151,$H56-2+1))</f>
        <v/>
      </c>
      <c r="F56" s="25">
        <f>IF($H56="","",INDEX(_Helpers!$M$2:$M$151,$H56-2+1))</f>
        <v/>
      </c>
      <c r="G56" s="2" t="n"/>
      <c r="H56" s="17">
        <f t="array" ref="H56">IFERROR(SMALL(IF(_Helpers!$E$2:$E$151=1,ROW(_Helpers!$E$2:$E$151)),ROWS($A$4:A56)),"")</f>
        <v/>
      </c>
      <c r="I56" s="2" t="n"/>
      <c r="J56" s="2" t="n"/>
    </row>
    <row r="57">
      <c r="A57" s="23">
        <f>IF($H57="","",INDEX(_Helpers!$A$2:$A$151,$H57-2+1))</f>
        <v/>
      </c>
      <c r="B57" s="23">
        <f>IF($H57="","",INDEX(_Helpers!$D$2:$D$151,$H57-2+1))</f>
        <v/>
      </c>
      <c r="C57" s="24">
        <f>IF($H57="","",INDEX(_Helpers!$B$2:$B$151,$H57-2+1))</f>
        <v/>
      </c>
      <c r="D57" s="24">
        <f>IF($H57="","",INDEX(_Helpers!$C$2:$C$151,$H57-2+1))</f>
        <v/>
      </c>
      <c r="E57" s="24">
        <f>IF($H57="","",INDEX(_Helpers!$L$2:$L$151,$H57-2+1))</f>
        <v/>
      </c>
      <c r="F57" s="25">
        <f>IF($H57="","",INDEX(_Helpers!$M$2:$M$151,$H57-2+1))</f>
        <v/>
      </c>
      <c r="G57" s="2" t="n"/>
      <c r="H57" s="17">
        <f t="array" ref="H57">IFERROR(SMALL(IF(_Helpers!$E$2:$E$151=1,ROW(_Helpers!$E$2:$E$151)),ROWS($A$4:A57)),"")</f>
        <v/>
      </c>
      <c r="I57" s="2" t="n"/>
      <c r="J57" s="2" t="n"/>
    </row>
    <row r="58">
      <c r="A58" s="23">
        <f>IF($H58="","",INDEX(_Helpers!$A$2:$A$151,$H58-2+1))</f>
        <v/>
      </c>
      <c r="B58" s="23">
        <f>IF($H58="","",INDEX(_Helpers!$D$2:$D$151,$H58-2+1))</f>
        <v/>
      </c>
      <c r="C58" s="24">
        <f>IF($H58="","",INDEX(_Helpers!$B$2:$B$151,$H58-2+1))</f>
        <v/>
      </c>
      <c r="D58" s="24">
        <f>IF($H58="","",INDEX(_Helpers!$C$2:$C$151,$H58-2+1))</f>
        <v/>
      </c>
      <c r="E58" s="24">
        <f>IF($H58="","",INDEX(_Helpers!$L$2:$L$151,$H58-2+1))</f>
        <v/>
      </c>
      <c r="F58" s="25">
        <f>IF($H58="","",INDEX(_Helpers!$M$2:$M$151,$H58-2+1))</f>
        <v/>
      </c>
      <c r="G58" s="2" t="n"/>
      <c r="H58" s="17">
        <f t="array" ref="H58">IFERROR(SMALL(IF(_Helpers!$E$2:$E$151=1,ROW(_Helpers!$E$2:$E$151)),ROWS($A$4:A58)),"")</f>
        <v/>
      </c>
      <c r="I58" s="2" t="n"/>
      <c r="J58" s="2" t="n"/>
    </row>
    <row r="59">
      <c r="A59" s="23">
        <f>IF($H59="","",INDEX(_Helpers!$A$2:$A$151,$H59-2+1))</f>
        <v/>
      </c>
      <c r="B59" s="23">
        <f>IF($H59="","",INDEX(_Helpers!$D$2:$D$151,$H59-2+1))</f>
        <v/>
      </c>
      <c r="C59" s="24">
        <f>IF($H59="","",INDEX(_Helpers!$B$2:$B$151,$H59-2+1))</f>
        <v/>
      </c>
      <c r="D59" s="24">
        <f>IF($H59="","",INDEX(_Helpers!$C$2:$C$151,$H59-2+1))</f>
        <v/>
      </c>
      <c r="E59" s="24">
        <f>IF($H59="","",INDEX(_Helpers!$L$2:$L$151,$H59-2+1))</f>
        <v/>
      </c>
      <c r="F59" s="25">
        <f>IF($H59="","",INDEX(_Helpers!$M$2:$M$151,$H59-2+1))</f>
        <v/>
      </c>
      <c r="G59" s="2" t="n"/>
      <c r="H59" s="17">
        <f t="array" ref="H59">IFERROR(SMALL(IF(_Helpers!$E$2:$E$151=1,ROW(_Helpers!$E$2:$E$151)),ROWS($A$4:A59)),"")</f>
        <v/>
      </c>
      <c r="I59" s="2" t="n"/>
      <c r="J59" s="2" t="n"/>
    </row>
    <row r="60">
      <c r="A60" s="23">
        <f>IF($H60="","",INDEX(_Helpers!$A$2:$A$151,$H60-2+1))</f>
        <v/>
      </c>
      <c r="B60" s="23">
        <f>IF($H60="","",INDEX(_Helpers!$D$2:$D$151,$H60-2+1))</f>
        <v/>
      </c>
      <c r="C60" s="24">
        <f>IF($H60="","",INDEX(_Helpers!$B$2:$B$151,$H60-2+1))</f>
        <v/>
      </c>
      <c r="D60" s="24">
        <f>IF($H60="","",INDEX(_Helpers!$C$2:$C$151,$H60-2+1))</f>
        <v/>
      </c>
      <c r="E60" s="24">
        <f>IF($H60="","",INDEX(_Helpers!$L$2:$L$151,$H60-2+1))</f>
        <v/>
      </c>
      <c r="F60" s="25">
        <f>IF($H60="","",INDEX(_Helpers!$M$2:$M$151,$H60-2+1))</f>
        <v/>
      </c>
      <c r="G60" s="2" t="n"/>
      <c r="H60" s="17">
        <f t="array" ref="H60">IFERROR(SMALL(IF(_Helpers!$E$2:$E$151=1,ROW(_Helpers!$E$2:$E$151)),ROWS($A$4:A60)),"")</f>
        <v/>
      </c>
      <c r="I60" s="2" t="n"/>
      <c r="J60" s="2" t="n"/>
    </row>
    <row r="61">
      <c r="A61" s="23">
        <f>IF($H61="","",INDEX(_Helpers!$A$2:$A$151,$H61-2+1))</f>
        <v/>
      </c>
      <c r="B61" s="23">
        <f>IF($H61="","",INDEX(_Helpers!$D$2:$D$151,$H61-2+1))</f>
        <v/>
      </c>
      <c r="C61" s="24">
        <f>IF($H61="","",INDEX(_Helpers!$B$2:$B$151,$H61-2+1))</f>
        <v/>
      </c>
      <c r="D61" s="24">
        <f>IF($H61="","",INDEX(_Helpers!$C$2:$C$151,$H61-2+1))</f>
        <v/>
      </c>
      <c r="E61" s="24">
        <f>IF($H61="","",INDEX(_Helpers!$L$2:$L$151,$H61-2+1))</f>
        <v/>
      </c>
      <c r="F61" s="25">
        <f>IF($H61="","",INDEX(_Helpers!$M$2:$M$151,$H61-2+1))</f>
        <v/>
      </c>
      <c r="G61" s="2" t="n"/>
      <c r="H61" s="17">
        <f t="array" ref="H61">IFERROR(SMALL(IF(_Helpers!$E$2:$E$151=1,ROW(_Helpers!$E$2:$E$151)),ROWS($A$4:A61)),"")</f>
        <v/>
      </c>
      <c r="I61" s="2" t="n"/>
      <c r="J61" s="2" t="n"/>
    </row>
    <row r="62">
      <c r="A62" s="23">
        <f>IF($H62="","",INDEX(_Helpers!$A$2:$A$151,$H62-2+1))</f>
        <v/>
      </c>
      <c r="B62" s="23">
        <f>IF($H62="","",INDEX(_Helpers!$D$2:$D$151,$H62-2+1))</f>
        <v/>
      </c>
      <c r="C62" s="24">
        <f>IF($H62="","",INDEX(_Helpers!$B$2:$B$151,$H62-2+1))</f>
        <v/>
      </c>
      <c r="D62" s="24">
        <f>IF($H62="","",INDEX(_Helpers!$C$2:$C$151,$H62-2+1))</f>
        <v/>
      </c>
      <c r="E62" s="24">
        <f>IF($H62="","",INDEX(_Helpers!$L$2:$L$151,$H62-2+1))</f>
        <v/>
      </c>
      <c r="F62" s="25">
        <f>IF($H62="","",INDEX(_Helpers!$M$2:$M$151,$H62-2+1))</f>
        <v/>
      </c>
      <c r="G62" s="2" t="n"/>
      <c r="H62" s="17">
        <f t="array" ref="H62">IFERROR(SMALL(IF(_Helpers!$E$2:$E$151=1,ROW(_Helpers!$E$2:$E$151)),ROWS($A$4:A62)),"")</f>
        <v/>
      </c>
      <c r="I62" s="2" t="n"/>
      <c r="J62" s="2" t="n"/>
    </row>
    <row r="63">
      <c r="A63" s="23">
        <f>IF($H63="","",INDEX(_Helpers!$A$2:$A$151,$H63-2+1))</f>
        <v/>
      </c>
      <c r="B63" s="23">
        <f>IF($H63="","",INDEX(_Helpers!$D$2:$D$151,$H63-2+1))</f>
        <v/>
      </c>
      <c r="C63" s="24">
        <f>IF($H63="","",INDEX(_Helpers!$B$2:$B$151,$H63-2+1))</f>
        <v/>
      </c>
      <c r="D63" s="24">
        <f>IF($H63="","",INDEX(_Helpers!$C$2:$C$151,$H63-2+1))</f>
        <v/>
      </c>
      <c r="E63" s="24">
        <f>IF($H63="","",INDEX(_Helpers!$L$2:$L$151,$H63-2+1))</f>
        <v/>
      </c>
      <c r="F63" s="25">
        <f>IF($H63="","",INDEX(_Helpers!$M$2:$M$151,$H63-2+1))</f>
        <v/>
      </c>
      <c r="G63" s="2" t="n"/>
      <c r="H63" s="17">
        <f t="array" ref="H63">IFERROR(SMALL(IF(_Helpers!$E$2:$E$151=1,ROW(_Helpers!$E$2:$E$151)),ROWS($A$4:A63)),"")</f>
        <v/>
      </c>
      <c r="I63" s="2" t="n"/>
      <c r="J63" s="2" t="n"/>
    </row>
    <row r="64">
      <c r="A64" s="23">
        <f>IF($H64="","",INDEX(_Helpers!$A$2:$A$151,$H64-2+1))</f>
        <v/>
      </c>
      <c r="B64" s="23">
        <f>IF($H64="","",INDEX(_Helpers!$D$2:$D$151,$H64-2+1))</f>
        <v/>
      </c>
      <c r="C64" s="24">
        <f>IF($H64="","",INDEX(_Helpers!$B$2:$B$151,$H64-2+1))</f>
        <v/>
      </c>
      <c r="D64" s="24">
        <f>IF($H64="","",INDEX(_Helpers!$C$2:$C$151,$H64-2+1))</f>
        <v/>
      </c>
      <c r="E64" s="24">
        <f>IF($H64="","",INDEX(_Helpers!$L$2:$L$151,$H64-2+1))</f>
        <v/>
      </c>
      <c r="F64" s="25">
        <f>IF($H64="","",INDEX(_Helpers!$M$2:$M$151,$H64-2+1))</f>
        <v/>
      </c>
      <c r="G64" s="2" t="n"/>
      <c r="H64" s="17">
        <f t="array" ref="H64">IFERROR(SMALL(IF(_Helpers!$E$2:$E$151=1,ROW(_Helpers!$E$2:$E$151)),ROWS($A$4:A64)),"")</f>
        <v/>
      </c>
      <c r="I64" s="2" t="n"/>
      <c r="J64" s="2" t="n"/>
    </row>
    <row r="65">
      <c r="A65" s="23">
        <f>IF($H65="","",INDEX(_Helpers!$A$2:$A$151,$H65-2+1))</f>
        <v/>
      </c>
      <c r="B65" s="23">
        <f>IF($H65="","",INDEX(_Helpers!$D$2:$D$151,$H65-2+1))</f>
        <v/>
      </c>
      <c r="C65" s="24">
        <f>IF($H65="","",INDEX(_Helpers!$B$2:$B$151,$H65-2+1))</f>
        <v/>
      </c>
      <c r="D65" s="24">
        <f>IF($H65="","",INDEX(_Helpers!$C$2:$C$151,$H65-2+1))</f>
        <v/>
      </c>
      <c r="E65" s="24">
        <f>IF($H65="","",INDEX(_Helpers!$L$2:$L$151,$H65-2+1))</f>
        <v/>
      </c>
      <c r="F65" s="25">
        <f>IF($H65="","",INDEX(_Helpers!$M$2:$M$151,$H65-2+1))</f>
        <v/>
      </c>
      <c r="G65" s="2" t="n"/>
      <c r="H65" s="17">
        <f t="array" ref="H65">IFERROR(SMALL(IF(_Helpers!$E$2:$E$151=1,ROW(_Helpers!$E$2:$E$151)),ROWS($A$4:A65)),"")</f>
        <v/>
      </c>
      <c r="I65" s="2" t="n"/>
      <c r="J65" s="2" t="n"/>
    </row>
    <row r="66">
      <c r="A66" s="23">
        <f>IF($H66="","",INDEX(_Helpers!$A$2:$A$151,$H66-2+1))</f>
        <v/>
      </c>
      <c r="B66" s="23">
        <f>IF($H66="","",INDEX(_Helpers!$D$2:$D$151,$H66-2+1))</f>
        <v/>
      </c>
      <c r="C66" s="24">
        <f>IF($H66="","",INDEX(_Helpers!$B$2:$B$151,$H66-2+1))</f>
        <v/>
      </c>
      <c r="D66" s="24">
        <f>IF($H66="","",INDEX(_Helpers!$C$2:$C$151,$H66-2+1))</f>
        <v/>
      </c>
      <c r="E66" s="24">
        <f>IF($H66="","",INDEX(_Helpers!$L$2:$L$151,$H66-2+1))</f>
        <v/>
      </c>
      <c r="F66" s="25">
        <f>IF($H66="","",INDEX(_Helpers!$M$2:$M$151,$H66-2+1))</f>
        <v/>
      </c>
      <c r="G66" s="2" t="n"/>
      <c r="H66" s="17">
        <f t="array" ref="H66">IFERROR(SMALL(IF(_Helpers!$E$2:$E$151=1,ROW(_Helpers!$E$2:$E$151)),ROWS($A$4:A66)),"")</f>
        <v/>
      </c>
      <c r="I66" s="2" t="n"/>
      <c r="J66" s="2" t="n"/>
    </row>
    <row r="67">
      <c r="A67" s="23">
        <f>IF($H67="","",INDEX(_Helpers!$A$2:$A$151,$H67-2+1))</f>
        <v/>
      </c>
      <c r="B67" s="23">
        <f>IF($H67="","",INDEX(_Helpers!$D$2:$D$151,$H67-2+1))</f>
        <v/>
      </c>
      <c r="C67" s="24">
        <f>IF($H67="","",INDEX(_Helpers!$B$2:$B$151,$H67-2+1))</f>
        <v/>
      </c>
      <c r="D67" s="24">
        <f>IF($H67="","",INDEX(_Helpers!$C$2:$C$151,$H67-2+1))</f>
        <v/>
      </c>
      <c r="E67" s="24">
        <f>IF($H67="","",INDEX(_Helpers!$L$2:$L$151,$H67-2+1))</f>
        <v/>
      </c>
      <c r="F67" s="25">
        <f>IF($H67="","",INDEX(_Helpers!$M$2:$M$151,$H67-2+1))</f>
        <v/>
      </c>
      <c r="G67" s="2" t="n"/>
      <c r="H67" s="17">
        <f t="array" ref="H67">IFERROR(SMALL(IF(_Helpers!$E$2:$E$151=1,ROW(_Helpers!$E$2:$E$151)),ROWS($A$4:A67)),"")</f>
        <v/>
      </c>
      <c r="I67" s="2" t="n"/>
      <c r="J67" s="2" t="n"/>
    </row>
    <row r="68">
      <c r="A68" s="23">
        <f>IF($H68="","",INDEX(_Helpers!$A$2:$A$151,$H68-2+1))</f>
        <v/>
      </c>
      <c r="B68" s="23">
        <f>IF($H68="","",INDEX(_Helpers!$D$2:$D$151,$H68-2+1))</f>
        <v/>
      </c>
      <c r="C68" s="24">
        <f>IF($H68="","",INDEX(_Helpers!$B$2:$B$151,$H68-2+1))</f>
        <v/>
      </c>
      <c r="D68" s="24">
        <f>IF($H68="","",INDEX(_Helpers!$C$2:$C$151,$H68-2+1))</f>
        <v/>
      </c>
      <c r="E68" s="24">
        <f>IF($H68="","",INDEX(_Helpers!$L$2:$L$151,$H68-2+1))</f>
        <v/>
      </c>
      <c r="F68" s="25">
        <f>IF($H68="","",INDEX(_Helpers!$M$2:$M$151,$H68-2+1))</f>
        <v/>
      </c>
      <c r="G68" s="2" t="n"/>
      <c r="H68" s="17">
        <f t="array" ref="H68">IFERROR(SMALL(IF(_Helpers!$E$2:$E$151=1,ROW(_Helpers!$E$2:$E$151)),ROWS($A$4:A68)),"")</f>
        <v/>
      </c>
      <c r="I68" s="2" t="n"/>
      <c r="J68" s="2" t="n"/>
    </row>
    <row r="69">
      <c r="A69" s="23">
        <f>IF($H69="","",INDEX(_Helpers!$A$2:$A$151,$H69-2+1))</f>
        <v/>
      </c>
      <c r="B69" s="23">
        <f>IF($H69="","",INDEX(_Helpers!$D$2:$D$151,$H69-2+1))</f>
        <v/>
      </c>
      <c r="C69" s="24">
        <f>IF($H69="","",INDEX(_Helpers!$B$2:$B$151,$H69-2+1))</f>
        <v/>
      </c>
      <c r="D69" s="24">
        <f>IF($H69="","",INDEX(_Helpers!$C$2:$C$151,$H69-2+1))</f>
        <v/>
      </c>
      <c r="E69" s="24">
        <f>IF($H69="","",INDEX(_Helpers!$L$2:$L$151,$H69-2+1))</f>
        <v/>
      </c>
      <c r="F69" s="25">
        <f>IF($H69="","",INDEX(_Helpers!$M$2:$M$151,$H69-2+1))</f>
        <v/>
      </c>
      <c r="G69" s="2" t="n"/>
      <c r="H69" s="17">
        <f t="array" ref="H69">IFERROR(SMALL(IF(_Helpers!$E$2:$E$151=1,ROW(_Helpers!$E$2:$E$151)),ROWS($A$4:A69)),"")</f>
        <v/>
      </c>
      <c r="I69" s="2" t="n"/>
      <c r="J69" s="2" t="n"/>
    </row>
    <row r="70">
      <c r="A70" s="23">
        <f>IF($H70="","",INDEX(_Helpers!$A$2:$A$151,$H70-2+1))</f>
        <v/>
      </c>
      <c r="B70" s="23">
        <f>IF($H70="","",INDEX(_Helpers!$D$2:$D$151,$H70-2+1))</f>
        <v/>
      </c>
      <c r="C70" s="24">
        <f>IF($H70="","",INDEX(_Helpers!$B$2:$B$151,$H70-2+1))</f>
        <v/>
      </c>
      <c r="D70" s="24">
        <f>IF($H70="","",INDEX(_Helpers!$C$2:$C$151,$H70-2+1))</f>
        <v/>
      </c>
      <c r="E70" s="24">
        <f>IF($H70="","",INDEX(_Helpers!$L$2:$L$151,$H70-2+1))</f>
        <v/>
      </c>
      <c r="F70" s="25">
        <f>IF($H70="","",INDEX(_Helpers!$M$2:$M$151,$H70-2+1))</f>
        <v/>
      </c>
      <c r="G70" s="2" t="n"/>
      <c r="H70" s="17">
        <f t="array" ref="H70">IFERROR(SMALL(IF(_Helpers!$E$2:$E$151=1,ROW(_Helpers!$E$2:$E$151)),ROWS($A$4:A70)),"")</f>
        <v/>
      </c>
      <c r="I70" s="2" t="n"/>
      <c r="J70" s="2" t="n"/>
    </row>
    <row r="71">
      <c r="A71" s="23">
        <f>IF($H71="","",INDEX(_Helpers!$A$2:$A$151,$H71-2+1))</f>
        <v/>
      </c>
      <c r="B71" s="23">
        <f>IF($H71="","",INDEX(_Helpers!$D$2:$D$151,$H71-2+1))</f>
        <v/>
      </c>
      <c r="C71" s="24">
        <f>IF($H71="","",INDEX(_Helpers!$B$2:$B$151,$H71-2+1))</f>
        <v/>
      </c>
      <c r="D71" s="24">
        <f>IF($H71="","",INDEX(_Helpers!$C$2:$C$151,$H71-2+1))</f>
        <v/>
      </c>
      <c r="E71" s="24">
        <f>IF($H71="","",INDEX(_Helpers!$L$2:$L$151,$H71-2+1))</f>
        <v/>
      </c>
      <c r="F71" s="25">
        <f>IF($H71="","",INDEX(_Helpers!$M$2:$M$151,$H71-2+1))</f>
        <v/>
      </c>
      <c r="G71" s="2" t="n"/>
      <c r="H71" s="17">
        <f t="array" ref="H71">IFERROR(SMALL(IF(_Helpers!$E$2:$E$151=1,ROW(_Helpers!$E$2:$E$151)),ROWS($A$4:A71)),"")</f>
        <v/>
      </c>
      <c r="I71" s="2" t="n"/>
      <c r="J71" s="2" t="n"/>
    </row>
    <row r="72">
      <c r="A72" s="23">
        <f>IF($H72="","",INDEX(_Helpers!$A$2:$A$151,$H72-2+1))</f>
        <v/>
      </c>
      <c r="B72" s="23">
        <f>IF($H72="","",INDEX(_Helpers!$D$2:$D$151,$H72-2+1))</f>
        <v/>
      </c>
      <c r="C72" s="24">
        <f>IF($H72="","",INDEX(_Helpers!$B$2:$B$151,$H72-2+1))</f>
        <v/>
      </c>
      <c r="D72" s="24">
        <f>IF($H72="","",INDEX(_Helpers!$C$2:$C$151,$H72-2+1))</f>
        <v/>
      </c>
      <c r="E72" s="24">
        <f>IF($H72="","",INDEX(_Helpers!$L$2:$L$151,$H72-2+1))</f>
        <v/>
      </c>
      <c r="F72" s="25">
        <f>IF($H72="","",INDEX(_Helpers!$M$2:$M$151,$H72-2+1))</f>
        <v/>
      </c>
      <c r="G72" s="2" t="n"/>
      <c r="H72" s="17">
        <f t="array" ref="H72">IFERROR(SMALL(IF(_Helpers!$E$2:$E$151=1,ROW(_Helpers!$E$2:$E$151)),ROWS($A$4:A72)),"")</f>
        <v/>
      </c>
      <c r="I72" s="2" t="n"/>
      <c r="J72" s="2" t="n"/>
    </row>
    <row r="73">
      <c r="A73" s="23">
        <f>IF($H73="","",INDEX(_Helpers!$A$2:$A$151,$H73-2+1))</f>
        <v/>
      </c>
      <c r="B73" s="23">
        <f>IF($H73="","",INDEX(_Helpers!$D$2:$D$151,$H73-2+1))</f>
        <v/>
      </c>
      <c r="C73" s="24">
        <f>IF($H73="","",INDEX(_Helpers!$B$2:$B$151,$H73-2+1))</f>
        <v/>
      </c>
      <c r="D73" s="24">
        <f>IF($H73="","",INDEX(_Helpers!$C$2:$C$151,$H73-2+1))</f>
        <v/>
      </c>
      <c r="E73" s="24">
        <f>IF($H73="","",INDEX(_Helpers!$L$2:$L$151,$H73-2+1))</f>
        <v/>
      </c>
      <c r="F73" s="25">
        <f>IF($H73="","",INDEX(_Helpers!$M$2:$M$151,$H73-2+1))</f>
        <v/>
      </c>
      <c r="G73" s="2" t="n"/>
      <c r="H73" s="17">
        <f t="array" ref="H73">IFERROR(SMALL(IF(_Helpers!$E$2:$E$151=1,ROW(_Helpers!$E$2:$E$151)),ROWS($A$4:A73)),"")</f>
        <v/>
      </c>
      <c r="I73" s="2" t="n"/>
      <c r="J73" s="2" t="n"/>
    </row>
    <row r="74">
      <c r="A74" s="23">
        <f>IF($H74="","",INDEX(_Helpers!$A$2:$A$151,$H74-2+1))</f>
        <v/>
      </c>
      <c r="B74" s="23">
        <f>IF($H74="","",INDEX(_Helpers!$D$2:$D$151,$H74-2+1))</f>
        <v/>
      </c>
      <c r="C74" s="24">
        <f>IF($H74="","",INDEX(_Helpers!$B$2:$B$151,$H74-2+1))</f>
        <v/>
      </c>
      <c r="D74" s="24">
        <f>IF($H74="","",INDEX(_Helpers!$C$2:$C$151,$H74-2+1))</f>
        <v/>
      </c>
      <c r="E74" s="24">
        <f>IF($H74="","",INDEX(_Helpers!$L$2:$L$151,$H74-2+1))</f>
        <v/>
      </c>
      <c r="F74" s="25">
        <f>IF($H74="","",INDEX(_Helpers!$M$2:$M$151,$H74-2+1))</f>
        <v/>
      </c>
      <c r="G74" s="2" t="n"/>
      <c r="H74" s="17">
        <f t="array" ref="H74">IFERROR(SMALL(IF(_Helpers!$E$2:$E$151=1,ROW(_Helpers!$E$2:$E$151)),ROWS($A$4:A74)),"")</f>
        <v/>
      </c>
      <c r="I74" s="2" t="n"/>
      <c r="J74" s="2" t="n"/>
    </row>
    <row r="75">
      <c r="A75" s="23">
        <f>IF($H75="","",INDEX(_Helpers!$A$2:$A$151,$H75-2+1))</f>
        <v/>
      </c>
      <c r="B75" s="23">
        <f>IF($H75="","",INDEX(_Helpers!$D$2:$D$151,$H75-2+1))</f>
        <v/>
      </c>
      <c r="C75" s="24">
        <f>IF($H75="","",INDEX(_Helpers!$B$2:$B$151,$H75-2+1))</f>
        <v/>
      </c>
      <c r="D75" s="24">
        <f>IF($H75="","",INDEX(_Helpers!$C$2:$C$151,$H75-2+1))</f>
        <v/>
      </c>
      <c r="E75" s="24">
        <f>IF($H75="","",INDEX(_Helpers!$L$2:$L$151,$H75-2+1))</f>
        <v/>
      </c>
      <c r="F75" s="25">
        <f>IF($H75="","",INDEX(_Helpers!$M$2:$M$151,$H75-2+1))</f>
        <v/>
      </c>
      <c r="G75" s="2" t="n"/>
      <c r="H75" s="17">
        <f t="array" ref="H75">IFERROR(SMALL(IF(_Helpers!$E$2:$E$151=1,ROW(_Helpers!$E$2:$E$151)),ROWS($A$4:A75)),"")</f>
        <v/>
      </c>
      <c r="I75" s="2" t="n"/>
      <c r="J75" s="2" t="n"/>
    </row>
    <row r="76">
      <c r="A76" s="23">
        <f>IF($H76="","",INDEX(_Helpers!$A$2:$A$151,$H76-2+1))</f>
        <v/>
      </c>
      <c r="B76" s="23">
        <f>IF($H76="","",INDEX(_Helpers!$D$2:$D$151,$H76-2+1))</f>
        <v/>
      </c>
      <c r="C76" s="24">
        <f>IF($H76="","",INDEX(_Helpers!$B$2:$B$151,$H76-2+1))</f>
        <v/>
      </c>
      <c r="D76" s="24">
        <f>IF($H76="","",INDEX(_Helpers!$C$2:$C$151,$H76-2+1))</f>
        <v/>
      </c>
      <c r="E76" s="24">
        <f>IF($H76="","",INDEX(_Helpers!$L$2:$L$151,$H76-2+1))</f>
        <v/>
      </c>
      <c r="F76" s="25">
        <f>IF($H76="","",INDEX(_Helpers!$M$2:$M$151,$H76-2+1))</f>
        <v/>
      </c>
      <c r="G76" s="2" t="n"/>
      <c r="H76" s="17">
        <f t="array" ref="H76">IFERROR(SMALL(IF(_Helpers!$E$2:$E$151=1,ROW(_Helpers!$E$2:$E$151)),ROWS($A$4:A76)),"")</f>
        <v/>
      </c>
      <c r="I76" s="2" t="n"/>
      <c r="J76" s="2" t="n"/>
    </row>
    <row r="77">
      <c r="A77" s="23">
        <f>IF($H77="","",INDEX(_Helpers!$A$2:$A$151,$H77-2+1))</f>
        <v/>
      </c>
      <c r="B77" s="23">
        <f>IF($H77="","",INDEX(_Helpers!$D$2:$D$151,$H77-2+1))</f>
        <v/>
      </c>
      <c r="C77" s="24">
        <f>IF($H77="","",INDEX(_Helpers!$B$2:$B$151,$H77-2+1))</f>
        <v/>
      </c>
      <c r="D77" s="24">
        <f>IF($H77="","",INDEX(_Helpers!$C$2:$C$151,$H77-2+1))</f>
        <v/>
      </c>
      <c r="E77" s="24">
        <f>IF($H77="","",INDEX(_Helpers!$L$2:$L$151,$H77-2+1))</f>
        <v/>
      </c>
      <c r="F77" s="25">
        <f>IF($H77="","",INDEX(_Helpers!$M$2:$M$151,$H77-2+1))</f>
        <v/>
      </c>
      <c r="G77" s="2" t="n"/>
      <c r="H77" s="17">
        <f t="array" ref="H77">IFERROR(SMALL(IF(_Helpers!$E$2:$E$151=1,ROW(_Helpers!$E$2:$E$151)),ROWS($A$4:A77)),"")</f>
        <v/>
      </c>
      <c r="I77" s="2" t="n"/>
      <c r="J77" s="2" t="n"/>
    </row>
    <row r="78">
      <c r="A78" s="23">
        <f>IF($H78="","",INDEX(_Helpers!$A$2:$A$151,$H78-2+1))</f>
        <v/>
      </c>
      <c r="B78" s="23">
        <f>IF($H78="","",INDEX(_Helpers!$D$2:$D$151,$H78-2+1))</f>
        <v/>
      </c>
      <c r="C78" s="24">
        <f>IF($H78="","",INDEX(_Helpers!$B$2:$B$151,$H78-2+1))</f>
        <v/>
      </c>
      <c r="D78" s="24">
        <f>IF($H78="","",INDEX(_Helpers!$C$2:$C$151,$H78-2+1))</f>
        <v/>
      </c>
      <c r="E78" s="24">
        <f>IF($H78="","",INDEX(_Helpers!$L$2:$L$151,$H78-2+1))</f>
        <v/>
      </c>
      <c r="F78" s="25">
        <f>IF($H78="","",INDEX(_Helpers!$M$2:$M$151,$H78-2+1))</f>
        <v/>
      </c>
      <c r="G78" s="2" t="n"/>
      <c r="H78" s="17">
        <f t="array" ref="H78">IFERROR(SMALL(IF(_Helpers!$E$2:$E$151=1,ROW(_Helpers!$E$2:$E$151)),ROWS($A$4:A78)),"")</f>
        <v/>
      </c>
      <c r="I78" s="2" t="n"/>
      <c r="J78" s="2" t="n"/>
    </row>
    <row r="79">
      <c r="A79" s="23">
        <f>IF($H79="","",INDEX(_Helpers!$A$2:$A$151,$H79-2+1))</f>
        <v/>
      </c>
      <c r="B79" s="23">
        <f>IF($H79="","",INDEX(_Helpers!$D$2:$D$151,$H79-2+1))</f>
        <v/>
      </c>
      <c r="C79" s="24">
        <f>IF($H79="","",INDEX(_Helpers!$B$2:$B$151,$H79-2+1))</f>
        <v/>
      </c>
      <c r="D79" s="24">
        <f>IF($H79="","",INDEX(_Helpers!$C$2:$C$151,$H79-2+1))</f>
        <v/>
      </c>
      <c r="E79" s="24">
        <f>IF($H79="","",INDEX(_Helpers!$L$2:$L$151,$H79-2+1))</f>
        <v/>
      </c>
      <c r="F79" s="25">
        <f>IF($H79="","",INDEX(_Helpers!$M$2:$M$151,$H79-2+1))</f>
        <v/>
      </c>
      <c r="G79" s="2" t="n"/>
      <c r="H79" s="17">
        <f t="array" ref="H79">IFERROR(SMALL(IF(_Helpers!$E$2:$E$151=1,ROW(_Helpers!$E$2:$E$151)),ROWS($A$4:A79)),"")</f>
        <v/>
      </c>
      <c r="I79" s="2" t="n"/>
      <c r="J79" s="2" t="n"/>
    </row>
    <row r="80">
      <c r="A80" s="23">
        <f>IF($H80="","",INDEX(_Helpers!$A$2:$A$151,$H80-2+1))</f>
        <v/>
      </c>
      <c r="B80" s="23">
        <f>IF($H80="","",INDEX(_Helpers!$D$2:$D$151,$H80-2+1))</f>
        <v/>
      </c>
      <c r="C80" s="24">
        <f>IF($H80="","",INDEX(_Helpers!$B$2:$B$151,$H80-2+1))</f>
        <v/>
      </c>
      <c r="D80" s="24">
        <f>IF($H80="","",INDEX(_Helpers!$C$2:$C$151,$H80-2+1))</f>
        <v/>
      </c>
      <c r="E80" s="24">
        <f>IF($H80="","",INDEX(_Helpers!$L$2:$L$151,$H80-2+1))</f>
        <v/>
      </c>
      <c r="F80" s="25">
        <f>IF($H80="","",INDEX(_Helpers!$M$2:$M$151,$H80-2+1))</f>
        <v/>
      </c>
      <c r="G80" s="2" t="n"/>
      <c r="H80" s="17">
        <f t="array" ref="H80">IFERROR(SMALL(IF(_Helpers!$E$2:$E$151=1,ROW(_Helpers!$E$2:$E$151)),ROWS($A$4:A80)),"")</f>
        <v/>
      </c>
      <c r="I80" s="2" t="n"/>
      <c r="J80" s="2" t="n"/>
    </row>
    <row r="81">
      <c r="A81" s="23">
        <f>IF($H81="","",INDEX(_Helpers!$A$2:$A$151,$H81-2+1))</f>
        <v/>
      </c>
      <c r="B81" s="23">
        <f>IF($H81="","",INDEX(_Helpers!$D$2:$D$151,$H81-2+1))</f>
        <v/>
      </c>
      <c r="C81" s="24">
        <f>IF($H81="","",INDEX(_Helpers!$B$2:$B$151,$H81-2+1))</f>
        <v/>
      </c>
      <c r="D81" s="24">
        <f>IF($H81="","",INDEX(_Helpers!$C$2:$C$151,$H81-2+1))</f>
        <v/>
      </c>
      <c r="E81" s="24">
        <f>IF($H81="","",INDEX(_Helpers!$L$2:$L$151,$H81-2+1))</f>
        <v/>
      </c>
      <c r="F81" s="25">
        <f>IF($H81="","",INDEX(_Helpers!$M$2:$M$151,$H81-2+1))</f>
        <v/>
      </c>
      <c r="G81" s="2" t="n"/>
      <c r="H81" s="17">
        <f t="array" ref="H81">IFERROR(SMALL(IF(_Helpers!$E$2:$E$151=1,ROW(_Helpers!$E$2:$E$151)),ROWS($A$4:A81)),"")</f>
        <v/>
      </c>
      <c r="I81" s="2" t="n"/>
      <c r="J81" s="2" t="n"/>
    </row>
    <row r="82">
      <c r="A82" s="23">
        <f>IF($H82="","",INDEX(_Helpers!$A$2:$A$151,$H82-2+1))</f>
        <v/>
      </c>
      <c r="B82" s="23">
        <f>IF($H82="","",INDEX(_Helpers!$D$2:$D$151,$H82-2+1))</f>
        <v/>
      </c>
      <c r="C82" s="24">
        <f>IF($H82="","",INDEX(_Helpers!$B$2:$B$151,$H82-2+1))</f>
        <v/>
      </c>
      <c r="D82" s="24">
        <f>IF($H82="","",INDEX(_Helpers!$C$2:$C$151,$H82-2+1))</f>
        <v/>
      </c>
      <c r="E82" s="24">
        <f>IF($H82="","",INDEX(_Helpers!$L$2:$L$151,$H82-2+1))</f>
        <v/>
      </c>
      <c r="F82" s="25">
        <f>IF($H82="","",INDEX(_Helpers!$M$2:$M$151,$H82-2+1))</f>
        <v/>
      </c>
      <c r="G82" s="2" t="n"/>
      <c r="H82" s="17">
        <f t="array" ref="H82">IFERROR(SMALL(IF(_Helpers!$E$2:$E$151=1,ROW(_Helpers!$E$2:$E$151)),ROWS($A$4:A82)),"")</f>
        <v/>
      </c>
      <c r="I82" s="2" t="n"/>
      <c r="J82" s="2" t="n"/>
    </row>
    <row r="83">
      <c r="A83" s="23">
        <f>IF($H83="","",INDEX(_Helpers!$A$2:$A$151,$H83-2+1))</f>
        <v/>
      </c>
      <c r="B83" s="23">
        <f>IF($H83="","",INDEX(_Helpers!$D$2:$D$151,$H83-2+1))</f>
        <v/>
      </c>
      <c r="C83" s="24">
        <f>IF($H83="","",INDEX(_Helpers!$B$2:$B$151,$H83-2+1))</f>
        <v/>
      </c>
      <c r="D83" s="24">
        <f>IF($H83="","",INDEX(_Helpers!$C$2:$C$151,$H83-2+1))</f>
        <v/>
      </c>
      <c r="E83" s="24">
        <f>IF($H83="","",INDEX(_Helpers!$L$2:$L$151,$H83-2+1))</f>
        <v/>
      </c>
      <c r="F83" s="25">
        <f>IF($H83="","",INDEX(_Helpers!$M$2:$M$151,$H83-2+1))</f>
        <v/>
      </c>
      <c r="G83" s="2" t="n"/>
      <c r="H83" s="17">
        <f t="array" ref="H83">IFERROR(SMALL(IF(_Helpers!$E$2:$E$151=1,ROW(_Helpers!$E$2:$E$151)),ROWS($A$4:A83)),"")</f>
        <v/>
      </c>
      <c r="I83" s="2" t="n"/>
      <c r="J83" s="2" t="n"/>
    </row>
    <row r="84">
      <c r="A84" s="23">
        <f>IF($H84="","",INDEX(_Helpers!$A$2:$A$151,$H84-2+1))</f>
        <v/>
      </c>
      <c r="B84" s="23">
        <f>IF($H84="","",INDEX(_Helpers!$D$2:$D$151,$H84-2+1))</f>
        <v/>
      </c>
      <c r="C84" s="24">
        <f>IF($H84="","",INDEX(_Helpers!$B$2:$B$151,$H84-2+1))</f>
        <v/>
      </c>
      <c r="D84" s="24">
        <f>IF($H84="","",INDEX(_Helpers!$C$2:$C$151,$H84-2+1))</f>
        <v/>
      </c>
      <c r="E84" s="24">
        <f>IF($H84="","",INDEX(_Helpers!$L$2:$L$151,$H84-2+1))</f>
        <v/>
      </c>
      <c r="F84" s="25">
        <f>IF($H84="","",INDEX(_Helpers!$M$2:$M$151,$H84-2+1))</f>
        <v/>
      </c>
      <c r="G84" s="2" t="n"/>
      <c r="H84" s="17">
        <f t="array" ref="H84">IFERROR(SMALL(IF(_Helpers!$E$2:$E$151=1,ROW(_Helpers!$E$2:$E$151)),ROWS($A$4:A84)),"")</f>
        <v/>
      </c>
      <c r="I84" s="2" t="n"/>
      <c r="J84" s="2" t="n"/>
    </row>
    <row r="85">
      <c r="A85" s="23">
        <f>IF($H85="","",INDEX(_Helpers!$A$2:$A$151,$H85-2+1))</f>
        <v/>
      </c>
      <c r="B85" s="23">
        <f>IF($H85="","",INDEX(_Helpers!$D$2:$D$151,$H85-2+1))</f>
        <v/>
      </c>
      <c r="C85" s="24">
        <f>IF($H85="","",INDEX(_Helpers!$B$2:$B$151,$H85-2+1))</f>
        <v/>
      </c>
      <c r="D85" s="24">
        <f>IF($H85="","",INDEX(_Helpers!$C$2:$C$151,$H85-2+1))</f>
        <v/>
      </c>
      <c r="E85" s="24">
        <f>IF($H85="","",INDEX(_Helpers!$L$2:$L$151,$H85-2+1))</f>
        <v/>
      </c>
      <c r="F85" s="25">
        <f>IF($H85="","",INDEX(_Helpers!$M$2:$M$151,$H85-2+1))</f>
        <v/>
      </c>
      <c r="G85" s="2" t="n"/>
      <c r="H85" s="17">
        <f t="array" ref="H85">IFERROR(SMALL(IF(_Helpers!$E$2:$E$151=1,ROW(_Helpers!$E$2:$E$151)),ROWS($A$4:A85)),"")</f>
        <v/>
      </c>
      <c r="I85" s="2" t="n"/>
      <c r="J85" s="2" t="n"/>
    </row>
    <row r="86">
      <c r="A86" s="23">
        <f>IF($H86="","",INDEX(_Helpers!$A$2:$A$151,$H86-2+1))</f>
        <v/>
      </c>
      <c r="B86" s="23">
        <f>IF($H86="","",INDEX(_Helpers!$D$2:$D$151,$H86-2+1))</f>
        <v/>
      </c>
      <c r="C86" s="24">
        <f>IF($H86="","",INDEX(_Helpers!$B$2:$B$151,$H86-2+1))</f>
        <v/>
      </c>
      <c r="D86" s="24">
        <f>IF($H86="","",INDEX(_Helpers!$C$2:$C$151,$H86-2+1))</f>
        <v/>
      </c>
      <c r="E86" s="24">
        <f>IF($H86="","",INDEX(_Helpers!$L$2:$L$151,$H86-2+1))</f>
        <v/>
      </c>
      <c r="F86" s="25">
        <f>IF($H86="","",INDEX(_Helpers!$M$2:$M$151,$H86-2+1))</f>
        <v/>
      </c>
      <c r="G86" s="2" t="n"/>
      <c r="H86" s="17">
        <f t="array" ref="H86">IFERROR(SMALL(IF(_Helpers!$E$2:$E$151=1,ROW(_Helpers!$E$2:$E$151)),ROWS($A$4:A86)),"")</f>
        <v/>
      </c>
      <c r="I86" s="2" t="n"/>
      <c r="J86" s="2" t="n"/>
    </row>
    <row r="87">
      <c r="A87" s="23">
        <f>IF($H87="","",INDEX(_Helpers!$A$2:$A$151,$H87-2+1))</f>
        <v/>
      </c>
      <c r="B87" s="23">
        <f>IF($H87="","",INDEX(_Helpers!$D$2:$D$151,$H87-2+1))</f>
        <v/>
      </c>
      <c r="C87" s="24">
        <f>IF($H87="","",INDEX(_Helpers!$B$2:$B$151,$H87-2+1))</f>
        <v/>
      </c>
      <c r="D87" s="24">
        <f>IF($H87="","",INDEX(_Helpers!$C$2:$C$151,$H87-2+1))</f>
        <v/>
      </c>
      <c r="E87" s="24">
        <f>IF($H87="","",INDEX(_Helpers!$L$2:$L$151,$H87-2+1))</f>
        <v/>
      </c>
      <c r="F87" s="25">
        <f>IF($H87="","",INDEX(_Helpers!$M$2:$M$151,$H87-2+1))</f>
        <v/>
      </c>
      <c r="G87" s="2" t="n"/>
      <c r="H87" s="17">
        <f t="array" ref="H87">IFERROR(SMALL(IF(_Helpers!$E$2:$E$151=1,ROW(_Helpers!$E$2:$E$151)),ROWS($A$4:A87)),"")</f>
        <v/>
      </c>
      <c r="I87" s="2" t="n"/>
      <c r="J87" s="2" t="n"/>
    </row>
    <row r="88">
      <c r="A88" s="23">
        <f>IF($H88="","",INDEX(_Helpers!$A$2:$A$151,$H88-2+1))</f>
        <v/>
      </c>
      <c r="B88" s="23">
        <f>IF($H88="","",INDEX(_Helpers!$D$2:$D$151,$H88-2+1))</f>
        <v/>
      </c>
      <c r="C88" s="24">
        <f>IF($H88="","",INDEX(_Helpers!$B$2:$B$151,$H88-2+1))</f>
        <v/>
      </c>
      <c r="D88" s="24">
        <f>IF($H88="","",INDEX(_Helpers!$C$2:$C$151,$H88-2+1))</f>
        <v/>
      </c>
      <c r="E88" s="24">
        <f>IF($H88="","",INDEX(_Helpers!$L$2:$L$151,$H88-2+1))</f>
        <v/>
      </c>
      <c r="F88" s="25">
        <f>IF($H88="","",INDEX(_Helpers!$M$2:$M$151,$H88-2+1))</f>
        <v/>
      </c>
      <c r="G88" s="2" t="n"/>
      <c r="H88" s="17">
        <f t="array" ref="H88">IFERROR(SMALL(IF(_Helpers!$E$2:$E$151=1,ROW(_Helpers!$E$2:$E$151)),ROWS($A$4:A88)),"")</f>
        <v/>
      </c>
      <c r="I88" s="2" t="n"/>
      <c r="J88" s="2" t="n"/>
    </row>
    <row r="89">
      <c r="A89" s="23">
        <f>IF($H89="","",INDEX(_Helpers!$A$2:$A$151,$H89-2+1))</f>
        <v/>
      </c>
      <c r="B89" s="23">
        <f>IF($H89="","",INDEX(_Helpers!$D$2:$D$151,$H89-2+1))</f>
        <v/>
      </c>
      <c r="C89" s="24">
        <f>IF($H89="","",INDEX(_Helpers!$B$2:$B$151,$H89-2+1))</f>
        <v/>
      </c>
      <c r="D89" s="24">
        <f>IF($H89="","",INDEX(_Helpers!$C$2:$C$151,$H89-2+1))</f>
        <v/>
      </c>
      <c r="E89" s="24">
        <f>IF($H89="","",INDEX(_Helpers!$L$2:$L$151,$H89-2+1))</f>
        <v/>
      </c>
      <c r="F89" s="25">
        <f>IF($H89="","",INDEX(_Helpers!$M$2:$M$151,$H89-2+1))</f>
        <v/>
      </c>
      <c r="G89" s="2" t="n"/>
      <c r="H89" s="17">
        <f t="array" ref="H89">IFERROR(SMALL(IF(_Helpers!$E$2:$E$151=1,ROW(_Helpers!$E$2:$E$151)),ROWS($A$4:A89)),"")</f>
        <v/>
      </c>
      <c r="I89" s="2" t="n"/>
      <c r="J89" s="2" t="n"/>
    </row>
    <row r="90">
      <c r="A90" s="23">
        <f>IF($H90="","",INDEX(_Helpers!$A$2:$A$151,$H90-2+1))</f>
        <v/>
      </c>
      <c r="B90" s="23">
        <f>IF($H90="","",INDEX(_Helpers!$D$2:$D$151,$H90-2+1))</f>
        <v/>
      </c>
      <c r="C90" s="24">
        <f>IF($H90="","",INDEX(_Helpers!$B$2:$B$151,$H90-2+1))</f>
        <v/>
      </c>
      <c r="D90" s="24">
        <f>IF($H90="","",INDEX(_Helpers!$C$2:$C$151,$H90-2+1))</f>
        <v/>
      </c>
      <c r="E90" s="24">
        <f>IF($H90="","",INDEX(_Helpers!$L$2:$L$151,$H90-2+1))</f>
        <v/>
      </c>
      <c r="F90" s="25">
        <f>IF($H90="","",INDEX(_Helpers!$M$2:$M$151,$H90-2+1))</f>
        <v/>
      </c>
      <c r="G90" s="2" t="n"/>
      <c r="H90" s="17">
        <f t="array" ref="H90">IFERROR(SMALL(IF(_Helpers!$E$2:$E$151=1,ROW(_Helpers!$E$2:$E$151)),ROWS($A$4:A90)),"")</f>
        <v/>
      </c>
      <c r="I90" s="2" t="n"/>
      <c r="J90" s="2" t="n"/>
    </row>
    <row r="91">
      <c r="A91" s="23">
        <f>IF($H91="","",INDEX(_Helpers!$A$2:$A$151,$H91-2+1))</f>
        <v/>
      </c>
      <c r="B91" s="23">
        <f>IF($H91="","",INDEX(_Helpers!$D$2:$D$151,$H91-2+1))</f>
        <v/>
      </c>
      <c r="C91" s="24">
        <f>IF($H91="","",INDEX(_Helpers!$B$2:$B$151,$H91-2+1))</f>
        <v/>
      </c>
      <c r="D91" s="24">
        <f>IF($H91="","",INDEX(_Helpers!$C$2:$C$151,$H91-2+1))</f>
        <v/>
      </c>
      <c r="E91" s="24">
        <f>IF($H91="","",INDEX(_Helpers!$L$2:$L$151,$H91-2+1))</f>
        <v/>
      </c>
      <c r="F91" s="25">
        <f>IF($H91="","",INDEX(_Helpers!$M$2:$M$151,$H91-2+1))</f>
        <v/>
      </c>
      <c r="G91" s="2" t="n"/>
      <c r="H91" s="17">
        <f t="array" ref="H91">IFERROR(SMALL(IF(_Helpers!$E$2:$E$151=1,ROW(_Helpers!$E$2:$E$151)),ROWS($A$4:A91)),"")</f>
        <v/>
      </c>
      <c r="I91" s="2" t="n"/>
      <c r="J91" s="2" t="n"/>
    </row>
    <row r="92">
      <c r="A92" s="23">
        <f>IF($H92="","",INDEX(_Helpers!$A$2:$A$151,$H92-2+1))</f>
        <v/>
      </c>
      <c r="B92" s="23">
        <f>IF($H92="","",INDEX(_Helpers!$D$2:$D$151,$H92-2+1))</f>
        <v/>
      </c>
      <c r="C92" s="24">
        <f>IF($H92="","",INDEX(_Helpers!$B$2:$B$151,$H92-2+1))</f>
        <v/>
      </c>
      <c r="D92" s="24">
        <f>IF($H92="","",INDEX(_Helpers!$C$2:$C$151,$H92-2+1))</f>
        <v/>
      </c>
      <c r="E92" s="24">
        <f>IF($H92="","",INDEX(_Helpers!$L$2:$L$151,$H92-2+1))</f>
        <v/>
      </c>
      <c r="F92" s="25">
        <f>IF($H92="","",INDEX(_Helpers!$M$2:$M$151,$H92-2+1))</f>
        <v/>
      </c>
      <c r="G92" s="2" t="n"/>
      <c r="H92" s="17">
        <f t="array" ref="H92">IFERROR(SMALL(IF(_Helpers!$E$2:$E$151=1,ROW(_Helpers!$E$2:$E$151)),ROWS($A$4:A92)),"")</f>
        <v/>
      </c>
      <c r="I92" s="2" t="n"/>
      <c r="J92" s="2" t="n"/>
    </row>
    <row r="93">
      <c r="A93" s="23">
        <f>IF($H93="","",INDEX(_Helpers!$A$2:$A$151,$H93-2+1))</f>
        <v/>
      </c>
      <c r="B93" s="23">
        <f>IF($H93="","",INDEX(_Helpers!$D$2:$D$151,$H93-2+1))</f>
        <v/>
      </c>
      <c r="C93" s="24">
        <f>IF($H93="","",INDEX(_Helpers!$B$2:$B$151,$H93-2+1))</f>
        <v/>
      </c>
      <c r="D93" s="24">
        <f>IF($H93="","",INDEX(_Helpers!$C$2:$C$151,$H93-2+1))</f>
        <v/>
      </c>
      <c r="E93" s="24">
        <f>IF($H93="","",INDEX(_Helpers!$L$2:$L$151,$H93-2+1))</f>
        <v/>
      </c>
      <c r="F93" s="25">
        <f>IF($H93="","",INDEX(_Helpers!$M$2:$M$151,$H93-2+1))</f>
        <v/>
      </c>
      <c r="G93" s="2" t="n"/>
      <c r="H93" s="17">
        <f t="array" ref="H93">IFERROR(SMALL(IF(_Helpers!$E$2:$E$151=1,ROW(_Helpers!$E$2:$E$151)),ROWS($A$4:A93)),"")</f>
        <v/>
      </c>
      <c r="I93" s="2" t="n"/>
      <c r="J93" s="2" t="n"/>
    </row>
    <row r="94">
      <c r="A94" s="23">
        <f>IF($H94="","",INDEX(_Helpers!$A$2:$A$151,$H94-2+1))</f>
        <v/>
      </c>
      <c r="B94" s="23">
        <f>IF($H94="","",INDEX(_Helpers!$D$2:$D$151,$H94-2+1))</f>
        <v/>
      </c>
      <c r="C94" s="24">
        <f>IF($H94="","",INDEX(_Helpers!$B$2:$B$151,$H94-2+1))</f>
        <v/>
      </c>
      <c r="D94" s="24">
        <f>IF($H94="","",INDEX(_Helpers!$C$2:$C$151,$H94-2+1))</f>
        <v/>
      </c>
      <c r="E94" s="24">
        <f>IF($H94="","",INDEX(_Helpers!$L$2:$L$151,$H94-2+1))</f>
        <v/>
      </c>
      <c r="F94" s="25">
        <f>IF($H94="","",INDEX(_Helpers!$M$2:$M$151,$H94-2+1))</f>
        <v/>
      </c>
      <c r="G94" s="2" t="n"/>
      <c r="H94" s="17">
        <f t="array" ref="H94">IFERROR(SMALL(IF(_Helpers!$E$2:$E$151=1,ROW(_Helpers!$E$2:$E$151)),ROWS($A$4:A94)),"")</f>
        <v/>
      </c>
      <c r="I94" s="2" t="n"/>
      <c r="J94" s="2" t="n"/>
    </row>
    <row r="95">
      <c r="A95" s="23">
        <f>IF($H95="","",INDEX(_Helpers!$A$2:$A$151,$H95-2+1))</f>
        <v/>
      </c>
      <c r="B95" s="23">
        <f>IF($H95="","",INDEX(_Helpers!$D$2:$D$151,$H95-2+1))</f>
        <v/>
      </c>
      <c r="C95" s="24">
        <f>IF($H95="","",INDEX(_Helpers!$B$2:$B$151,$H95-2+1))</f>
        <v/>
      </c>
      <c r="D95" s="24">
        <f>IF($H95="","",INDEX(_Helpers!$C$2:$C$151,$H95-2+1))</f>
        <v/>
      </c>
      <c r="E95" s="24">
        <f>IF($H95="","",INDEX(_Helpers!$L$2:$L$151,$H95-2+1))</f>
        <v/>
      </c>
      <c r="F95" s="25">
        <f>IF($H95="","",INDEX(_Helpers!$M$2:$M$151,$H95-2+1))</f>
        <v/>
      </c>
      <c r="G95" s="2" t="n"/>
      <c r="H95" s="17">
        <f t="array" ref="H95">IFERROR(SMALL(IF(_Helpers!$E$2:$E$151=1,ROW(_Helpers!$E$2:$E$151)),ROWS($A$4:A95)),"")</f>
        <v/>
      </c>
      <c r="I95" s="2" t="n"/>
      <c r="J95" s="2" t="n"/>
    </row>
    <row r="96">
      <c r="A96" s="23">
        <f>IF($H96="","",INDEX(_Helpers!$A$2:$A$151,$H96-2+1))</f>
        <v/>
      </c>
      <c r="B96" s="23">
        <f>IF($H96="","",INDEX(_Helpers!$D$2:$D$151,$H96-2+1))</f>
        <v/>
      </c>
      <c r="C96" s="24">
        <f>IF($H96="","",INDEX(_Helpers!$B$2:$B$151,$H96-2+1))</f>
        <v/>
      </c>
      <c r="D96" s="24">
        <f>IF($H96="","",INDEX(_Helpers!$C$2:$C$151,$H96-2+1))</f>
        <v/>
      </c>
      <c r="E96" s="24">
        <f>IF($H96="","",INDEX(_Helpers!$L$2:$L$151,$H96-2+1))</f>
        <v/>
      </c>
      <c r="F96" s="25">
        <f>IF($H96="","",INDEX(_Helpers!$M$2:$M$151,$H96-2+1))</f>
        <v/>
      </c>
      <c r="G96" s="2" t="n"/>
      <c r="H96" s="17">
        <f t="array" ref="H96">IFERROR(SMALL(IF(_Helpers!$E$2:$E$151=1,ROW(_Helpers!$E$2:$E$151)),ROWS($A$4:A96)),"")</f>
        <v/>
      </c>
      <c r="I96" s="2" t="n"/>
      <c r="J96" s="2" t="n"/>
    </row>
    <row r="97">
      <c r="A97" s="23">
        <f>IF($H97="","",INDEX(_Helpers!$A$2:$A$151,$H97-2+1))</f>
        <v/>
      </c>
      <c r="B97" s="23">
        <f>IF($H97="","",INDEX(_Helpers!$D$2:$D$151,$H97-2+1))</f>
        <v/>
      </c>
      <c r="C97" s="24">
        <f>IF($H97="","",INDEX(_Helpers!$B$2:$B$151,$H97-2+1))</f>
        <v/>
      </c>
      <c r="D97" s="24">
        <f>IF($H97="","",INDEX(_Helpers!$C$2:$C$151,$H97-2+1))</f>
        <v/>
      </c>
      <c r="E97" s="24">
        <f>IF($H97="","",INDEX(_Helpers!$L$2:$L$151,$H97-2+1))</f>
        <v/>
      </c>
      <c r="F97" s="25">
        <f>IF($H97="","",INDEX(_Helpers!$M$2:$M$151,$H97-2+1))</f>
        <v/>
      </c>
      <c r="G97" s="2" t="n"/>
      <c r="H97" s="17">
        <f t="array" ref="H97">IFERROR(SMALL(IF(_Helpers!$E$2:$E$151=1,ROW(_Helpers!$E$2:$E$151)),ROWS($A$4:A97)),"")</f>
        <v/>
      </c>
      <c r="I97" s="2" t="n"/>
      <c r="J97" s="2" t="n"/>
    </row>
    <row r="98">
      <c r="A98" s="23">
        <f>IF($H98="","",INDEX(_Helpers!$A$2:$A$151,$H98-2+1))</f>
        <v/>
      </c>
      <c r="B98" s="23">
        <f>IF($H98="","",INDEX(_Helpers!$D$2:$D$151,$H98-2+1))</f>
        <v/>
      </c>
      <c r="C98" s="24">
        <f>IF($H98="","",INDEX(_Helpers!$B$2:$B$151,$H98-2+1))</f>
        <v/>
      </c>
      <c r="D98" s="24">
        <f>IF($H98="","",INDEX(_Helpers!$C$2:$C$151,$H98-2+1))</f>
        <v/>
      </c>
      <c r="E98" s="24">
        <f>IF($H98="","",INDEX(_Helpers!$L$2:$L$151,$H98-2+1))</f>
        <v/>
      </c>
      <c r="F98" s="25">
        <f>IF($H98="","",INDEX(_Helpers!$M$2:$M$151,$H98-2+1))</f>
        <v/>
      </c>
      <c r="G98" s="2" t="n"/>
      <c r="H98" s="17">
        <f t="array" ref="H98">IFERROR(SMALL(IF(_Helpers!$E$2:$E$151=1,ROW(_Helpers!$E$2:$E$151)),ROWS($A$4:A98)),"")</f>
        <v/>
      </c>
      <c r="I98" s="2" t="n"/>
      <c r="J98" s="2" t="n"/>
    </row>
    <row r="99">
      <c r="A99" s="23">
        <f>IF($H99="","",INDEX(_Helpers!$A$2:$A$151,$H99-2+1))</f>
        <v/>
      </c>
      <c r="B99" s="23">
        <f>IF($H99="","",INDEX(_Helpers!$D$2:$D$151,$H99-2+1))</f>
        <v/>
      </c>
      <c r="C99" s="24">
        <f>IF($H99="","",INDEX(_Helpers!$B$2:$B$151,$H99-2+1))</f>
        <v/>
      </c>
      <c r="D99" s="24">
        <f>IF($H99="","",INDEX(_Helpers!$C$2:$C$151,$H99-2+1))</f>
        <v/>
      </c>
      <c r="E99" s="24">
        <f>IF($H99="","",INDEX(_Helpers!$L$2:$L$151,$H99-2+1))</f>
        <v/>
      </c>
      <c r="F99" s="25">
        <f>IF($H99="","",INDEX(_Helpers!$M$2:$M$151,$H99-2+1))</f>
        <v/>
      </c>
      <c r="G99" s="2" t="n"/>
      <c r="H99" s="17">
        <f t="array" ref="H99">IFERROR(SMALL(IF(_Helpers!$E$2:$E$151=1,ROW(_Helpers!$E$2:$E$151)),ROWS($A$4:A99)),"")</f>
        <v/>
      </c>
      <c r="I99" s="2" t="n"/>
      <c r="J99" s="2" t="n"/>
    </row>
    <row r="100">
      <c r="A100" s="23">
        <f>IF($H100="","",INDEX(_Helpers!$A$2:$A$151,$H100-2+1))</f>
        <v/>
      </c>
      <c r="B100" s="23">
        <f>IF($H100="","",INDEX(_Helpers!$D$2:$D$151,$H100-2+1))</f>
        <v/>
      </c>
      <c r="C100" s="24">
        <f>IF($H100="","",INDEX(_Helpers!$B$2:$B$151,$H100-2+1))</f>
        <v/>
      </c>
      <c r="D100" s="24">
        <f>IF($H100="","",INDEX(_Helpers!$C$2:$C$151,$H100-2+1))</f>
        <v/>
      </c>
      <c r="E100" s="24">
        <f>IF($H100="","",INDEX(_Helpers!$L$2:$L$151,$H100-2+1))</f>
        <v/>
      </c>
      <c r="F100" s="25">
        <f>IF($H100="","",INDEX(_Helpers!$M$2:$M$151,$H100-2+1))</f>
        <v/>
      </c>
      <c r="G100" s="2" t="n"/>
      <c r="H100" s="17">
        <f t="array" ref="H100">IFERROR(SMALL(IF(_Helpers!$E$2:$E$151=1,ROW(_Helpers!$E$2:$E$151)),ROWS($A$4:A100)),"")</f>
        <v/>
      </c>
      <c r="I100" s="2" t="n"/>
      <c r="J100" s="2" t="n"/>
    </row>
    <row r="101">
      <c r="A101" s="23">
        <f>IF($H101="","",INDEX(_Helpers!$A$2:$A$151,$H101-2+1))</f>
        <v/>
      </c>
      <c r="B101" s="23">
        <f>IF($H101="","",INDEX(_Helpers!$D$2:$D$151,$H101-2+1))</f>
        <v/>
      </c>
      <c r="C101" s="24">
        <f>IF($H101="","",INDEX(_Helpers!$B$2:$B$151,$H101-2+1))</f>
        <v/>
      </c>
      <c r="D101" s="24">
        <f>IF($H101="","",INDEX(_Helpers!$C$2:$C$151,$H101-2+1))</f>
        <v/>
      </c>
      <c r="E101" s="24">
        <f>IF($H101="","",INDEX(_Helpers!$L$2:$L$151,$H101-2+1))</f>
        <v/>
      </c>
      <c r="F101" s="25">
        <f>IF($H101="","",INDEX(_Helpers!$M$2:$M$151,$H101-2+1))</f>
        <v/>
      </c>
      <c r="G101" s="2" t="n"/>
      <c r="H101" s="17">
        <f t="array" ref="H101">IFERROR(SMALL(IF(_Helpers!$E$2:$E$151=1,ROW(_Helpers!$E$2:$E$151)),ROWS($A$4:A101)),"")</f>
        <v/>
      </c>
      <c r="I101" s="2" t="n"/>
      <c r="J101" s="2" t="n"/>
    </row>
    <row r="102">
      <c r="A102" s="23">
        <f>IF($H102="","",INDEX(_Helpers!$A$2:$A$151,$H102-2+1))</f>
        <v/>
      </c>
      <c r="B102" s="23">
        <f>IF($H102="","",INDEX(_Helpers!$D$2:$D$151,$H102-2+1))</f>
        <v/>
      </c>
      <c r="C102" s="24">
        <f>IF($H102="","",INDEX(_Helpers!$B$2:$B$151,$H102-2+1))</f>
        <v/>
      </c>
      <c r="D102" s="24">
        <f>IF($H102="","",INDEX(_Helpers!$C$2:$C$151,$H102-2+1))</f>
        <v/>
      </c>
      <c r="E102" s="24">
        <f>IF($H102="","",INDEX(_Helpers!$L$2:$L$151,$H102-2+1))</f>
        <v/>
      </c>
      <c r="F102" s="25">
        <f>IF($H102="","",INDEX(_Helpers!$M$2:$M$151,$H102-2+1))</f>
        <v/>
      </c>
      <c r="G102" s="2" t="n"/>
      <c r="H102" s="17">
        <f t="array" ref="H102">IFERROR(SMALL(IF(_Helpers!$E$2:$E$151=1,ROW(_Helpers!$E$2:$E$151)),ROWS($A$4:A102)),"")</f>
        <v/>
      </c>
      <c r="I102" s="2" t="n"/>
      <c r="J102" s="2" t="n"/>
    </row>
    <row r="103">
      <c r="A103" s="23">
        <f>IF($H103="","",INDEX(_Helpers!$A$2:$A$151,$H103-2+1))</f>
        <v/>
      </c>
      <c r="B103" s="23">
        <f>IF($H103="","",INDEX(_Helpers!$D$2:$D$151,$H103-2+1))</f>
        <v/>
      </c>
      <c r="C103" s="24">
        <f>IF($H103="","",INDEX(_Helpers!$B$2:$B$151,$H103-2+1))</f>
        <v/>
      </c>
      <c r="D103" s="24">
        <f>IF($H103="","",INDEX(_Helpers!$C$2:$C$151,$H103-2+1))</f>
        <v/>
      </c>
      <c r="E103" s="24">
        <f>IF($H103="","",INDEX(_Helpers!$L$2:$L$151,$H103-2+1))</f>
        <v/>
      </c>
      <c r="F103" s="25">
        <f>IF($H103="","",INDEX(_Helpers!$M$2:$M$151,$H103-2+1))</f>
        <v/>
      </c>
      <c r="G103" s="2" t="n"/>
      <c r="H103" s="17">
        <f t="array" ref="H103">IFERROR(SMALL(IF(_Helpers!$E$2:$E$151=1,ROW(_Helpers!$E$2:$E$151)),ROWS($A$4:A103)),"")</f>
        <v/>
      </c>
      <c r="I103" s="2" t="n"/>
      <c r="J103" s="2" t="n"/>
    </row>
    <row r="104">
      <c r="A104" s="23">
        <f>IF($H104="","",INDEX(_Helpers!$A$2:$A$151,$H104-2+1))</f>
        <v/>
      </c>
      <c r="B104" s="23">
        <f>IF($H104="","",INDEX(_Helpers!$D$2:$D$151,$H104-2+1))</f>
        <v/>
      </c>
      <c r="C104" s="24">
        <f>IF($H104="","",INDEX(_Helpers!$B$2:$B$151,$H104-2+1))</f>
        <v/>
      </c>
      <c r="D104" s="24">
        <f>IF($H104="","",INDEX(_Helpers!$C$2:$C$151,$H104-2+1))</f>
        <v/>
      </c>
      <c r="E104" s="24">
        <f>IF($H104="","",INDEX(_Helpers!$L$2:$L$151,$H104-2+1))</f>
        <v/>
      </c>
      <c r="F104" s="25">
        <f>IF($H104="","",INDEX(_Helpers!$M$2:$M$151,$H104-2+1))</f>
        <v/>
      </c>
      <c r="G104" s="2" t="n"/>
      <c r="H104" s="17">
        <f t="array" ref="H104">IFERROR(SMALL(IF(_Helpers!$E$2:$E$151=1,ROW(_Helpers!$E$2:$E$151)),ROWS($A$4:A104)),"")</f>
        <v/>
      </c>
      <c r="I104" s="2" t="n"/>
      <c r="J104" s="2" t="n"/>
    </row>
    <row r="105">
      <c r="A105" s="23">
        <f>IF($H105="","",INDEX(_Helpers!$A$2:$A$151,$H105-2+1))</f>
        <v/>
      </c>
      <c r="B105" s="23">
        <f>IF($H105="","",INDEX(_Helpers!$D$2:$D$151,$H105-2+1))</f>
        <v/>
      </c>
      <c r="C105" s="24">
        <f>IF($H105="","",INDEX(_Helpers!$B$2:$B$151,$H105-2+1))</f>
        <v/>
      </c>
      <c r="D105" s="24">
        <f>IF($H105="","",INDEX(_Helpers!$C$2:$C$151,$H105-2+1))</f>
        <v/>
      </c>
      <c r="E105" s="24">
        <f>IF($H105="","",INDEX(_Helpers!$L$2:$L$151,$H105-2+1))</f>
        <v/>
      </c>
      <c r="F105" s="25">
        <f>IF($H105="","",INDEX(_Helpers!$M$2:$M$151,$H105-2+1))</f>
        <v/>
      </c>
      <c r="G105" s="2" t="n"/>
      <c r="H105" s="17">
        <f t="array" ref="H105">IFERROR(SMALL(IF(_Helpers!$E$2:$E$151=1,ROW(_Helpers!$E$2:$E$151)),ROWS($A$4:A105)),"")</f>
        <v/>
      </c>
      <c r="I105" s="2" t="n"/>
      <c r="J105" s="2" t="n"/>
    </row>
    <row r="106">
      <c r="A106" s="23">
        <f>IF($H106="","",INDEX(_Helpers!$A$2:$A$151,$H106-2+1))</f>
        <v/>
      </c>
      <c r="B106" s="23">
        <f>IF($H106="","",INDEX(_Helpers!$D$2:$D$151,$H106-2+1))</f>
        <v/>
      </c>
      <c r="C106" s="24">
        <f>IF($H106="","",INDEX(_Helpers!$B$2:$B$151,$H106-2+1))</f>
        <v/>
      </c>
      <c r="D106" s="24">
        <f>IF($H106="","",INDEX(_Helpers!$C$2:$C$151,$H106-2+1))</f>
        <v/>
      </c>
      <c r="E106" s="24">
        <f>IF($H106="","",INDEX(_Helpers!$L$2:$L$151,$H106-2+1))</f>
        <v/>
      </c>
      <c r="F106" s="25">
        <f>IF($H106="","",INDEX(_Helpers!$M$2:$M$151,$H106-2+1))</f>
        <v/>
      </c>
      <c r="G106" s="2" t="n"/>
      <c r="H106" s="17">
        <f t="array" ref="H106">IFERROR(SMALL(IF(_Helpers!$E$2:$E$151=1,ROW(_Helpers!$E$2:$E$151)),ROWS($A$4:A106)),"")</f>
        <v/>
      </c>
      <c r="I106" s="2" t="n"/>
      <c r="J106" s="2" t="n"/>
    </row>
    <row r="107">
      <c r="A107" s="23">
        <f>IF($H107="","",INDEX(_Helpers!$A$2:$A$151,$H107-2+1))</f>
        <v/>
      </c>
      <c r="B107" s="23">
        <f>IF($H107="","",INDEX(_Helpers!$D$2:$D$151,$H107-2+1))</f>
        <v/>
      </c>
      <c r="C107" s="24">
        <f>IF($H107="","",INDEX(_Helpers!$B$2:$B$151,$H107-2+1))</f>
        <v/>
      </c>
      <c r="D107" s="24">
        <f>IF($H107="","",INDEX(_Helpers!$C$2:$C$151,$H107-2+1))</f>
        <v/>
      </c>
      <c r="E107" s="24">
        <f>IF($H107="","",INDEX(_Helpers!$L$2:$L$151,$H107-2+1))</f>
        <v/>
      </c>
      <c r="F107" s="25">
        <f>IF($H107="","",INDEX(_Helpers!$M$2:$M$151,$H107-2+1))</f>
        <v/>
      </c>
      <c r="G107" s="2" t="n"/>
      <c r="H107" s="17">
        <f t="array" ref="H107">IFERROR(SMALL(IF(_Helpers!$E$2:$E$151=1,ROW(_Helpers!$E$2:$E$151)),ROWS($A$4:A107)),"")</f>
        <v/>
      </c>
      <c r="I107" s="2" t="n"/>
      <c r="J107" s="2" t="n"/>
    </row>
    <row r="108">
      <c r="A108" s="23">
        <f>IF($H108="","",INDEX(_Helpers!$A$2:$A$151,$H108-2+1))</f>
        <v/>
      </c>
      <c r="B108" s="23">
        <f>IF($H108="","",INDEX(_Helpers!$D$2:$D$151,$H108-2+1))</f>
        <v/>
      </c>
      <c r="C108" s="24">
        <f>IF($H108="","",INDEX(_Helpers!$B$2:$B$151,$H108-2+1))</f>
        <v/>
      </c>
      <c r="D108" s="24">
        <f>IF($H108="","",INDEX(_Helpers!$C$2:$C$151,$H108-2+1))</f>
        <v/>
      </c>
      <c r="E108" s="24">
        <f>IF($H108="","",INDEX(_Helpers!$L$2:$L$151,$H108-2+1))</f>
        <v/>
      </c>
      <c r="F108" s="25">
        <f>IF($H108="","",INDEX(_Helpers!$M$2:$M$151,$H108-2+1))</f>
        <v/>
      </c>
      <c r="G108" s="2" t="n"/>
      <c r="H108" s="17">
        <f t="array" ref="H108">IFERROR(SMALL(IF(_Helpers!$E$2:$E$151=1,ROW(_Helpers!$E$2:$E$151)),ROWS($A$4:A108)),"")</f>
        <v/>
      </c>
      <c r="I108" s="2" t="n"/>
      <c r="J108" s="2" t="n"/>
    </row>
    <row r="109">
      <c r="A109" s="23">
        <f>IF($H109="","",INDEX(_Helpers!$A$2:$A$151,$H109-2+1))</f>
        <v/>
      </c>
      <c r="B109" s="23">
        <f>IF($H109="","",INDEX(_Helpers!$D$2:$D$151,$H109-2+1))</f>
        <v/>
      </c>
      <c r="C109" s="24">
        <f>IF($H109="","",INDEX(_Helpers!$B$2:$B$151,$H109-2+1))</f>
        <v/>
      </c>
      <c r="D109" s="24">
        <f>IF($H109="","",INDEX(_Helpers!$C$2:$C$151,$H109-2+1))</f>
        <v/>
      </c>
      <c r="E109" s="24">
        <f>IF($H109="","",INDEX(_Helpers!$L$2:$L$151,$H109-2+1))</f>
        <v/>
      </c>
      <c r="F109" s="25">
        <f>IF($H109="","",INDEX(_Helpers!$M$2:$M$151,$H109-2+1))</f>
        <v/>
      </c>
      <c r="G109" s="2" t="n"/>
      <c r="H109" s="17">
        <f t="array" ref="H109">IFERROR(SMALL(IF(_Helpers!$E$2:$E$151=1,ROW(_Helpers!$E$2:$E$151)),ROWS($A$4:A109)),"")</f>
        <v/>
      </c>
      <c r="I109" s="2" t="n"/>
      <c r="J109" s="2" t="n"/>
    </row>
    <row r="110">
      <c r="A110" s="23">
        <f>IF($H110="","",INDEX(_Helpers!$A$2:$A$151,$H110-2+1))</f>
        <v/>
      </c>
      <c r="B110" s="23">
        <f>IF($H110="","",INDEX(_Helpers!$D$2:$D$151,$H110-2+1))</f>
        <v/>
      </c>
      <c r="C110" s="24">
        <f>IF($H110="","",INDEX(_Helpers!$B$2:$B$151,$H110-2+1))</f>
        <v/>
      </c>
      <c r="D110" s="24">
        <f>IF($H110="","",INDEX(_Helpers!$C$2:$C$151,$H110-2+1))</f>
        <v/>
      </c>
      <c r="E110" s="24">
        <f>IF($H110="","",INDEX(_Helpers!$L$2:$L$151,$H110-2+1))</f>
        <v/>
      </c>
      <c r="F110" s="25">
        <f>IF($H110="","",INDEX(_Helpers!$M$2:$M$151,$H110-2+1))</f>
        <v/>
      </c>
      <c r="G110" s="2" t="n"/>
      <c r="H110" s="17">
        <f t="array" ref="H110">IFERROR(SMALL(IF(_Helpers!$E$2:$E$151=1,ROW(_Helpers!$E$2:$E$151)),ROWS($A$4:A110)),"")</f>
        <v/>
      </c>
      <c r="I110" s="2" t="n"/>
      <c r="J110" s="2" t="n"/>
    </row>
    <row r="111">
      <c r="A111" s="23">
        <f>IF($H111="","",INDEX(_Helpers!$A$2:$A$151,$H111-2+1))</f>
        <v/>
      </c>
      <c r="B111" s="23">
        <f>IF($H111="","",INDEX(_Helpers!$D$2:$D$151,$H111-2+1))</f>
        <v/>
      </c>
      <c r="C111" s="24">
        <f>IF($H111="","",INDEX(_Helpers!$B$2:$B$151,$H111-2+1))</f>
        <v/>
      </c>
      <c r="D111" s="24">
        <f>IF($H111="","",INDEX(_Helpers!$C$2:$C$151,$H111-2+1))</f>
        <v/>
      </c>
      <c r="E111" s="24">
        <f>IF($H111="","",INDEX(_Helpers!$L$2:$L$151,$H111-2+1))</f>
        <v/>
      </c>
      <c r="F111" s="25">
        <f>IF($H111="","",INDEX(_Helpers!$M$2:$M$151,$H111-2+1))</f>
        <v/>
      </c>
      <c r="G111" s="2" t="n"/>
      <c r="H111" s="17">
        <f t="array" ref="H111">IFERROR(SMALL(IF(_Helpers!$E$2:$E$151=1,ROW(_Helpers!$E$2:$E$151)),ROWS($A$4:A111)),"")</f>
        <v/>
      </c>
      <c r="I111" s="2" t="n"/>
      <c r="J111" s="2" t="n"/>
    </row>
    <row r="112">
      <c r="A112" s="23">
        <f>IF($H112="","",INDEX(_Helpers!$A$2:$A$151,$H112-2+1))</f>
        <v/>
      </c>
      <c r="B112" s="23">
        <f>IF($H112="","",INDEX(_Helpers!$D$2:$D$151,$H112-2+1))</f>
        <v/>
      </c>
      <c r="C112" s="24">
        <f>IF($H112="","",INDEX(_Helpers!$B$2:$B$151,$H112-2+1))</f>
        <v/>
      </c>
      <c r="D112" s="24">
        <f>IF($H112="","",INDEX(_Helpers!$C$2:$C$151,$H112-2+1))</f>
        <v/>
      </c>
      <c r="E112" s="24">
        <f>IF($H112="","",INDEX(_Helpers!$L$2:$L$151,$H112-2+1))</f>
        <v/>
      </c>
      <c r="F112" s="25">
        <f>IF($H112="","",INDEX(_Helpers!$M$2:$M$151,$H112-2+1))</f>
        <v/>
      </c>
      <c r="G112" s="2" t="n"/>
      <c r="H112" s="17">
        <f t="array" ref="H112">IFERROR(SMALL(IF(_Helpers!$E$2:$E$151=1,ROW(_Helpers!$E$2:$E$151)),ROWS($A$4:A112)),"")</f>
        <v/>
      </c>
      <c r="I112" s="2" t="n"/>
      <c r="J112" s="2" t="n"/>
    </row>
    <row r="113">
      <c r="A113" s="23">
        <f>IF($H113="","",INDEX(_Helpers!$A$2:$A$151,$H113-2+1))</f>
        <v/>
      </c>
      <c r="B113" s="23">
        <f>IF($H113="","",INDEX(_Helpers!$D$2:$D$151,$H113-2+1))</f>
        <v/>
      </c>
      <c r="C113" s="24">
        <f>IF($H113="","",INDEX(_Helpers!$B$2:$B$151,$H113-2+1))</f>
        <v/>
      </c>
      <c r="D113" s="24">
        <f>IF($H113="","",INDEX(_Helpers!$C$2:$C$151,$H113-2+1))</f>
        <v/>
      </c>
      <c r="E113" s="24">
        <f>IF($H113="","",INDEX(_Helpers!$L$2:$L$151,$H113-2+1))</f>
        <v/>
      </c>
      <c r="F113" s="25">
        <f>IF($H113="","",INDEX(_Helpers!$M$2:$M$151,$H113-2+1))</f>
        <v/>
      </c>
      <c r="G113" s="2" t="n"/>
      <c r="H113" s="17">
        <f t="array" ref="H113">IFERROR(SMALL(IF(_Helpers!$E$2:$E$151=1,ROW(_Helpers!$E$2:$E$151)),ROWS($A$4:A113)),"")</f>
        <v/>
      </c>
      <c r="I113" s="2" t="n"/>
      <c r="J113" s="2" t="n"/>
    </row>
    <row r="114">
      <c r="A114" s="23">
        <f>IF($H114="","",INDEX(_Helpers!$A$2:$A$151,$H114-2+1))</f>
        <v/>
      </c>
      <c r="B114" s="23">
        <f>IF($H114="","",INDEX(_Helpers!$D$2:$D$151,$H114-2+1))</f>
        <v/>
      </c>
      <c r="C114" s="24">
        <f>IF($H114="","",INDEX(_Helpers!$B$2:$B$151,$H114-2+1))</f>
        <v/>
      </c>
      <c r="D114" s="24">
        <f>IF($H114="","",INDEX(_Helpers!$C$2:$C$151,$H114-2+1))</f>
        <v/>
      </c>
      <c r="E114" s="24">
        <f>IF($H114="","",INDEX(_Helpers!$L$2:$L$151,$H114-2+1))</f>
        <v/>
      </c>
      <c r="F114" s="25">
        <f>IF($H114="","",INDEX(_Helpers!$M$2:$M$151,$H114-2+1))</f>
        <v/>
      </c>
      <c r="G114" s="2" t="n"/>
      <c r="H114" s="17">
        <f t="array" ref="H114">IFERROR(SMALL(IF(_Helpers!$E$2:$E$151=1,ROW(_Helpers!$E$2:$E$151)),ROWS($A$4:A114)),"")</f>
        <v/>
      </c>
      <c r="I114" s="2" t="n"/>
      <c r="J114" s="2" t="n"/>
    </row>
    <row r="115">
      <c r="A115" s="23">
        <f>IF($H115="","",INDEX(_Helpers!$A$2:$A$151,$H115-2+1))</f>
        <v/>
      </c>
      <c r="B115" s="23">
        <f>IF($H115="","",INDEX(_Helpers!$D$2:$D$151,$H115-2+1))</f>
        <v/>
      </c>
      <c r="C115" s="24">
        <f>IF($H115="","",INDEX(_Helpers!$B$2:$B$151,$H115-2+1))</f>
        <v/>
      </c>
      <c r="D115" s="24">
        <f>IF($H115="","",INDEX(_Helpers!$C$2:$C$151,$H115-2+1))</f>
        <v/>
      </c>
      <c r="E115" s="24">
        <f>IF($H115="","",INDEX(_Helpers!$L$2:$L$151,$H115-2+1))</f>
        <v/>
      </c>
      <c r="F115" s="25">
        <f>IF($H115="","",INDEX(_Helpers!$M$2:$M$151,$H115-2+1))</f>
        <v/>
      </c>
      <c r="G115" s="2" t="n"/>
      <c r="H115" s="17">
        <f t="array" ref="H115">IFERROR(SMALL(IF(_Helpers!$E$2:$E$151=1,ROW(_Helpers!$E$2:$E$151)),ROWS($A$4:A115)),"")</f>
        <v/>
      </c>
      <c r="I115" s="2" t="n"/>
      <c r="J115" s="2" t="n"/>
    </row>
    <row r="116">
      <c r="A116" s="23">
        <f>IF($H116="","",INDEX(_Helpers!$A$2:$A$151,$H116-2+1))</f>
        <v/>
      </c>
      <c r="B116" s="23">
        <f>IF($H116="","",INDEX(_Helpers!$D$2:$D$151,$H116-2+1))</f>
        <v/>
      </c>
      <c r="C116" s="24">
        <f>IF($H116="","",INDEX(_Helpers!$B$2:$B$151,$H116-2+1))</f>
        <v/>
      </c>
      <c r="D116" s="24">
        <f>IF($H116="","",INDEX(_Helpers!$C$2:$C$151,$H116-2+1))</f>
        <v/>
      </c>
      <c r="E116" s="24">
        <f>IF($H116="","",INDEX(_Helpers!$L$2:$L$151,$H116-2+1))</f>
        <v/>
      </c>
      <c r="F116" s="25">
        <f>IF($H116="","",INDEX(_Helpers!$M$2:$M$151,$H116-2+1))</f>
        <v/>
      </c>
      <c r="G116" s="2" t="n"/>
      <c r="H116" s="17">
        <f t="array" ref="H116">IFERROR(SMALL(IF(_Helpers!$E$2:$E$151=1,ROW(_Helpers!$E$2:$E$151)),ROWS($A$4:A116)),"")</f>
        <v/>
      </c>
      <c r="I116" s="2" t="n"/>
      <c r="J116" s="2" t="n"/>
    </row>
    <row r="117">
      <c r="A117" s="23">
        <f>IF($H117="","",INDEX(_Helpers!$A$2:$A$151,$H117-2+1))</f>
        <v/>
      </c>
      <c r="B117" s="23">
        <f>IF($H117="","",INDEX(_Helpers!$D$2:$D$151,$H117-2+1))</f>
        <v/>
      </c>
      <c r="C117" s="24">
        <f>IF($H117="","",INDEX(_Helpers!$B$2:$B$151,$H117-2+1))</f>
        <v/>
      </c>
      <c r="D117" s="24">
        <f>IF($H117="","",INDEX(_Helpers!$C$2:$C$151,$H117-2+1))</f>
        <v/>
      </c>
      <c r="E117" s="24">
        <f>IF($H117="","",INDEX(_Helpers!$L$2:$L$151,$H117-2+1))</f>
        <v/>
      </c>
      <c r="F117" s="25">
        <f>IF($H117="","",INDEX(_Helpers!$M$2:$M$151,$H117-2+1))</f>
        <v/>
      </c>
      <c r="G117" s="2" t="n"/>
      <c r="H117" s="17">
        <f t="array" ref="H117">IFERROR(SMALL(IF(_Helpers!$E$2:$E$151=1,ROW(_Helpers!$E$2:$E$151)),ROWS($A$4:A117)),"")</f>
        <v/>
      </c>
      <c r="I117" s="2" t="n"/>
      <c r="J117" s="2" t="n"/>
    </row>
    <row r="118">
      <c r="A118" s="23">
        <f>IF($H118="","",INDEX(_Helpers!$A$2:$A$151,$H118-2+1))</f>
        <v/>
      </c>
      <c r="B118" s="23">
        <f>IF($H118="","",INDEX(_Helpers!$D$2:$D$151,$H118-2+1))</f>
        <v/>
      </c>
      <c r="C118" s="24">
        <f>IF($H118="","",INDEX(_Helpers!$B$2:$B$151,$H118-2+1))</f>
        <v/>
      </c>
      <c r="D118" s="24">
        <f>IF($H118="","",INDEX(_Helpers!$C$2:$C$151,$H118-2+1))</f>
        <v/>
      </c>
      <c r="E118" s="24">
        <f>IF($H118="","",INDEX(_Helpers!$L$2:$L$151,$H118-2+1))</f>
        <v/>
      </c>
      <c r="F118" s="25">
        <f>IF($H118="","",INDEX(_Helpers!$M$2:$M$151,$H118-2+1))</f>
        <v/>
      </c>
      <c r="G118" s="2" t="n"/>
      <c r="H118" s="17">
        <f t="array" ref="H118">IFERROR(SMALL(IF(_Helpers!$E$2:$E$151=1,ROW(_Helpers!$E$2:$E$151)),ROWS($A$4:A118)),"")</f>
        <v/>
      </c>
      <c r="I118" s="2" t="n"/>
      <c r="J118" s="2" t="n"/>
    </row>
    <row r="119">
      <c r="A119" s="23">
        <f>IF($H119="","",INDEX(_Helpers!$A$2:$A$151,$H119-2+1))</f>
        <v/>
      </c>
      <c r="B119" s="23">
        <f>IF($H119="","",INDEX(_Helpers!$D$2:$D$151,$H119-2+1))</f>
        <v/>
      </c>
      <c r="C119" s="24">
        <f>IF($H119="","",INDEX(_Helpers!$B$2:$B$151,$H119-2+1))</f>
        <v/>
      </c>
      <c r="D119" s="24">
        <f>IF($H119="","",INDEX(_Helpers!$C$2:$C$151,$H119-2+1))</f>
        <v/>
      </c>
      <c r="E119" s="24">
        <f>IF($H119="","",INDEX(_Helpers!$L$2:$L$151,$H119-2+1))</f>
        <v/>
      </c>
      <c r="F119" s="25">
        <f>IF($H119="","",INDEX(_Helpers!$M$2:$M$151,$H119-2+1))</f>
        <v/>
      </c>
      <c r="G119" s="2" t="n"/>
      <c r="H119" s="17">
        <f t="array" ref="H119">IFERROR(SMALL(IF(_Helpers!$E$2:$E$151=1,ROW(_Helpers!$E$2:$E$151)),ROWS($A$4:A119)),"")</f>
        <v/>
      </c>
      <c r="I119" s="2" t="n"/>
      <c r="J119" s="2" t="n"/>
    </row>
    <row r="120">
      <c r="A120" s="23">
        <f>IF($H120="","",INDEX(_Helpers!$A$2:$A$151,$H120-2+1))</f>
        <v/>
      </c>
      <c r="B120" s="23">
        <f>IF($H120="","",INDEX(_Helpers!$D$2:$D$151,$H120-2+1))</f>
        <v/>
      </c>
      <c r="C120" s="24">
        <f>IF($H120="","",INDEX(_Helpers!$B$2:$B$151,$H120-2+1))</f>
        <v/>
      </c>
      <c r="D120" s="24">
        <f>IF($H120="","",INDEX(_Helpers!$C$2:$C$151,$H120-2+1))</f>
        <v/>
      </c>
      <c r="E120" s="24">
        <f>IF($H120="","",INDEX(_Helpers!$L$2:$L$151,$H120-2+1))</f>
        <v/>
      </c>
      <c r="F120" s="25">
        <f>IF($H120="","",INDEX(_Helpers!$M$2:$M$151,$H120-2+1))</f>
        <v/>
      </c>
      <c r="G120" s="2" t="n"/>
      <c r="H120" s="17">
        <f t="array" ref="H120">IFERROR(SMALL(IF(_Helpers!$E$2:$E$151=1,ROW(_Helpers!$E$2:$E$151)),ROWS($A$4:A120)),"")</f>
        <v/>
      </c>
      <c r="I120" s="2" t="n"/>
      <c r="J120" s="2" t="n"/>
    </row>
    <row r="121">
      <c r="A121" s="23">
        <f>IF($H121="","",INDEX(_Helpers!$A$2:$A$151,$H121-2+1))</f>
        <v/>
      </c>
      <c r="B121" s="23">
        <f>IF($H121="","",INDEX(_Helpers!$D$2:$D$151,$H121-2+1))</f>
        <v/>
      </c>
      <c r="C121" s="24">
        <f>IF($H121="","",INDEX(_Helpers!$B$2:$B$151,$H121-2+1))</f>
        <v/>
      </c>
      <c r="D121" s="24">
        <f>IF($H121="","",INDEX(_Helpers!$C$2:$C$151,$H121-2+1))</f>
        <v/>
      </c>
      <c r="E121" s="24">
        <f>IF($H121="","",INDEX(_Helpers!$L$2:$L$151,$H121-2+1))</f>
        <v/>
      </c>
      <c r="F121" s="25">
        <f>IF($H121="","",INDEX(_Helpers!$M$2:$M$151,$H121-2+1))</f>
        <v/>
      </c>
      <c r="G121" s="2" t="n"/>
      <c r="H121" s="17">
        <f t="array" ref="H121">IFERROR(SMALL(IF(_Helpers!$E$2:$E$151=1,ROW(_Helpers!$E$2:$E$151)),ROWS($A$4:A121)),"")</f>
        <v/>
      </c>
      <c r="I121" s="2" t="n"/>
      <c r="J121" s="2" t="n"/>
    </row>
    <row r="122">
      <c r="A122" s="23">
        <f>IF($H122="","",INDEX(_Helpers!$A$2:$A$151,$H122-2+1))</f>
        <v/>
      </c>
      <c r="B122" s="23">
        <f>IF($H122="","",INDEX(_Helpers!$D$2:$D$151,$H122-2+1))</f>
        <v/>
      </c>
      <c r="C122" s="24">
        <f>IF($H122="","",INDEX(_Helpers!$B$2:$B$151,$H122-2+1))</f>
        <v/>
      </c>
      <c r="D122" s="24">
        <f>IF($H122="","",INDEX(_Helpers!$C$2:$C$151,$H122-2+1))</f>
        <v/>
      </c>
      <c r="E122" s="24">
        <f>IF($H122="","",INDEX(_Helpers!$L$2:$L$151,$H122-2+1))</f>
        <v/>
      </c>
      <c r="F122" s="25">
        <f>IF($H122="","",INDEX(_Helpers!$M$2:$M$151,$H122-2+1))</f>
        <v/>
      </c>
      <c r="G122" s="2" t="n"/>
      <c r="H122" s="17">
        <f t="array" ref="H122">IFERROR(SMALL(IF(_Helpers!$E$2:$E$151=1,ROW(_Helpers!$E$2:$E$151)),ROWS($A$4:A122)),"")</f>
        <v/>
      </c>
      <c r="I122" s="2" t="n"/>
      <c r="J122" s="2" t="n"/>
    </row>
    <row r="123">
      <c r="A123" s="23">
        <f>IF($H123="","",INDEX(_Helpers!$A$2:$A$151,$H123-2+1))</f>
        <v/>
      </c>
      <c r="B123" s="23">
        <f>IF($H123="","",INDEX(_Helpers!$D$2:$D$151,$H123-2+1))</f>
        <v/>
      </c>
      <c r="C123" s="24">
        <f>IF($H123="","",INDEX(_Helpers!$B$2:$B$151,$H123-2+1))</f>
        <v/>
      </c>
      <c r="D123" s="24">
        <f>IF($H123="","",INDEX(_Helpers!$C$2:$C$151,$H123-2+1))</f>
        <v/>
      </c>
      <c r="E123" s="24">
        <f>IF($H123="","",INDEX(_Helpers!$L$2:$L$151,$H123-2+1))</f>
        <v/>
      </c>
      <c r="F123" s="25">
        <f>IF($H123="","",INDEX(_Helpers!$M$2:$M$151,$H123-2+1))</f>
        <v/>
      </c>
      <c r="G123" s="2" t="n"/>
      <c r="H123" s="17">
        <f t="array" ref="H123">IFERROR(SMALL(IF(_Helpers!$E$2:$E$151=1,ROW(_Helpers!$E$2:$E$151)),ROWS($A$4:A123)),"")</f>
        <v/>
      </c>
      <c r="I123" s="2" t="n"/>
      <c r="J123" s="2" t="n"/>
    </row>
    <row r="124">
      <c r="A124" s="23">
        <f>IF($H124="","",INDEX(_Helpers!$A$2:$A$151,$H124-2+1))</f>
        <v/>
      </c>
      <c r="B124" s="23">
        <f>IF($H124="","",INDEX(_Helpers!$D$2:$D$151,$H124-2+1))</f>
        <v/>
      </c>
      <c r="C124" s="24">
        <f>IF($H124="","",INDEX(_Helpers!$B$2:$B$151,$H124-2+1))</f>
        <v/>
      </c>
      <c r="D124" s="24">
        <f>IF($H124="","",INDEX(_Helpers!$C$2:$C$151,$H124-2+1))</f>
        <v/>
      </c>
      <c r="E124" s="24">
        <f>IF($H124="","",INDEX(_Helpers!$L$2:$L$151,$H124-2+1))</f>
        <v/>
      </c>
      <c r="F124" s="25">
        <f>IF($H124="","",INDEX(_Helpers!$M$2:$M$151,$H124-2+1))</f>
        <v/>
      </c>
      <c r="G124" s="2" t="n"/>
      <c r="H124" s="17">
        <f t="array" ref="H124">IFERROR(SMALL(IF(_Helpers!$E$2:$E$151=1,ROW(_Helpers!$E$2:$E$151)),ROWS($A$4:A124)),"")</f>
        <v/>
      </c>
      <c r="I124" s="2" t="n"/>
      <c r="J124" s="2" t="n"/>
    </row>
    <row r="125">
      <c r="A125" s="23">
        <f>IF($H125="","",INDEX(_Helpers!$A$2:$A$151,$H125-2+1))</f>
        <v/>
      </c>
      <c r="B125" s="23">
        <f>IF($H125="","",INDEX(_Helpers!$D$2:$D$151,$H125-2+1))</f>
        <v/>
      </c>
      <c r="C125" s="24">
        <f>IF($H125="","",INDEX(_Helpers!$B$2:$B$151,$H125-2+1))</f>
        <v/>
      </c>
      <c r="D125" s="24">
        <f>IF($H125="","",INDEX(_Helpers!$C$2:$C$151,$H125-2+1))</f>
        <v/>
      </c>
      <c r="E125" s="24">
        <f>IF($H125="","",INDEX(_Helpers!$L$2:$L$151,$H125-2+1))</f>
        <v/>
      </c>
      <c r="F125" s="25">
        <f>IF($H125="","",INDEX(_Helpers!$M$2:$M$151,$H125-2+1))</f>
        <v/>
      </c>
      <c r="G125" s="2" t="n"/>
      <c r="H125" s="17">
        <f t="array" ref="H125">IFERROR(SMALL(IF(_Helpers!$E$2:$E$151=1,ROW(_Helpers!$E$2:$E$151)),ROWS($A$4:A125)),"")</f>
        <v/>
      </c>
      <c r="I125" s="2" t="n"/>
      <c r="J125" s="2" t="n"/>
    </row>
    <row r="126">
      <c r="A126" s="23">
        <f>IF($H126="","",INDEX(_Helpers!$A$2:$A$151,$H126-2+1))</f>
        <v/>
      </c>
      <c r="B126" s="23">
        <f>IF($H126="","",INDEX(_Helpers!$D$2:$D$151,$H126-2+1))</f>
        <v/>
      </c>
      <c r="C126" s="24">
        <f>IF($H126="","",INDEX(_Helpers!$B$2:$B$151,$H126-2+1))</f>
        <v/>
      </c>
      <c r="D126" s="24">
        <f>IF($H126="","",INDEX(_Helpers!$C$2:$C$151,$H126-2+1))</f>
        <v/>
      </c>
      <c r="E126" s="24">
        <f>IF($H126="","",INDEX(_Helpers!$L$2:$L$151,$H126-2+1))</f>
        <v/>
      </c>
      <c r="F126" s="25">
        <f>IF($H126="","",INDEX(_Helpers!$M$2:$M$151,$H126-2+1))</f>
        <v/>
      </c>
      <c r="G126" s="2" t="n"/>
      <c r="H126" s="17">
        <f t="array" ref="H126">IFERROR(SMALL(IF(_Helpers!$E$2:$E$151=1,ROW(_Helpers!$E$2:$E$151)),ROWS($A$4:A126)),"")</f>
        <v/>
      </c>
      <c r="I126" s="2" t="n"/>
      <c r="J126" s="2" t="n"/>
    </row>
    <row r="127">
      <c r="A127" s="23">
        <f>IF($H127="","",INDEX(_Helpers!$A$2:$A$151,$H127-2+1))</f>
        <v/>
      </c>
      <c r="B127" s="23">
        <f>IF($H127="","",INDEX(_Helpers!$D$2:$D$151,$H127-2+1))</f>
        <v/>
      </c>
      <c r="C127" s="24">
        <f>IF($H127="","",INDEX(_Helpers!$B$2:$B$151,$H127-2+1))</f>
        <v/>
      </c>
      <c r="D127" s="24">
        <f>IF($H127="","",INDEX(_Helpers!$C$2:$C$151,$H127-2+1))</f>
        <v/>
      </c>
      <c r="E127" s="24">
        <f>IF($H127="","",INDEX(_Helpers!$L$2:$L$151,$H127-2+1))</f>
        <v/>
      </c>
      <c r="F127" s="25">
        <f>IF($H127="","",INDEX(_Helpers!$M$2:$M$151,$H127-2+1))</f>
        <v/>
      </c>
      <c r="G127" s="2" t="n"/>
      <c r="H127" s="17">
        <f t="array" ref="H127">IFERROR(SMALL(IF(_Helpers!$E$2:$E$151=1,ROW(_Helpers!$E$2:$E$151)),ROWS($A$4:A127)),"")</f>
        <v/>
      </c>
      <c r="I127" s="2" t="n"/>
      <c r="J127" s="2" t="n"/>
    </row>
    <row r="128">
      <c r="A128" s="23">
        <f>IF($H128="","",INDEX(_Helpers!$A$2:$A$151,$H128-2+1))</f>
        <v/>
      </c>
      <c r="B128" s="23">
        <f>IF($H128="","",INDEX(_Helpers!$D$2:$D$151,$H128-2+1))</f>
        <v/>
      </c>
      <c r="C128" s="24">
        <f>IF($H128="","",INDEX(_Helpers!$B$2:$B$151,$H128-2+1))</f>
        <v/>
      </c>
      <c r="D128" s="24">
        <f>IF($H128="","",INDEX(_Helpers!$C$2:$C$151,$H128-2+1))</f>
        <v/>
      </c>
      <c r="E128" s="24">
        <f>IF($H128="","",INDEX(_Helpers!$L$2:$L$151,$H128-2+1))</f>
        <v/>
      </c>
      <c r="F128" s="25">
        <f>IF($H128="","",INDEX(_Helpers!$M$2:$M$151,$H128-2+1))</f>
        <v/>
      </c>
      <c r="G128" s="2" t="n"/>
      <c r="H128" s="17">
        <f t="array" ref="H128">IFERROR(SMALL(IF(_Helpers!$E$2:$E$151=1,ROW(_Helpers!$E$2:$E$151)),ROWS($A$4:A128)),"")</f>
        <v/>
      </c>
      <c r="I128" s="2" t="n"/>
      <c r="J128" s="2" t="n"/>
    </row>
    <row r="129">
      <c r="A129" s="23">
        <f>IF($H129="","",INDEX(_Helpers!$A$2:$A$151,$H129-2+1))</f>
        <v/>
      </c>
      <c r="B129" s="23">
        <f>IF($H129="","",INDEX(_Helpers!$D$2:$D$151,$H129-2+1))</f>
        <v/>
      </c>
      <c r="C129" s="24">
        <f>IF($H129="","",INDEX(_Helpers!$B$2:$B$151,$H129-2+1))</f>
        <v/>
      </c>
      <c r="D129" s="24">
        <f>IF($H129="","",INDEX(_Helpers!$C$2:$C$151,$H129-2+1))</f>
        <v/>
      </c>
      <c r="E129" s="24">
        <f>IF($H129="","",INDEX(_Helpers!$L$2:$L$151,$H129-2+1))</f>
        <v/>
      </c>
      <c r="F129" s="25">
        <f>IF($H129="","",INDEX(_Helpers!$M$2:$M$151,$H129-2+1))</f>
        <v/>
      </c>
      <c r="G129" s="2" t="n"/>
      <c r="H129" s="17">
        <f t="array" ref="H129">IFERROR(SMALL(IF(_Helpers!$E$2:$E$151=1,ROW(_Helpers!$E$2:$E$151)),ROWS($A$4:A129)),"")</f>
        <v/>
      </c>
      <c r="I129" s="2" t="n"/>
      <c r="J129" s="2" t="n"/>
    </row>
    <row r="130">
      <c r="A130" s="23">
        <f>IF($H130="","",INDEX(_Helpers!$A$2:$A$151,$H130-2+1))</f>
        <v/>
      </c>
      <c r="B130" s="23">
        <f>IF($H130="","",INDEX(_Helpers!$D$2:$D$151,$H130-2+1))</f>
        <v/>
      </c>
      <c r="C130" s="24">
        <f>IF($H130="","",INDEX(_Helpers!$B$2:$B$151,$H130-2+1))</f>
        <v/>
      </c>
      <c r="D130" s="24">
        <f>IF($H130="","",INDEX(_Helpers!$C$2:$C$151,$H130-2+1))</f>
        <v/>
      </c>
      <c r="E130" s="24">
        <f>IF($H130="","",INDEX(_Helpers!$L$2:$L$151,$H130-2+1))</f>
        <v/>
      </c>
      <c r="F130" s="25">
        <f>IF($H130="","",INDEX(_Helpers!$M$2:$M$151,$H130-2+1))</f>
        <v/>
      </c>
      <c r="G130" s="2" t="n"/>
      <c r="H130" s="17">
        <f t="array" ref="H130">IFERROR(SMALL(IF(_Helpers!$E$2:$E$151=1,ROW(_Helpers!$E$2:$E$151)),ROWS($A$4:A130)),"")</f>
        <v/>
      </c>
      <c r="I130" s="2" t="n"/>
      <c r="J130" s="2" t="n"/>
    </row>
    <row r="131">
      <c r="A131" s="23">
        <f>IF($H131="","",INDEX(_Helpers!$A$2:$A$151,$H131-2+1))</f>
        <v/>
      </c>
      <c r="B131" s="23">
        <f>IF($H131="","",INDEX(_Helpers!$D$2:$D$151,$H131-2+1))</f>
        <v/>
      </c>
      <c r="C131" s="24">
        <f>IF($H131="","",INDEX(_Helpers!$B$2:$B$151,$H131-2+1))</f>
        <v/>
      </c>
      <c r="D131" s="24">
        <f>IF($H131="","",INDEX(_Helpers!$C$2:$C$151,$H131-2+1))</f>
        <v/>
      </c>
      <c r="E131" s="24">
        <f>IF($H131="","",INDEX(_Helpers!$L$2:$L$151,$H131-2+1))</f>
        <v/>
      </c>
      <c r="F131" s="25">
        <f>IF($H131="","",INDEX(_Helpers!$M$2:$M$151,$H131-2+1))</f>
        <v/>
      </c>
      <c r="G131" s="2" t="n"/>
      <c r="H131" s="17">
        <f t="array" ref="H131">IFERROR(SMALL(IF(_Helpers!$E$2:$E$151=1,ROW(_Helpers!$E$2:$E$151)),ROWS($A$4:A131)),"")</f>
        <v/>
      </c>
      <c r="I131" s="2" t="n"/>
      <c r="J131" s="2" t="n"/>
    </row>
    <row r="132">
      <c r="A132" s="23">
        <f>IF($H132="","",INDEX(_Helpers!$A$2:$A$151,$H132-2+1))</f>
        <v/>
      </c>
      <c r="B132" s="23">
        <f>IF($H132="","",INDEX(_Helpers!$D$2:$D$151,$H132-2+1))</f>
        <v/>
      </c>
      <c r="C132" s="24">
        <f>IF($H132="","",INDEX(_Helpers!$B$2:$B$151,$H132-2+1))</f>
        <v/>
      </c>
      <c r="D132" s="24">
        <f>IF($H132="","",INDEX(_Helpers!$C$2:$C$151,$H132-2+1))</f>
        <v/>
      </c>
      <c r="E132" s="24">
        <f>IF($H132="","",INDEX(_Helpers!$L$2:$L$151,$H132-2+1))</f>
        <v/>
      </c>
      <c r="F132" s="25">
        <f>IF($H132="","",INDEX(_Helpers!$M$2:$M$151,$H132-2+1))</f>
        <v/>
      </c>
      <c r="G132" s="2" t="n"/>
      <c r="H132" s="17">
        <f t="array" ref="H132">IFERROR(SMALL(IF(_Helpers!$E$2:$E$151=1,ROW(_Helpers!$E$2:$E$151)),ROWS($A$4:A132)),"")</f>
        <v/>
      </c>
      <c r="I132" s="2" t="n"/>
      <c r="J132" s="2" t="n"/>
    </row>
    <row r="133">
      <c r="A133" s="23">
        <f>IF($H133="","",INDEX(_Helpers!$A$2:$A$151,$H133-2+1))</f>
        <v/>
      </c>
      <c r="B133" s="23">
        <f>IF($H133="","",INDEX(_Helpers!$D$2:$D$151,$H133-2+1))</f>
        <v/>
      </c>
      <c r="C133" s="24">
        <f>IF($H133="","",INDEX(_Helpers!$B$2:$B$151,$H133-2+1))</f>
        <v/>
      </c>
      <c r="D133" s="24">
        <f>IF($H133="","",INDEX(_Helpers!$C$2:$C$151,$H133-2+1))</f>
        <v/>
      </c>
      <c r="E133" s="24">
        <f>IF($H133="","",INDEX(_Helpers!$L$2:$L$151,$H133-2+1))</f>
        <v/>
      </c>
      <c r="F133" s="25">
        <f>IF($H133="","",INDEX(_Helpers!$M$2:$M$151,$H133-2+1))</f>
        <v/>
      </c>
      <c r="G133" s="2" t="n"/>
      <c r="H133" s="17">
        <f t="array" ref="H133">IFERROR(SMALL(IF(_Helpers!$E$2:$E$151=1,ROW(_Helpers!$E$2:$E$151)),ROWS($A$4:A133)),"")</f>
        <v/>
      </c>
      <c r="I133" s="2" t="n"/>
      <c r="J133" s="2" t="n"/>
    </row>
    <row r="134">
      <c r="A134" s="23">
        <f>IF($H134="","",INDEX(_Helpers!$A$2:$A$151,$H134-2+1))</f>
        <v/>
      </c>
      <c r="B134" s="23">
        <f>IF($H134="","",INDEX(_Helpers!$D$2:$D$151,$H134-2+1))</f>
        <v/>
      </c>
      <c r="C134" s="24">
        <f>IF($H134="","",INDEX(_Helpers!$B$2:$B$151,$H134-2+1))</f>
        <v/>
      </c>
      <c r="D134" s="24">
        <f>IF($H134="","",INDEX(_Helpers!$C$2:$C$151,$H134-2+1))</f>
        <v/>
      </c>
      <c r="E134" s="24">
        <f>IF($H134="","",INDEX(_Helpers!$L$2:$L$151,$H134-2+1))</f>
        <v/>
      </c>
      <c r="F134" s="25">
        <f>IF($H134="","",INDEX(_Helpers!$M$2:$M$151,$H134-2+1))</f>
        <v/>
      </c>
      <c r="G134" s="2" t="n"/>
      <c r="H134" s="17">
        <f t="array" ref="H134">IFERROR(SMALL(IF(_Helpers!$E$2:$E$151=1,ROW(_Helpers!$E$2:$E$151)),ROWS($A$4:A134)),"")</f>
        <v/>
      </c>
      <c r="I134" s="2" t="n"/>
      <c r="J134" s="2" t="n"/>
    </row>
    <row r="135">
      <c r="A135" s="23">
        <f>IF($H135="","",INDEX(_Helpers!$A$2:$A$151,$H135-2+1))</f>
        <v/>
      </c>
      <c r="B135" s="23">
        <f>IF($H135="","",INDEX(_Helpers!$D$2:$D$151,$H135-2+1))</f>
        <v/>
      </c>
      <c r="C135" s="24">
        <f>IF($H135="","",INDEX(_Helpers!$B$2:$B$151,$H135-2+1))</f>
        <v/>
      </c>
      <c r="D135" s="24">
        <f>IF($H135="","",INDEX(_Helpers!$C$2:$C$151,$H135-2+1))</f>
        <v/>
      </c>
      <c r="E135" s="24">
        <f>IF($H135="","",INDEX(_Helpers!$L$2:$L$151,$H135-2+1))</f>
        <v/>
      </c>
      <c r="F135" s="25">
        <f>IF($H135="","",INDEX(_Helpers!$M$2:$M$151,$H135-2+1))</f>
        <v/>
      </c>
      <c r="G135" s="2" t="n"/>
      <c r="H135" s="17">
        <f t="array" ref="H135">IFERROR(SMALL(IF(_Helpers!$E$2:$E$151=1,ROW(_Helpers!$E$2:$E$151)),ROWS($A$4:A135)),"")</f>
        <v/>
      </c>
      <c r="I135" s="2" t="n"/>
      <c r="J135" s="2" t="n"/>
    </row>
    <row r="136">
      <c r="A136" s="23">
        <f>IF($H136="","",INDEX(_Helpers!$A$2:$A$151,$H136-2+1))</f>
        <v/>
      </c>
      <c r="B136" s="23">
        <f>IF($H136="","",INDEX(_Helpers!$D$2:$D$151,$H136-2+1))</f>
        <v/>
      </c>
      <c r="C136" s="24">
        <f>IF($H136="","",INDEX(_Helpers!$B$2:$B$151,$H136-2+1))</f>
        <v/>
      </c>
      <c r="D136" s="24">
        <f>IF($H136="","",INDEX(_Helpers!$C$2:$C$151,$H136-2+1))</f>
        <v/>
      </c>
      <c r="E136" s="24">
        <f>IF($H136="","",INDEX(_Helpers!$L$2:$L$151,$H136-2+1))</f>
        <v/>
      </c>
      <c r="F136" s="25">
        <f>IF($H136="","",INDEX(_Helpers!$M$2:$M$151,$H136-2+1))</f>
        <v/>
      </c>
      <c r="G136" s="2" t="n"/>
      <c r="H136" s="17">
        <f t="array" ref="H136">IFERROR(SMALL(IF(_Helpers!$E$2:$E$151=1,ROW(_Helpers!$E$2:$E$151)),ROWS($A$4:A136)),"")</f>
        <v/>
      </c>
      <c r="I136" s="2" t="n"/>
      <c r="J136" s="2" t="n"/>
    </row>
    <row r="137">
      <c r="A137" s="23">
        <f>IF($H137="","",INDEX(_Helpers!$A$2:$A$151,$H137-2+1))</f>
        <v/>
      </c>
      <c r="B137" s="23">
        <f>IF($H137="","",INDEX(_Helpers!$D$2:$D$151,$H137-2+1))</f>
        <v/>
      </c>
      <c r="C137" s="24">
        <f>IF($H137="","",INDEX(_Helpers!$B$2:$B$151,$H137-2+1))</f>
        <v/>
      </c>
      <c r="D137" s="24">
        <f>IF($H137="","",INDEX(_Helpers!$C$2:$C$151,$H137-2+1))</f>
        <v/>
      </c>
      <c r="E137" s="24">
        <f>IF($H137="","",INDEX(_Helpers!$L$2:$L$151,$H137-2+1))</f>
        <v/>
      </c>
      <c r="F137" s="25">
        <f>IF($H137="","",INDEX(_Helpers!$M$2:$M$151,$H137-2+1))</f>
        <v/>
      </c>
      <c r="G137" s="2" t="n"/>
      <c r="H137" s="17">
        <f t="array" ref="H137">IFERROR(SMALL(IF(_Helpers!$E$2:$E$151=1,ROW(_Helpers!$E$2:$E$151)),ROWS($A$4:A137)),"")</f>
        <v/>
      </c>
      <c r="I137" s="2" t="n"/>
      <c r="J137" s="2" t="n"/>
    </row>
    <row r="138">
      <c r="A138" s="23">
        <f>IF($H138="","",INDEX(_Helpers!$A$2:$A$151,$H138-2+1))</f>
        <v/>
      </c>
      <c r="B138" s="23">
        <f>IF($H138="","",INDEX(_Helpers!$D$2:$D$151,$H138-2+1))</f>
        <v/>
      </c>
      <c r="C138" s="24">
        <f>IF($H138="","",INDEX(_Helpers!$B$2:$B$151,$H138-2+1))</f>
        <v/>
      </c>
      <c r="D138" s="24">
        <f>IF($H138="","",INDEX(_Helpers!$C$2:$C$151,$H138-2+1))</f>
        <v/>
      </c>
      <c r="E138" s="24">
        <f>IF($H138="","",INDEX(_Helpers!$L$2:$L$151,$H138-2+1))</f>
        <v/>
      </c>
      <c r="F138" s="25">
        <f>IF($H138="","",INDEX(_Helpers!$M$2:$M$151,$H138-2+1))</f>
        <v/>
      </c>
      <c r="G138" s="2" t="n"/>
      <c r="H138" s="17">
        <f t="array" ref="H138">IFERROR(SMALL(IF(_Helpers!$E$2:$E$151=1,ROW(_Helpers!$E$2:$E$151)),ROWS($A$4:A138)),"")</f>
        <v/>
      </c>
      <c r="I138" s="2" t="n"/>
      <c r="J138" s="2" t="n"/>
    </row>
    <row r="139">
      <c r="A139" s="23">
        <f>IF($H139="","",INDEX(_Helpers!$A$2:$A$151,$H139-2+1))</f>
        <v/>
      </c>
      <c r="B139" s="23">
        <f>IF($H139="","",INDEX(_Helpers!$D$2:$D$151,$H139-2+1))</f>
        <v/>
      </c>
      <c r="C139" s="24">
        <f>IF($H139="","",INDEX(_Helpers!$B$2:$B$151,$H139-2+1))</f>
        <v/>
      </c>
      <c r="D139" s="24">
        <f>IF($H139="","",INDEX(_Helpers!$C$2:$C$151,$H139-2+1))</f>
        <v/>
      </c>
      <c r="E139" s="24">
        <f>IF($H139="","",INDEX(_Helpers!$L$2:$L$151,$H139-2+1))</f>
        <v/>
      </c>
      <c r="F139" s="25">
        <f>IF($H139="","",INDEX(_Helpers!$M$2:$M$151,$H139-2+1))</f>
        <v/>
      </c>
      <c r="G139" s="2" t="n"/>
      <c r="H139" s="17">
        <f t="array" ref="H139">IFERROR(SMALL(IF(_Helpers!$E$2:$E$151=1,ROW(_Helpers!$E$2:$E$151)),ROWS($A$4:A139)),"")</f>
        <v/>
      </c>
      <c r="I139" s="2" t="n"/>
      <c r="J139" s="2" t="n"/>
    </row>
    <row r="140">
      <c r="A140" s="23">
        <f>IF($H140="","",INDEX(_Helpers!$A$2:$A$151,$H140-2+1))</f>
        <v/>
      </c>
      <c r="B140" s="23">
        <f>IF($H140="","",INDEX(_Helpers!$D$2:$D$151,$H140-2+1))</f>
        <v/>
      </c>
      <c r="C140" s="24">
        <f>IF($H140="","",INDEX(_Helpers!$B$2:$B$151,$H140-2+1))</f>
        <v/>
      </c>
      <c r="D140" s="24">
        <f>IF($H140="","",INDEX(_Helpers!$C$2:$C$151,$H140-2+1))</f>
        <v/>
      </c>
      <c r="E140" s="24">
        <f>IF($H140="","",INDEX(_Helpers!$L$2:$L$151,$H140-2+1))</f>
        <v/>
      </c>
      <c r="F140" s="25">
        <f>IF($H140="","",INDEX(_Helpers!$M$2:$M$151,$H140-2+1))</f>
        <v/>
      </c>
      <c r="G140" s="2" t="n"/>
      <c r="H140" s="17">
        <f t="array" ref="H140">IFERROR(SMALL(IF(_Helpers!$E$2:$E$151=1,ROW(_Helpers!$E$2:$E$151)),ROWS($A$4:A140)),"")</f>
        <v/>
      </c>
      <c r="I140" s="2" t="n"/>
      <c r="J140" s="2" t="n"/>
    </row>
    <row r="141">
      <c r="A141" s="23">
        <f>IF($H141="","",INDEX(_Helpers!$A$2:$A$151,$H141-2+1))</f>
        <v/>
      </c>
      <c r="B141" s="23">
        <f>IF($H141="","",INDEX(_Helpers!$D$2:$D$151,$H141-2+1))</f>
        <v/>
      </c>
      <c r="C141" s="24">
        <f>IF($H141="","",INDEX(_Helpers!$B$2:$B$151,$H141-2+1))</f>
        <v/>
      </c>
      <c r="D141" s="24">
        <f>IF($H141="","",INDEX(_Helpers!$C$2:$C$151,$H141-2+1))</f>
        <v/>
      </c>
      <c r="E141" s="24">
        <f>IF($H141="","",INDEX(_Helpers!$L$2:$L$151,$H141-2+1))</f>
        <v/>
      </c>
      <c r="F141" s="25">
        <f>IF($H141="","",INDEX(_Helpers!$M$2:$M$151,$H141-2+1))</f>
        <v/>
      </c>
      <c r="G141" s="2" t="n"/>
      <c r="H141" s="17">
        <f t="array" ref="H141">IFERROR(SMALL(IF(_Helpers!$E$2:$E$151=1,ROW(_Helpers!$E$2:$E$151)),ROWS($A$4:A141)),"")</f>
        <v/>
      </c>
      <c r="I141" s="2" t="n"/>
      <c r="J141" s="2" t="n"/>
    </row>
    <row r="142">
      <c r="A142" s="23">
        <f>IF($H142="","",INDEX(_Helpers!$A$2:$A$151,$H142-2+1))</f>
        <v/>
      </c>
      <c r="B142" s="23">
        <f>IF($H142="","",INDEX(_Helpers!$D$2:$D$151,$H142-2+1))</f>
        <v/>
      </c>
      <c r="C142" s="24">
        <f>IF($H142="","",INDEX(_Helpers!$B$2:$B$151,$H142-2+1))</f>
        <v/>
      </c>
      <c r="D142" s="24">
        <f>IF($H142="","",INDEX(_Helpers!$C$2:$C$151,$H142-2+1))</f>
        <v/>
      </c>
      <c r="E142" s="24">
        <f>IF($H142="","",INDEX(_Helpers!$L$2:$L$151,$H142-2+1))</f>
        <v/>
      </c>
      <c r="F142" s="25">
        <f>IF($H142="","",INDEX(_Helpers!$M$2:$M$151,$H142-2+1))</f>
        <v/>
      </c>
      <c r="G142" s="2" t="n"/>
      <c r="H142" s="17">
        <f t="array" ref="H142">IFERROR(SMALL(IF(_Helpers!$E$2:$E$151=1,ROW(_Helpers!$E$2:$E$151)),ROWS($A$4:A142)),"")</f>
        <v/>
      </c>
      <c r="I142" s="2" t="n"/>
      <c r="J142" s="2" t="n"/>
    </row>
    <row r="143">
      <c r="A143" s="23">
        <f>IF($H143="","",INDEX(_Helpers!$A$2:$A$151,$H143-2+1))</f>
        <v/>
      </c>
      <c r="B143" s="23">
        <f>IF($H143="","",INDEX(_Helpers!$D$2:$D$151,$H143-2+1))</f>
        <v/>
      </c>
      <c r="C143" s="24">
        <f>IF($H143="","",INDEX(_Helpers!$B$2:$B$151,$H143-2+1))</f>
        <v/>
      </c>
      <c r="D143" s="24">
        <f>IF($H143="","",INDEX(_Helpers!$C$2:$C$151,$H143-2+1))</f>
        <v/>
      </c>
      <c r="E143" s="24">
        <f>IF($H143="","",INDEX(_Helpers!$L$2:$L$151,$H143-2+1))</f>
        <v/>
      </c>
      <c r="F143" s="25">
        <f>IF($H143="","",INDEX(_Helpers!$M$2:$M$151,$H143-2+1))</f>
        <v/>
      </c>
      <c r="G143" s="2" t="n"/>
      <c r="H143" s="17">
        <f t="array" ref="H143">IFERROR(SMALL(IF(_Helpers!$E$2:$E$151=1,ROW(_Helpers!$E$2:$E$151)),ROWS($A$4:A143)),"")</f>
        <v/>
      </c>
      <c r="I143" s="2" t="n"/>
      <c r="J143" s="2" t="n"/>
    </row>
    <row r="144">
      <c r="A144" s="23">
        <f>IF($H144="","",INDEX(_Helpers!$A$2:$A$151,$H144-2+1))</f>
        <v/>
      </c>
      <c r="B144" s="23">
        <f>IF($H144="","",INDEX(_Helpers!$D$2:$D$151,$H144-2+1))</f>
        <v/>
      </c>
      <c r="C144" s="24">
        <f>IF($H144="","",INDEX(_Helpers!$B$2:$B$151,$H144-2+1))</f>
        <v/>
      </c>
      <c r="D144" s="24">
        <f>IF($H144="","",INDEX(_Helpers!$C$2:$C$151,$H144-2+1))</f>
        <v/>
      </c>
      <c r="E144" s="24">
        <f>IF($H144="","",INDEX(_Helpers!$L$2:$L$151,$H144-2+1))</f>
        <v/>
      </c>
      <c r="F144" s="25">
        <f>IF($H144="","",INDEX(_Helpers!$M$2:$M$151,$H144-2+1))</f>
        <v/>
      </c>
      <c r="G144" s="2" t="n"/>
      <c r="H144" s="17">
        <f t="array" ref="H144">IFERROR(SMALL(IF(_Helpers!$E$2:$E$151=1,ROW(_Helpers!$E$2:$E$151)),ROWS($A$4:A144)),"")</f>
        <v/>
      </c>
      <c r="I144" s="2" t="n"/>
      <c r="J144" s="2" t="n"/>
    </row>
    <row r="145">
      <c r="A145" s="23">
        <f>IF($H145="","",INDEX(_Helpers!$A$2:$A$151,$H145-2+1))</f>
        <v/>
      </c>
      <c r="B145" s="23">
        <f>IF($H145="","",INDEX(_Helpers!$D$2:$D$151,$H145-2+1))</f>
        <v/>
      </c>
      <c r="C145" s="24">
        <f>IF($H145="","",INDEX(_Helpers!$B$2:$B$151,$H145-2+1))</f>
        <v/>
      </c>
      <c r="D145" s="24">
        <f>IF($H145="","",INDEX(_Helpers!$C$2:$C$151,$H145-2+1))</f>
        <v/>
      </c>
      <c r="E145" s="24">
        <f>IF($H145="","",INDEX(_Helpers!$L$2:$L$151,$H145-2+1))</f>
        <v/>
      </c>
      <c r="F145" s="25">
        <f>IF($H145="","",INDEX(_Helpers!$M$2:$M$151,$H145-2+1))</f>
        <v/>
      </c>
      <c r="G145" s="2" t="n"/>
      <c r="H145" s="17">
        <f t="array" ref="H145">IFERROR(SMALL(IF(_Helpers!$E$2:$E$151=1,ROW(_Helpers!$E$2:$E$151)),ROWS($A$4:A145)),"")</f>
        <v/>
      </c>
      <c r="I145" s="2" t="n"/>
      <c r="J145" s="2" t="n"/>
    </row>
    <row r="146">
      <c r="A146" s="23">
        <f>IF($H146="","",INDEX(_Helpers!$A$2:$A$151,$H146-2+1))</f>
        <v/>
      </c>
      <c r="B146" s="23">
        <f>IF($H146="","",INDEX(_Helpers!$D$2:$D$151,$H146-2+1))</f>
        <v/>
      </c>
      <c r="C146" s="24">
        <f>IF($H146="","",INDEX(_Helpers!$B$2:$B$151,$H146-2+1))</f>
        <v/>
      </c>
      <c r="D146" s="24">
        <f>IF($H146="","",INDEX(_Helpers!$C$2:$C$151,$H146-2+1))</f>
        <v/>
      </c>
      <c r="E146" s="24">
        <f>IF($H146="","",INDEX(_Helpers!$L$2:$L$151,$H146-2+1))</f>
        <v/>
      </c>
      <c r="F146" s="25">
        <f>IF($H146="","",INDEX(_Helpers!$M$2:$M$151,$H146-2+1))</f>
        <v/>
      </c>
      <c r="G146" s="2" t="n"/>
      <c r="H146" s="17">
        <f t="array" ref="H146">IFERROR(SMALL(IF(_Helpers!$E$2:$E$151=1,ROW(_Helpers!$E$2:$E$151)),ROWS($A$4:A146)),"")</f>
        <v/>
      </c>
      <c r="I146" s="2" t="n"/>
      <c r="J146" s="2" t="n"/>
    </row>
    <row r="147">
      <c r="A147" s="23">
        <f>IF($H147="","",INDEX(_Helpers!$A$2:$A$151,$H147-2+1))</f>
        <v/>
      </c>
      <c r="B147" s="23">
        <f>IF($H147="","",INDEX(_Helpers!$D$2:$D$151,$H147-2+1))</f>
        <v/>
      </c>
      <c r="C147" s="24">
        <f>IF($H147="","",INDEX(_Helpers!$B$2:$B$151,$H147-2+1))</f>
        <v/>
      </c>
      <c r="D147" s="24">
        <f>IF($H147="","",INDEX(_Helpers!$C$2:$C$151,$H147-2+1))</f>
        <v/>
      </c>
      <c r="E147" s="24">
        <f>IF($H147="","",INDEX(_Helpers!$L$2:$L$151,$H147-2+1))</f>
        <v/>
      </c>
      <c r="F147" s="25">
        <f>IF($H147="","",INDEX(_Helpers!$M$2:$M$151,$H147-2+1))</f>
        <v/>
      </c>
      <c r="G147" s="2" t="n"/>
      <c r="H147" s="17">
        <f t="array" ref="H147">IFERROR(SMALL(IF(_Helpers!$E$2:$E$151=1,ROW(_Helpers!$E$2:$E$151)),ROWS($A$4:A147)),"")</f>
        <v/>
      </c>
      <c r="I147" s="2" t="n"/>
      <c r="J147" s="2" t="n"/>
    </row>
    <row r="148">
      <c r="A148" s="23">
        <f>IF($H148="","",INDEX(_Helpers!$A$2:$A$151,$H148-2+1))</f>
        <v/>
      </c>
      <c r="B148" s="23">
        <f>IF($H148="","",INDEX(_Helpers!$D$2:$D$151,$H148-2+1))</f>
        <v/>
      </c>
      <c r="C148" s="24">
        <f>IF($H148="","",INDEX(_Helpers!$B$2:$B$151,$H148-2+1))</f>
        <v/>
      </c>
      <c r="D148" s="24">
        <f>IF($H148="","",INDEX(_Helpers!$C$2:$C$151,$H148-2+1))</f>
        <v/>
      </c>
      <c r="E148" s="24">
        <f>IF($H148="","",INDEX(_Helpers!$L$2:$L$151,$H148-2+1))</f>
        <v/>
      </c>
      <c r="F148" s="25">
        <f>IF($H148="","",INDEX(_Helpers!$M$2:$M$151,$H148-2+1))</f>
        <v/>
      </c>
      <c r="G148" s="2" t="n"/>
      <c r="H148" s="17">
        <f t="array" ref="H148">IFERROR(SMALL(IF(_Helpers!$E$2:$E$151=1,ROW(_Helpers!$E$2:$E$151)),ROWS($A$4:A148)),"")</f>
        <v/>
      </c>
      <c r="I148" s="2" t="n"/>
      <c r="J148" s="2" t="n"/>
    </row>
    <row r="149">
      <c r="A149" s="23">
        <f>IF($H149="","",INDEX(_Helpers!$A$2:$A$151,$H149-2+1))</f>
        <v/>
      </c>
      <c r="B149" s="23">
        <f>IF($H149="","",INDEX(_Helpers!$D$2:$D$151,$H149-2+1))</f>
        <v/>
      </c>
      <c r="C149" s="24">
        <f>IF($H149="","",INDEX(_Helpers!$B$2:$B$151,$H149-2+1))</f>
        <v/>
      </c>
      <c r="D149" s="24">
        <f>IF($H149="","",INDEX(_Helpers!$C$2:$C$151,$H149-2+1))</f>
        <v/>
      </c>
      <c r="E149" s="24">
        <f>IF($H149="","",INDEX(_Helpers!$L$2:$L$151,$H149-2+1))</f>
        <v/>
      </c>
      <c r="F149" s="25">
        <f>IF($H149="","",INDEX(_Helpers!$M$2:$M$151,$H149-2+1))</f>
        <v/>
      </c>
      <c r="G149" s="2" t="n"/>
      <c r="H149" s="17">
        <f t="array" ref="H149">IFERROR(SMALL(IF(_Helpers!$E$2:$E$151=1,ROW(_Helpers!$E$2:$E$151)),ROWS($A$4:A149)),"")</f>
        <v/>
      </c>
      <c r="I149" s="2" t="n"/>
      <c r="J149" s="2" t="n"/>
    </row>
    <row r="150">
      <c r="A150" s="23">
        <f>IF($H150="","",INDEX(_Helpers!$A$2:$A$151,$H150-2+1))</f>
        <v/>
      </c>
      <c r="B150" s="23">
        <f>IF($H150="","",INDEX(_Helpers!$D$2:$D$151,$H150-2+1))</f>
        <v/>
      </c>
      <c r="C150" s="24">
        <f>IF($H150="","",INDEX(_Helpers!$B$2:$B$151,$H150-2+1))</f>
        <v/>
      </c>
      <c r="D150" s="24">
        <f>IF($H150="","",INDEX(_Helpers!$C$2:$C$151,$H150-2+1))</f>
        <v/>
      </c>
      <c r="E150" s="24">
        <f>IF($H150="","",INDEX(_Helpers!$L$2:$L$151,$H150-2+1))</f>
        <v/>
      </c>
      <c r="F150" s="25">
        <f>IF($H150="","",INDEX(_Helpers!$M$2:$M$151,$H150-2+1))</f>
        <v/>
      </c>
      <c r="G150" s="2" t="n"/>
      <c r="H150" s="17">
        <f t="array" ref="H150">IFERROR(SMALL(IF(_Helpers!$E$2:$E$151=1,ROW(_Helpers!$E$2:$E$151)),ROWS($A$4:A150)),"")</f>
        <v/>
      </c>
      <c r="I150" s="2" t="n"/>
      <c r="J150" s="2" t="n"/>
    </row>
    <row r="151">
      <c r="A151" s="23">
        <f>IF($H151="","",INDEX(_Helpers!$A$2:$A$151,$H151-2+1))</f>
        <v/>
      </c>
      <c r="B151" s="23">
        <f>IF($H151="","",INDEX(_Helpers!$D$2:$D$151,$H151-2+1))</f>
        <v/>
      </c>
      <c r="C151" s="24">
        <f>IF($H151="","",INDEX(_Helpers!$B$2:$B$151,$H151-2+1))</f>
        <v/>
      </c>
      <c r="D151" s="24">
        <f>IF($H151="","",INDEX(_Helpers!$C$2:$C$151,$H151-2+1))</f>
        <v/>
      </c>
      <c r="E151" s="24">
        <f>IF($H151="","",INDEX(_Helpers!$L$2:$L$151,$H151-2+1))</f>
        <v/>
      </c>
      <c r="F151" s="25">
        <f>IF($H151="","",INDEX(_Helpers!$M$2:$M$151,$H151-2+1))</f>
        <v/>
      </c>
      <c r="G151" s="2" t="n"/>
      <c r="H151" s="17">
        <f t="array" ref="H151">IFERROR(SMALL(IF(_Helpers!$E$2:$E$151=1,ROW(_Helpers!$E$2:$E$151)),ROWS($A$4:A151)),"")</f>
        <v/>
      </c>
      <c r="I151" s="2" t="n"/>
      <c r="J151" s="2" t="n"/>
    </row>
    <row r="152">
      <c r="A152" s="23">
        <f>IF($H152="","",INDEX(_Helpers!$A$2:$A$151,$H152-2+1))</f>
        <v/>
      </c>
      <c r="B152" s="23">
        <f>IF($H152="","",INDEX(_Helpers!$D$2:$D$151,$H152-2+1))</f>
        <v/>
      </c>
      <c r="C152" s="24">
        <f>IF($H152="","",INDEX(_Helpers!$B$2:$B$151,$H152-2+1))</f>
        <v/>
      </c>
      <c r="D152" s="24">
        <f>IF($H152="","",INDEX(_Helpers!$C$2:$C$151,$H152-2+1))</f>
        <v/>
      </c>
      <c r="E152" s="24">
        <f>IF($H152="","",INDEX(_Helpers!$L$2:$L$151,$H152-2+1))</f>
        <v/>
      </c>
      <c r="F152" s="25">
        <f>IF($H152="","",INDEX(_Helpers!$M$2:$M$151,$H152-2+1))</f>
        <v/>
      </c>
      <c r="G152" s="2" t="n"/>
      <c r="H152" s="17">
        <f t="array" ref="H152">IFERROR(SMALL(IF(_Helpers!$E$2:$E$151=1,ROW(_Helpers!$E$2:$E$151)),ROWS($A$4:A152)),"")</f>
        <v/>
      </c>
      <c r="I152" s="2" t="n"/>
      <c r="J152" s="2" t="n"/>
    </row>
    <row r="153">
      <c r="A153" s="23">
        <f>IF($H153="","",INDEX(_Helpers!$A$2:$A$151,$H153-2+1))</f>
        <v/>
      </c>
      <c r="B153" s="23">
        <f>IF($H153="","",INDEX(_Helpers!$D$2:$D$151,$H153-2+1))</f>
        <v/>
      </c>
      <c r="C153" s="24">
        <f>IF($H153="","",INDEX(_Helpers!$B$2:$B$151,$H153-2+1))</f>
        <v/>
      </c>
      <c r="D153" s="24">
        <f>IF($H153="","",INDEX(_Helpers!$C$2:$C$151,$H153-2+1))</f>
        <v/>
      </c>
      <c r="E153" s="24">
        <f>IF($H153="","",INDEX(_Helpers!$L$2:$L$151,$H153-2+1))</f>
        <v/>
      </c>
      <c r="F153" s="25">
        <f>IF($H153="","",INDEX(_Helpers!$M$2:$M$151,$H153-2+1))</f>
        <v/>
      </c>
      <c r="G153" s="2" t="n"/>
      <c r="H153" s="17">
        <f t="array" ref="H153">IFERROR(SMALL(IF(_Helpers!$E$2:$E$151=1,ROW(_Helpers!$E$2:$E$151)),ROWS($A$4:A153)),"")</f>
        <v/>
      </c>
      <c r="I153" s="2" t="n"/>
      <c r="J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</row>
  </sheetData>
  <autoFilter ref="A3:F153"/>
  <mergeCells count="2">
    <mergeCell ref="A2:G2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3D315D"/>
    <outlinePr summaryBelow="1" summaryRight="1"/>
    <pageSetUpPr/>
  </sheetPr>
  <dimension ref="A1:H40"/>
  <sheetViews>
    <sheetView showGridLines="0" workbookViewId="0">
      <pane ySplit="18" topLeftCell="A19" activePane="bottomLeft" state="frozen"/>
      <selection pane="bottomLeft"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  <col width="13" customWidth="1" min="4" max="4"/>
    <col width="12" customWidth="1" min="5" max="5"/>
    <col width="10" customWidth="1" min="6" max="6"/>
  </cols>
  <sheetData>
    <row r="1">
      <c r="A1" s="1" t="inlineStr">
        <is>
          <t>Drilldown - Inspect a Payroll Number</t>
        </is>
      </c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4" t="inlineStr">
        <is>
          <t>Enter Payroll Number:</t>
        </is>
      </c>
      <c r="B3" s="2" t="n"/>
      <c r="C3" s="7" t="n"/>
      <c r="D3" s="2" t="n"/>
      <c r="E3" s="2" t="n"/>
      <c r="F3" s="2" t="n"/>
      <c r="G3" s="2" t="n"/>
      <c r="H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</row>
    <row r="5">
      <c r="A5" s="4" t="inlineStr">
        <is>
          <t>Practice</t>
        </is>
      </c>
      <c r="B5" s="2" t="n"/>
      <c r="C5" s="28">
        <f>IFERROR(INDEX(_Helpers!$D$2:$D$151,MATCH($C$3,_Helpers!$A$2:$A$151,0)),"Not found")</f>
        <v/>
      </c>
      <c r="D5" s="2" t="n"/>
      <c r="E5" s="2" t="n"/>
      <c r="F5" s="2" t="n"/>
      <c r="G5" s="2" t="n"/>
      <c r="H5" s="2" t="n"/>
    </row>
    <row r="6">
      <c r="A6" s="4" t="inlineStr">
        <is>
          <t>Status</t>
        </is>
      </c>
      <c r="B6" s="2" t="n"/>
      <c r="C6" s="28">
        <f>IFERROR(INDEX(_Helpers!$P$2:$P$151,MATCH($C$3,_Helpers!$A$2:$A$151,0)),"Not found")</f>
        <v/>
      </c>
      <c r="D6" s="2" t="n"/>
      <c r="E6" s="2" t="n"/>
      <c r="F6" s="2" t="n"/>
      <c r="G6" s="2" t="n"/>
      <c r="H6" s="2" t="n"/>
    </row>
    <row r="7">
      <c r="A7" s="4" t="inlineStr">
        <is>
          <t>Starter?</t>
        </is>
      </c>
      <c r="B7" s="2" t="n"/>
      <c r="C7" s="28">
        <f>IF(N(IFERROR(INDEX(_Helpers!$G$2:$G$151,MATCH($C$3,_Helpers!$A$2:$A$151,0)),"Not found"))=1,"Yes","No")</f>
        <v/>
      </c>
      <c r="D7" s="2" t="n"/>
      <c r="E7" s="2" t="n"/>
      <c r="F7" s="2" t="n"/>
      <c r="G7" s="2" t="n"/>
      <c r="H7" s="2" t="n"/>
    </row>
    <row r="8">
      <c r="A8" s="4" t="inlineStr">
        <is>
          <t>Leaver?</t>
        </is>
      </c>
      <c r="B8" s="2" t="n"/>
      <c r="C8" s="28">
        <f>IF(N(IFERROR(INDEX(_Helpers!$H$2:$H$151,MATCH($C$3,_Helpers!$A$2:$A$151,0)),"Not found"))=1,"Yes","No")</f>
        <v/>
      </c>
      <c r="D8" s="2" t="n"/>
      <c r="E8" s="2" t="n"/>
      <c r="F8" s="2" t="n"/>
      <c r="G8" s="2" t="n"/>
      <c r="H8" s="2" t="n"/>
    </row>
    <row r="9">
      <c r="A9" s="4" t="inlineStr">
        <is>
          <t>Zero Hours contract?</t>
        </is>
      </c>
      <c r="B9" s="2" t="n"/>
      <c r="C9" s="28">
        <f>IF(N(IFERROR(INDEX(_Helpers!$E$2:$E$151,MATCH($C$3,_Helpers!$A$2:$A$151,0)),"Not found"))=1,"Yes","No")</f>
        <v/>
      </c>
      <c r="D9" s="2" t="n"/>
      <c r="E9" s="2" t="n"/>
      <c r="F9" s="2" t="n"/>
      <c r="G9" s="2" t="n"/>
      <c r="H9" s="2" t="n"/>
    </row>
    <row r="10">
      <c r="A10" s="4" t="inlineStr">
        <is>
          <t>Prior Net</t>
        </is>
      </c>
      <c r="B10" s="2" t="n"/>
      <c r="C10" s="29">
        <f>IFERROR(INDEX(_Helpers!$B$2:$B$151,MATCH($C$3,_Helpers!$A$2:$A$151,0)),"Not found")</f>
        <v/>
      </c>
      <c r="D10" s="2" t="n"/>
      <c r="E10" s="2" t="n"/>
      <c r="F10" s="2" t="n"/>
      <c r="G10" s="2" t="n"/>
      <c r="H10" s="2" t="n"/>
    </row>
    <row r="11">
      <c r="A11" s="4" t="inlineStr">
        <is>
          <t>Current Net</t>
        </is>
      </c>
      <c r="B11" s="2" t="n"/>
      <c r="C11" s="29">
        <f>IFERROR(INDEX(_Helpers!$C$2:$C$151,MATCH($C$3,_Helpers!$A$2:$A$151,0)),"Not found")</f>
        <v/>
      </c>
      <c r="D11" s="2" t="n"/>
      <c r="E11" s="2" t="n"/>
      <c r="F11" s="2" t="n"/>
      <c r="G11" s="2" t="n"/>
      <c r="H11" s="2" t="n"/>
    </row>
    <row r="12">
      <c r="A12" s="4" t="inlineStr">
        <is>
          <t>Difference £</t>
        </is>
      </c>
      <c r="B12" s="2" t="n"/>
      <c r="C12" s="29">
        <f>IFERROR(INDEX(_Helpers!$L$2:$L$151,MATCH($C$3,_Helpers!$A$2:$A$151,0)),"Not found")</f>
        <v/>
      </c>
      <c r="D12" s="2" t="n"/>
      <c r="E12" s="2" t="n"/>
      <c r="F12" s="2" t="n"/>
      <c r="G12" s="2" t="n"/>
      <c r="H12" s="2" t="n"/>
    </row>
    <row r="13">
      <c r="A13" s="4" t="inlineStr">
        <is>
          <t>Difference %</t>
        </is>
      </c>
      <c r="B13" s="2" t="n"/>
      <c r="C13" s="30">
        <f>IFERROR(INDEX(_Helpers!$M$2:$M$151,MATCH($C$3,_Helpers!$A$2:$A$151,0)),"Not found")</f>
        <v/>
      </c>
      <c r="D13" s="2" t="n"/>
      <c r="E13" s="2" t="n"/>
      <c r="F13" s="2" t="n"/>
      <c r="G13" s="2" t="n"/>
      <c r="H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</row>
    <row r="15">
      <c r="A15" s="4" t="inlineStr">
        <is>
          <t>Tolerance applied</t>
        </is>
      </c>
      <c r="B15" s="2" t="n"/>
      <c r="C15" s="31">
        <f>IF(ISNUMBER(SEARCH("Head Office",C5)),'Control Sheet'!$C$6,'Control Sheet'!$C$5)</f>
        <v/>
      </c>
      <c r="D15" s="2" t="n"/>
      <c r="E15" s="2" t="n"/>
      <c r="F15" s="2" t="n"/>
      <c r="G15" s="2" t="n"/>
      <c r="H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</row>
    <row r="17">
      <c r="A17" s="3" t="inlineStr">
        <is>
          <t>All pay elements - both months compared</t>
        </is>
      </c>
      <c r="B17" s="2" t="n"/>
      <c r="C17" s="2" t="n"/>
      <c r="D17" s="2" t="n"/>
      <c r="E17" s="2" t="n"/>
      <c r="F17" s="2" t="n"/>
      <c r="G17" s="2" t="n"/>
      <c r="H17" s="2" t="n"/>
    </row>
    <row r="18" ht="22" customHeight="1">
      <c r="A18" s="14" t="inlineStr">
        <is>
          <t>Element</t>
        </is>
      </c>
      <c r="B18" s="14" t="inlineStr">
        <is>
          <t>Prior</t>
        </is>
      </c>
      <c r="C18" s="14" t="inlineStr">
        <is>
          <t>Current</t>
        </is>
      </c>
      <c r="D18" s="14" t="inlineStr">
        <is>
          <t>Difference</t>
        </is>
      </c>
      <c r="E18" s="14" t="inlineStr">
        <is>
          <t>Difference %</t>
        </is>
      </c>
      <c r="F18" s="14" t="inlineStr">
        <is>
          <t>CHECK</t>
        </is>
      </c>
      <c r="G18" s="2" t="n"/>
      <c r="H18" s="2" t="n"/>
    </row>
    <row r="19">
      <c r="A19" s="23" t="inlineStr">
        <is>
          <t>Total Gross</t>
        </is>
      </c>
      <c r="B19" s="24">
        <f>IF($C$3="","",SUMIFS('Payment Breakdown Prior'!$K$15:$K$164,'Payment Breakdown Prior'!$AE$15:$AE$164,$C$3))</f>
        <v/>
      </c>
      <c r="C19" s="24">
        <f>IF($C$3="","",SUMIFS('Payment Breakdown Current'!$K$15:$K$164,'Payment Breakdown Current'!$AE$15:$AE$164,$C$3))</f>
        <v/>
      </c>
      <c r="D19" s="24">
        <f>IF($C$3="","",C19-B19)</f>
        <v/>
      </c>
      <c r="E19" s="25">
        <f>IFERROR(D19/B19,"")</f>
        <v/>
      </c>
      <c r="F19" s="26">
        <f>IF($C$3="","",IF(AND(ABS(D19)&gt;='Control Sheet'!$C$7,OR(B19=0,AND(ISNUMBER(E19),ABS(E19)&gt;$C$15))),"CHECK",""))</f>
        <v/>
      </c>
      <c r="G19" s="2" t="n"/>
      <c r="H19" s="2" t="n"/>
    </row>
    <row r="20">
      <c r="A20" s="23" t="inlineStr">
        <is>
          <t>Taxable Gross</t>
        </is>
      </c>
      <c r="B20" s="24">
        <f>IF($C$3="","",SUMIFS('Payment Breakdown Prior'!$L$15:$L$164,'Payment Breakdown Prior'!$AE$15:$AE$164,$C$3))</f>
        <v/>
      </c>
      <c r="C20" s="24">
        <f>IF($C$3="","",SUMIFS('Payment Breakdown Current'!$L$15:$L$164,'Payment Breakdown Current'!$AE$15:$AE$164,$C$3))</f>
        <v/>
      </c>
      <c r="D20" s="24">
        <f>IF($C$3="","",C20-B20)</f>
        <v/>
      </c>
      <c r="E20" s="25">
        <f>IFERROR(D20/B20,"")</f>
        <v/>
      </c>
      <c r="F20" s="26">
        <f>IF($C$3="","",IF(AND(ABS(D20)&gt;='Control Sheet'!$C$7,OR(B20=0,AND(ISNUMBER(E20),ABS(E20)&gt;$C$15))),"CHECK",""))</f>
        <v/>
      </c>
      <c r="G20" s="2" t="n"/>
      <c r="H20" s="2" t="n"/>
    </row>
    <row r="21">
      <c r="A21" s="23" t="inlineStr">
        <is>
          <t>Pensionable Pay</t>
        </is>
      </c>
      <c r="B21" s="24">
        <f>IF($C$3="","",SUMIFS('Payment Breakdown Prior'!$M$15:$M$164,'Payment Breakdown Prior'!$AE$15:$AE$164,$C$3))</f>
        <v/>
      </c>
      <c r="C21" s="24">
        <f>IF($C$3="","",SUMIFS('Payment Breakdown Current'!$M$15:$M$164,'Payment Breakdown Current'!$AE$15:$AE$164,$C$3))</f>
        <v/>
      </c>
      <c r="D21" s="24">
        <f>IF($C$3="","",C21-B21)</f>
        <v/>
      </c>
      <c r="E21" s="25">
        <f>IFERROR(D21/B21,"")</f>
        <v/>
      </c>
      <c r="F21" s="26">
        <f>IF($C$3="","",IF(AND(ABS(D21)&gt;='Control Sheet'!$C$7,OR(B21=0,AND(ISNUMBER(E21),ABS(E21)&gt;$C$15))),"CHECK",""))</f>
        <v/>
      </c>
      <c r="G21" s="2" t="n"/>
      <c r="H21" s="2" t="n"/>
    </row>
    <row r="22">
      <c r="A22" s="23" t="inlineStr">
        <is>
          <t>Hours Paid</t>
        </is>
      </c>
      <c r="B22" s="24">
        <f>IF($C$3="","",SUMIFS('Payment Breakdown Prior'!$N$15:$N$164,'Payment Breakdown Prior'!$AE$15:$AE$164,$C$3))</f>
        <v/>
      </c>
      <c r="C22" s="24">
        <f>IF($C$3="","",SUMIFS('Payment Breakdown Current'!$N$15:$N$164,'Payment Breakdown Current'!$AE$15:$AE$164,$C$3))</f>
        <v/>
      </c>
      <c r="D22" s="24">
        <f>IF($C$3="","",C22-B22)</f>
        <v/>
      </c>
      <c r="E22" s="25">
        <f>IFERROR(D22/B22,"")</f>
        <v/>
      </c>
      <c r="F22" s="26">
        <f>IF($C$3="","",IF(AND(ABS(D22)&gt;='Control Sheet'!$C$7,OR(B22=0,AND(ISNUMBER(E22),ABS(E22)&gt;$C$15))),"CHECK",""))</f>
        <v/>
      </c>
      <c r="G22" s="2" t="n"/>
      <c r="H22" s="2" t="n"/>
    </row>
    <row r="23">
      <c r="A23" s="23" t="inlineStr">
        <is>
          <t>Net Pay After Rounding</t>
        </is>
      </c>
      <c r="B23" s="24">
        <f>IF($C$3="","",SUMIFS('Payment Breakdown Prior'!$O$15:$O$164,'Payment Breakdown Prior'!$AE$15:$AE$164,$C$3))</f>
        <v/>
      </c>
      <c r="C23" s="24">
        <f>IF($C$3="","",SUMIFS('Payment Breakdown Current'!$O$15:$O$164,'Payment Breakdown Current'!$AE$15:$AE$164,$C$3))</f>
        <v/>
      </c>
      <c r="D23" s="24">
        <f>IF($C$3="","",C23-B23)</f>
        <v/>
      </c>
      <c r="E23" s="25">
        <f>IFERROR(D23/B23,"")</f>
        <v/>
      </c>
      <c r="F23" s="26">
        <f>IF($C$3="","",IF(AND(ABS(D23)&gt;='Control Sheet'!$C$7,OR(B23=0,AND(ISNUMBER(E23),ABS(E23)&gt;$C$15))),"CHECK",""))</f>
        <v/>
      </c>
      <c r="G23" s="2" t="n"/>
      <c r="H23" s="2" t="n"/>
    </row>
    <row r="24">
      <c r="A24" s="23" t="inlineStr">
        <is>
          <t>Employer NI</t>
        </is>
      </c>
      <c r="B24" s="24">
        <f>IF($C$3="","",SUMIFS('Payment Breakdown Prior'!$P$15:$P$164,'Payment Breakdown Prior'!$AE$15:$AE$164,$C$3))</f>
        <v/>
      </c>
      <c r="C24" s="24">
        <f>IF($C$3="","",SUMIFS('Payment Breakdown Current'!$P$15:$P$164,'Payment Breakdown Current'!$AE$15:$AE$164,$C$3))</f>
        <v/>
      </c>
      <c r="D24" s="24">
        <f>IF($C$3="","",C24-B24)</f>
        <v/>
      </c>
      <c r="E24" s="25">
        <f>IFERROR(D24/B24,"")</f>
        <v/>
      </c>
      <c r="F24" s="26">
        <f>IF($C$3="","",IF(AND(ABS(D24)&gt;='Control Sheet'!$C$7,OR(B24=0,AND(ISNUMBER(E24),ABS(E24)&gt;$C$15))),"CHECK",""))</f>
        <v/>
      </c>
      <c r="G24" s="2" t="n"/>
      <c r="H24" s="2" t="n"/>
    </row>
    <row r="25">
      <c r="A25" s="23" t="inlineStr">
        <is>
          <t>Employer Pension</t>
        </is>
      </c>
      <c r="B25" s="24">
        <f>IF($C$3="","",SUMIFS('Payment Breakdown Prior'!$Q$15:$Q$164,'Payment Breakdown Prior'!$AE$15:$AE$164,$C$3))</f>
        <v/>
      </c>
      <c r="C25" s="24">
        <f>IF($C$3="","",SUMIFS('Payment Breakdown Current'!$Q$15:$Q$164,'Payment Breakdown Current'!$AE$15:$AE$164,$C$3))</f>
        <v/>
      </c>
      <c r="D25" s="24">
        <f>IF($C$3="","",C25-B25)</f>
        <v/>
      </c>
      <c r="E25" s="25">
        <f>IFERROR(D25/B25,"")</f>
        <v/>
      </c>
      <c r="F25" s="26">
        <f>IF($C$3="","",IF(AND(ABS(D25)&gt;='Control Sheet'!$C$7,OR(B25=0,AND(ISNUMBER(E25),ABS(E25)&gt;$C$15))),"CHECK",""))</f>
        <v/>
      </c>
      <c r="G25" s="2" t="n"/>
      <c r="H25" s="2" t="n"/>
    </row>
    <row r="26">
      <c r="A26" s="23" t="inlineStr">
        <is>
          <t>Apprenticeship Levy</t>
        </is>
      </c>
      <c r="B26" s="24">
        <f>IF($C$3="","",SUMIFS('Payment Breakdown Prior'!$R$15:$R$164,'Payment Breakdown Prior'!$AE$15:$AE$164,$C$3))</f>
        <v/>
      </c>
      <c r="C26" s="24">
        <f>IF($C$3="","",SUMIFS('Payment Breakdown Current'!$R$15:$R$164,'Payment Breakdown Current'!$AE$15:$AE$164,$C$3))</f>
        <v/>
      </c>
      <c r="D26" s="24">
        <f>IF($C$3="","",C26-B26)</f>
        <v/>
      </c>
      <c r="E26" s="25">
        <f>IFERROR(D26/B26,"")</f>
        <v/>
      </c>
      <c r="F26" s="26">
        <f>IF($C$3="","",IF(AND(ABS(D26)&gt;='Control Sheet'!$C$7,OR(B26=0,AND(ISNUMBER(E26),ABS(E26)&gt;$C$15))),"CHECK",""))</f>
        <v/>
      </c>
      <c r="G26" s="2" t="n"/>
      <c r="H26" s="2" t="n"/>
    </row>
    <row r="27">
      <c r="A27" s="23" t="inlineStr">
        <is>
          <t>Basic Salary</t>
        </is>
      </c>
      <c r="B27" s="24">
        <f>IF($C$3="","",SUMIFS('Payment Breakdown Prior'!$S$15:$S$164,'Payment Breakdown Prior'!$AE$15:$AE$164,$C$3))</f>
        <v/>
      </c>
      <c r="C27" s="24">
        <f>IF($C$3="","",SUMIFS('Payment Breakdown Current'!$S$15:$S$164,'Payment Breakdown Current'!$AE$15:$AE$164,$C$3))</f>
        <v/>
      </c>
      <c r="D27" s="24">
        <f>IF($C$3="","",C27-B27)</f>
        <v/>
      </c>
      <c r="E27" s="25">
        <f>IFERROR(D27/B27,"")</f>
        <v/>
      </c>
      <c r="F27" s="26">
        <f>IF($C$3="","",IF(AND(ABS(D27)&gt;='Control Sheet'!$C$7,OR(B27=0,AND(ISNUMBER(E27),ABS(E27)&gt;$C$15))),"CHECK",""))</f>
        <v/>
      </c>
      <c r="G27" s="2" t="n"/>
      <c r="H27" s="2" t="n"/>
    </row>
    <row r="28">
      <c r="A28" s="23" t="inlineStr">
        <is>
          <t>Overtime</t>
        </is>
      </c>
      <c r="B28" s="24">
        <f>IF($C$3="","",SUMIFS('Payment Breakdown Prior'!$T$15:$T$164,'Payment Breakdown Prior'!$AE$15:$AE$164,$C$3))</f>
        <v/>
      </c>
      <c r="C28" s="24">
        <f>IF($C$3="","",SUMIFS('Payment Breakdown Current'!$T$15:$T$164,'Payment Breakdown Current'!$AE$15:$AE$164,$C$3))</f>
        <v/>
      </c>
      <c r="D28" s="24">
        <f>IF($C$3="","",C28-B28)</f>
        <v/>
      </c>
      <c r="E28" s="25">
        <f>IFERROR(D28/B28,"")</f>
        <v/>
      </c>
      <c r="F28" s="26">
        <f>IF($C$3="","",IF(AND(ABS(D28)&gt;='Control Sheet'!$C$7,OR(B28=0,AND(ISNUMBER(E28),ABS(E28)&gt;$C$15))),"CHECK",""))</f>
        <v/>
      </c>
      <c r="G28" s="2" t="n"/>
      <c r="H28" s="2" t="n"/>
    </row>
    <row r="29">
      <c r="A29" s="23" t="inlineStr">
        <is>
          <t>Bonus</t>
        </is>
      </c>
      <c r="B29" s="24">
        <f>IF($C$3="","",SUMIFS('Payment Breakdown Prior'!$U$15:$U$164,'Payment Breakdown Prior'!$AE$15:$AE$164,$C$3))</f>
        <v/>
      </c>
      <c r="C29" s="24">
        <f>IF($C$3="","",SUMIFS('Payment Breakdown Current'!$U$15:$U$164,'Payment Breakdown Current'!$AE$15:$AE$164,$C$3))</f>
        <v/>
      </c>
      <c r="D29" s="24">
        <f>IF($C$3="","",C29-B29)</f>
        <v/>
      </c>
      <c r="E29" s="25">
        <f>IFERROR(D29/B29,"")</f>
        <v/>
      </c>
      <c r="F29" s="26">
        <f>IF($C$3="","",IF(AND(ABS(D29)&gt;='Control Sheet'!$C$7,OR(B29=0,AND(ISNUMBER(E29),ABS(E29)&gt;$C$15))),"CHECK",""))</f>
        <v/>
      </c>
      <c r="G29" s="2" t="n"/>
      <c r="H29" s="2" t="n"/>
    </row>
    <row r="30">
      <c r="A30" s="23" t="inlineStr">
        <is>
          <t>Mileage Expenses</t>
        </is>
      </c>
      <c r="B30" s="24">
        <f>IF($C$3="","",SUMIFS('Payment Breakdown Prior'!$V$15:$V$164,'Payment Breakdown Prior'!$AE$15:$AE$164,$C$3))</f>
        <v/>
      </c>
      <c r="C30" s="24">
        <f>IF($C$3="","",SUMIFS('Payment Breakdown Current'!$V$15:$V$164,'Payment Breakdown Current'!$AE$15:$AE$164,$C$3))</f>
        <v/>
      </c>
      <c r="D30" s="24">
        <f>IF($C$3="","",C30-B30)</f>
        <v/>
      </c>
      <c r="E30" s="25">
        <f>IFERROR(D30/B30,"")</f>
        <v/>
      </c>
      <c r="F30" s="26">
        <f>IF($C$3="","",IF(AND(ABS(D30)&gt;='Control Sheet'!$C$7,OR(B30=0,AND(ISNUMBER(E30),ABS(E30)&gt;$C$15))),"CHECK",""))</f>
        <v/>
      </c>
      <c r="G30" s="2" t="n"/>
      <c r="H30" s="2" t="n"/>
    </row>
    <row r="31">
      <c r="A31" s="23" t="inlineStr">
        <is>
          <t>Other Expenses</t>
        </is>
      </c>
      <c r="B31" s="24">
        <f>IF($C$3="","",SUMIFS('Payment Breakdown Prior'!$W$15:$W$164,'Payment Breakdown Prior'!$AE$15:$AE$164,$C$3))</f>
        <v/>
      </c>
      <c r="C31" s="24">
        <f>IF($C$3="","",SUMIFS('Payment Breakdown Current'!$W$15:$W$164,'Payment Breakdown Current'!$AE$15:$AE$164,$C$3))</f>
        <v/>
      </c>
      <c r="D31" s="24">
        <f>IF($C$3="","",C31-B31)</f>
        <v/>
      </c>
      <c r="E31" s="25">
        <f>IFERROR(D31/B31,"")</f>
        <v/>
      </c>
      <c r="F31" s="26">
        <f>IF($C$3="","",IF(AND(ABS(D31)&gt;='Control Sheet'!$C$7,OR(B31=0,AND(ISNUMBER(E31),ABS(E31)&gt;$C$15))),"CHECK",""))</f>
        <v/>
      </c>
      <c r="G31" s="2" t="n"/>
      <c r="H31" s="2" t="n"/>
    </row>
    <row r="32">
      <c r="A32" s="23" t="inlineStr">
        <is>
          <t>SMP</t>
        </is>
      </c>
      <c r="B32" s="24">
        <f>IF($C$3="","",SUMIFS('Payment Breakdown Prior'!$X$15:$X$164,'Payment Breakdown Prior'!$AE$15:$AE$164,$C$3))</f>
        <v/>
      </c>
      <c r="C32" s="24">
        <f>IF($C$3="","",SUMIFS('Payment Breakdown Current'!$X$15:$X$164,'Payment Breakdown Current'!$AE$15:$AE$164,$C$3))</f>
        <v/>
      </c>
      <c r="D32" s="24">
        <f>IF($C$3="","",C32-B32)</f>
        <v/>
      </c>
      <c r="E32" s="25">
        <f>IFERROR(D32/B32,"")</f>
        <v/>
      </c>
      <c r="F32" s="26">
        <f>IF($C$3="","",IF(AND(ABS(D32)&gt;='Control Sheet'!$C$7,OR(B32=0,AND(ISNUMBER(E32),ABS(E32)&gt;$C$15))),"CHECK",""))</f>
        <v/>
      </c>
      <c r="G32" s="2" t="n"/>
      <c r="H32" s="2" t="n"/>
    </row>
    <row r="33">
      <c r="A33" s="23" t="inlineStr">
        <is>
          <t>SSP</t>
        </is>
      </c>
      <c r="B33" s="24">
        <f>IF($C$3="","",SUMIFS('Payment Breakdown Prior'!$Y$15:$Y$164,'Payment Breakdown Prior'!$AE$15:$AE$164,$C$3))</f>
        <v/>
      </c>
      <c r="C33" s="24">
        <f>IF($C$3="","",SUMIFS('Payment Breakdown Current'!$Y$15:$Y$164,'Payment Breakdown Current'!$AE$15:$AE$164,$C$3))</f>
        <v/>
      </c>
      <c r="D33" s="24">
        <f>IF($C$3="","",C33-B33)</f>
        <v/>
      </c>
      <c r="E33" s="25">
        <f>IFERROR(D33/B33,"")</f>
        <v/>
      </c>
      <c r="F33" s="26">
        <f>IF($C$3="","",IF(AND(ABS(D33)&gt;='Control Sheet'!$C$7,OR(B33=0,AND(ISNUMBER(E33),ABS(E33)&gt;$C$15))),"CHECK",""))</f>
        <v/>
      </c>
      <c r="G33" s="2" t="n"/>
      <c r="H33" s="2" t="n"/>
    </row>
    <row r="34">
      <c r="A34" s="23" t="inlineStr">
        <is>
          <t>Pension Deduction</t>
        </is>
      </c>
      <c r="B34" s="24">
        <f>IF($C$3="","",SUMIFS('Payment Breakdown Prior'!$Z$15:$Z$164,'Payment Breakdown Prior'!$AE$15:$AE$164,$C$3))</f>
        <v/>
      </c>
      <c r="C34" s="24">
        <f>IF($C$3="","",SUMIFS('Payment Breakdown Current'!$Z$15:$Z$164,'Payment Breakdown Current'!$AE$15:$AE$164,$C$3))</f>
        <v/>
      </c>
      <c r="D34" s="24">
        <f>IF($C$3="","",C34-B34)</f>
        <v/>
      </c>
      <c r="E34" s="25">
        <f>IFERROR(D34/B34,"")</f>
        <v/>
      </c>
      <c r="F34" s="26">
        <f>IF($C$3="","",IF(AND(ABS(D34)&gt;='Control Sheet'!$C$7,OR(B34=0,AND(ISNUMBER(E34),ABS(E34)&gt;$C$15))),"CHECK",""))</f>
        <v/>
      </c>
      <c r="G34" s="2" t="n"/>
      <c r="H34" s="2" t="n"/>
    </row>
    <row r="35">
      <c r="A35" s="23" t="inlineStr">
        <is>
          <t>Student Loan</t>
        </is>
      </c>
      <c r="B35" s="24">
        <f>IF($C$3="","",SUMIFS('Payment Breakdown Prior'!$AA$15:$AA$164,'Payment Breakdown Prior'!$AE$15:$AE$164,$C$3))</f>
        <v/>
      </c>
      <c r="C35" s="24">
        <f>IF($C$3="","",SUMIFS('Payment Breakdown Current'!$AA$15:$AA$164,'Payment Breakdown Current'!$AE$15:$AE$164,$C$3))</f>
        <v/>
      </c>
      <c r="D35" s="24">
        <f>IF($C$3="","",C35-B35)</f>
        <v/>
      </c>
      <c r="E35" s="25">
        <f>IFERROR(D35/B35,"")</f>
        <v/>
      </c>
      <c r="F35" s="26">
        <f>IF($C$3="","",IF(AND(ABS(D35)&gt;='Control Sheet'!$C$7,OR(B35=0,AND(ISNUMBER(E35),ABS(E35)&gt;$C$15))),"CHECK",""))</f>
        <v/>
      </c>
      <c r="G35" s="2" t="n"/>
      <c r="H35" s="2" t="n"/>
    </row>
    <row r="36">
      <c r="A36" s="23" t="inlineStr">
        <is>
          <t>Attachment of Earnings</t>
        </is>
      </c>
      <c r="B36" s="24">
        <f>IF($C$3="","",SUMIFS('Payment Breakdown Prior'!$AB$15:$AB$164,'Payment Breakdown Prior'!$AE$15:$AE$164,$C$3))</f>
        <v/>
      </c>
      <c r="C36" s="24">
        <f>IF($C$3="","",SUMIFS('Payment Breakdown Current'!$AB$15:$AB$164,'Payment Breakdown Current'!$AE$15:$AE$164,$C$3))</f>
        <v/>
      </c>
      <c r="D36" s="24">
        <f>IF($C$3="","",C36-B36)</f>
        <v/>
      </c>
      <c r="E36" s="25">
        <f>IFERROR(D36/B36,"")</f>
        <v/>
      </c>
      <c r="F36" s="26">
        <f>IF($C$3="","",IF(AND(ABS(D36)&gt;='Control Sheet'!$C$7,OR(B36=0,AND(ISNUMBER(E36),ABS(E36)&gt;$C$15))),"CHECK",""))</f>
        <v/>
      </c>
      <c r="G36" s="2" t="n"/>
      <c r="H36" s="2" t="n"/>
    </row>
    <row r="37">
      <c r="A37" s="23" t="inlineStr">
        <is>
          <t>On Call Allowance</t>
        </is>
      </c>
      <c r="B37" s="24">
        <f>IF($C$3="","",SUMIFS('Payment Breakdown Prior'!$AC$15:$AC$164,'Payment Breakdown Prior'!$AE$15:$AE$164,$C$3))</f>
        <v/>
      </c>
      <c r="C37" s="24">
        <f>IF($C$3="","",SUMIFS('Payment Breakdown Current'!$AC$15:$AC$164,'Payment Breakdown Current'!$AE$15:$AE$164,$C$3))</f>
        <v/>
      </c>
      <c r="D37" s="24">
        <f>IF($C$3="","",C37-B37)</f>
        <v/>
      </c>
      <c r="E37" s="25">
        <f>IFERROR(D37/B37,"")</f>
        <v/>
      </c>
      <c r="F37" s="26">
        <f>IF($C$3="","",IF(AND(ABS(D37)&gt;='Control Sheet'!$C$7,OR(B37=0,AND(ISNUMBER(E37),ABS(E37)&gt;$C$15))),"CHECK",""))</f>
        <v/>
      </c>
      <c r="G37" s="2" t="n"/>
      <c r="H37" s="2" t="n"/>
    </row>
    <row r="38">
      <c r="A38" s="23" t="inlineStr">
        <is>
          <t>Unsocial Hours Premium</t>
        </is>
      </c>
      <c r="B38" s="24">
        <f>IF($C$3="","",SUMIFS('Payment Breakdown Prior'!$AD$15:$AD$164,'Payment Breakdown Prior'!$AE$15:$AE$164,$C$3))</f>
        <v/>
      </c>
      <c r="C38" s="24">
        <f>IF($C$3="","",SUMIFS('Payment Breakdown Current'!$AD$15:$AD$164,'Payment Breakdown Current'!$AE$15:$AE$164,$C$3))</f>
        <v/>
      </c>
      <c r="D38" s="24">
        <f>IF($C$3="","",C38-B38)</f>
        <v/>
      </c>
      <c r="E38" s="25">
        <f>IFERROR(D38/B38,"")</f>
        <v/>
      </c>
      <c r="F38" s="26">
        <f>IF($C$3="","",IF(AND(ABS(D38)&gt;='Control Sheet'!$C$7,OR(B38=0,AND(ISNUMBER(E38),ABS(E38)&gt;$C$15))),"CHECK",""))</f>
        <v/>
      </c>
      <c r="G38" s="2" t="n"/>
      <c r="H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</row>
  </sheetData>
  <mergeCells count="1">
    <mergeCell ref="A1:F1"/>
  </mergeCells>
  <conditionalFormatting sqref="F19:F38">
    <cfRule type="cellIs" priority="1" operator="equal" dxfId="1">
      <formula>"CHECK"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66609B"/>
    <outlinePr summaryBelow="1" summaryRight="1"/>
    <pageSetUpPr/>
  </sheetPr>
  <dimension ref="A1:AS250"/>
  <sheetViews>
    <sheetView showGridLines="0" workbookViewId="0">
      <pane ySplit="14" topLeftCell="A1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3" customWidth="1" min="5" max="5"/>
    <col width="13" customWidth="1" min="6" max="6"/>
    <col width="12" customWidth="1" min="7" max="7"/>
    <col width="11" customWidth="1" min="8" max="8"/>
    <col width="13" customWidth="1" min="9" max="9"/>
    <col width="11" customWidth="1" min="10" max="10"/>
  </cols>
  <sheetData>
    <row r="1">
      <c r="A1" s="3" t="inlineStr">
        <is>
          <t>NPV Comparison (Net Pay) - paste raw iTrent export below from row 14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  <c r="AP2" s="2" t="n"/>
      <c r="AQ2" s="2" t="n"/>
      <c r="AR2" s="2" t="n"/>
      <c r="AS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  <c r="AO3" s="2" t="n"/>
      <c r="AP3" s="2" t="n"/>
      <c r="AQ3" s="2" t="n"/>
      <c r="AR3" s="2" t="n"/>
      <c r="AS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  <c r="AO4" s="2" t="n"/>
      <c r="AP4" s="2" t="n"/>
      <c r="AQ4" s="2" t="n"/>
      <c r="AR4" s="2" t="n"/>
      <c r="AS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  <c r="AO5" s="2" t="n"/>
      <c r="AP5" s="2" t="n"/>
      <c r="AQ5" s="2" t="n"/>
      <c r="AR5" s="2" t="n"/>
      <c r="AS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  <c r="AO6" s="2" t="n"/>
      <c r="AP6" s="2" t="n"/>
      <c r="AQ6" s="2" t="n"/>
      <c r="AR6" s="2" t="n"/>
      <c r="AS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  <c r="AO7" s="2" t="n"/>
      <c r="AP7" s="2" t="n"/>
      <c r="AQ7" s="2" t="n"/>
      <c r="AR7" s="2" t="n"/>
      <c r="AS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  <c r="AO8" s="2" t="n"/>
      <c r="AP8" s="2" t="n"/>
      <c r="AQ8" s="2" t="n"/>
      <c r="AR8" s="2" t="n"/>
      <c r="AS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  <c r="AO9" s="2" t="n"/>
      <c r="AP9" s="2" t="n"/>
      <c r="AQ9" s="2" t="n"/>
      <c r="AR9" s="2" t="n"/>
      <c r="AS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  <c r="AO10" s="2" t="n"/>
      <c r="AP10" s="2" t="n"/>
      <c r="AQ10" s="2" t="n"/>
      <c r="AR10" s="2" t="n"/>
      <c r="AS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</row>
    <row r="12">
      <c r="A12" s="22" t="inlineStr">
        <is>
          <t>Paste the full export starting at A14 (headers) so data begins row 15. Do not insert or delete columns.</t>
        </is>
      </c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  <c r="AO12" s="2" t="n"/>
      <c r="AP12" s="2" t="n"/>
      <c r="AQ12" s="2" t="n"/>
      <c r="AR12" s="2" t="n"/>
      <c r="AS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  <c r="AO13" s="2" t="n"/>
      <c r="AP13" s="2" t="n"/>
      <c r="AQ13" s="2" t="n"/>
      <c r="AR13" s="2" t="n"/>
      <c r="AS13" s="2" t="n"/>
    </row>
    <row r="14" ht="22" customHeight="1">
      <c r="A14" s="14" t="inlineStr">
        <is>
          <t>Payroll Area</t>
        </is>
      </c>
      <c r="B14" s="14" t="inlineStr">
        <is>
          <t>Surname</t>
        </is>
      </c>
      <c r="C14" s="14" t="inlineStr">
        <is>
          <t>Forename</t>
        </is>
      </c>
      <c r="D14" s="14" t="inlineStr">
        <is>
          <t>Payroll Number</t>
        </is>
      </c>
      <c r="E14" s="14" t="inlineStr">
        <is>
          <t>Prior Net Pay</t>
        </is>
      </c>
      <c r="F14" s="14" t="inlineStr">
        <is>
          <t>Current Net Pay</t>
        </is>
      </c>
      <c r="G14" s="14" t="inlineStr">
        <is>
          <t>Difference</t>
        </is>
      </c>
      <c r="H14" s="14" t="inlineStr">
        <is>
          <t>Difference %</t>
        </is>
      </c>
      <c r="I14" s="14" t="inlineStr">
        <is>
          <t>Payment Date</t>
        </is>
      </c>
      <c r="J14" s="14" t="inlineStr">
        <is>
          <t>Frequency</t>
        </is>
      </c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  <c r="AO14" s="2" t="n"/>
      <c r="AP14" s="2" t="n"/>
      <c r="AQ14" s="2" t="n"/>
      <c r="AR14" s="2" t="n"/>
      <c r="AS14" s="2" t="n"/>
    </row>
    <row r="15">
      <c r="A15" s="11" t="inlineStr">
        <is>
          <t>RIV</t>
        </is>
      </c>
      <c r="B15" s="11" t="inlineStr">
        <is>
          <t>Surname434</t>
        </is>
      </c>
      <c r="C15" s="11" t="inlineStr">
        <is>
          <t>Forename434</t>
        </is>
      </c>
      <c r="D15" s="11" t="inlineStr">
        <is>
          <t>P23434</t>
        </is>
      </c>
      <c r="E15" s="32" t="n">
        <v>1840.81</v>
      </c>
      <c r="F15" s="32" t="n">
        <v>1625.82</v>
      </c>
      <c r="G15" s="32">
        <f>IF(AND(E15&lt;&gt;"",F15&lt;&gt;""),F15-E15,IF(F15&lt;&gt;"",F15,IF(E15&lt;&gt;"",-E15,"")))</f>
        <v/>
      </c>
      <c r="H15" s="16">
        <f>IFERROR(G15/E15,"")</f>
        <v/>
      </c>
      <c r="I15" s="11" t="inlineStr">
        <is>
          <t>July 2026</t>
        </is>
      </c>
      <c r="J15" s="11" t="inlineStr">
        <is>
          <t>Monthly</t>
        </is>
      </c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  <c r="AO15" s="2" t="n"/>
      <c r="AP15" s="2" t="n"/>
      <c r="AQ15" s="2" t="n"/>
      <c r="AR15" s="2" t="n"/>
      <c r="AS15" s="2" t="n"/>
    </row>
    <row r="16">
      <c r="A16" s="11" t="inlineStr">
        <is>
          <t>HAK</t>
        </is>
      </c>
      <c r="B16" s="11" t="inlineStr">
        <is>
          <t>Surname280</t>
        </is>
      </c>
      <c r="C16" s="11" t="inlineStr">
        <is>
          <t>Forename280</t>
        </is>
      </c>
      <c r="D16" s="11" t="inlineStr">
        <is>
          <t>P22280</t>
        </is>
      </c>
      <c r="E16" s="32" t="n">
        <v>2462.89</v>
      </c>
      <c r="F16" s="32" t="n">
        <v>2400.62</v>
      </c>
      <c r="G16" s="32">
        <f>IF(AND(E16&lt;&gt;"",F16&lt;&gt;""),F16-E16,IF(F16&lt;&gt;"",F16,IF(E16&lt;&gt;"",-E16,"")))</f>
        <v/>
      </c>
      <c r="H16" s="16">
        <f>IFERROR(G16/E16,"")</f>
        <v/>
      </c>
      <c r="I16" s="11" t="inlineStr">
        <is>
          <t>July 2026</t>
        </is>
      </c>
      <c r="J16" s="11" t="inlineStr">
        <is>
          <t>Monthly</t>
        </is>
      </c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  <c r="AO16" s="2" t="n"/>
      <c r="AP16" s="2" t="n"/>
      <c r="AQ16" s="2" t="n"/>
      <c r="AR16" s="2" t="n"/>
      <c r="AS16" s="2" t="n"/>
    </row>
    <row r="17">
      <c r="A17" s="11" t="inlineStr">
        <is>
          <t>KIN</t>
        </is>
      </c>
      <c r="B17" s="11" t="inlineStr">
        <is>
          <t>Surname426</t>
        </is>
      </c>
      <c r="C17" s="11" t="inlineStr">
        <is>
          <t>Forename426</t>
        </is>
      </c>
      <c r="D17" s="11" t="inlineStr">
        <is>
          <t>P81426</t>
        </is>
      </c>
      <c r="E17" s="32" t="n">
        <v>2410.24</v>
      </c>
      <c r="F17" s="32" t="n">
        <v>2578.93</v>
      </c>
      <c r="G17" s="32">
        <f>IF(AND(E17&lt;&gt;"",F17&lt;&gt;""),F17-E17,IF(F17&lt;&gt;"",F17,IF(E17&lt;&gt;"",-E17,"")))</f>
        <v/>
      </c>
      <c r="H17" s="16">
        <f>IFERROR(G17/E17,"")</f>
        <v/>
      </c>
      <c r="I17" s="11" t="inlineStr">
        <is>
          <t>July 2026</t>
        </is>
      </c>
      <c r="J17" s="11" t="inlineStr">
        <is>
          <t>Monthly</t>
        </is>
      </c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  <c r="AO17" s="2" t="n"/>
      <c r="AP17" s="2" t="n"/>
      <c r="AQ17" s="2" t="n"/>
      <c r="AR17" s="2" t="n"/>
      <c r="AS17" s="2" t="n"/>
    </row>
    <row r="18">
      <c r="A18" s="11" t="inlineStr">
        <is>
          <t>OAK</t>
        </is>
      </c>
      <c r="B18" s="11" t="inlineStr">
        <is>
          <t>Surname926</t>
        </is>
      </c>
      <c r="C18" s="11" t="inlineStr">
        <is>
          <t>Forename926</t>
        </is>
      </c>
      <c r="D18" s="11" t="inlineStr">
        <is>
          <t>P30926</t>
        </is>
      </c>
      <c r="E18" s="32" t="n">
        <v>2856.97</v>
      </c>
      <c r="F18" s="32" t="n">
        <v>2400.16</v>
      </c>
      <c r="G18" s="32">
        <f>IF(AND(E18&lt;&gt;"",F18&lt;&gt;""),F18-E18,IF(F18&lt;&gt;"",F18,IF(E18&lt;&gt;"",-E18,"")))</f>
        <v/>
      </c>
      <c r="H18" s="16">
        <f>IFERROR(G18/E18,"")</f>
        <v/>
      </c>
      <c r="I18" s="11" t="inlineStr">
        <is>
          <t>July 2026</t>
        </is>
      </c>
      <c r="J18" s="11" t="inlineStr">
        <is>
          <t>Monthly</t>
        </is>
      </c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  <c r="AO18" s="2" t="n"/>
      <c r="AP18" s="2" t="n"/>
      <c r="AQ18" s="2" t="n"/>
      <c r="AR18" s="2" t="n"/>
      <c r="AS18" s="2" t="n"/>
    </row>
    <row r="19">
      <c r="A19" s="11" t="inlineStr">
        <is>
          <t>OAK</t>
        </is>
      </c>
      <c r="B19" s="11" t="inlineStr">
        <is>
          <t>Surname396</t>
        </is>
      </c>
      <c r="C19" s="11" t="inlineStr">
        <is>
          <t>Forename396</t>
        </is>
      </c>
      <c r="D19" s="11" t="inlineStr">
        <is>
          <t>P23396</t>
        </is>
      </c>
      <c r="E19" s="32" t="n">
        <v>1787.56</v>
      </c>
      <c r="F19" s="32" t="n">
        <v>1940.17</v>
      </c>
      <c r="G19" s="32">
        <f>IF(AND(E19&lt;&gt;"",F19&lt;&gt;""),F19-E19,IF(F19&lt;&gt;"",F19,IF(E19&lt;&gt;"",-E19,"")))</f>
        <v/>
      </c>
      <c r="H19" s="16">
        <f>IFERROR(G19/E19,"")</f>
        <v/>
      </c>
      <c r="I19" s="11" t="inlineStr">
        <is>
          <t>July 2026</t>
        </is>
      </c>
      <c r="J19" s="11" t="inlineStr">
        <is>
          <t>Monthly</t>
        </is>
      </c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  <c r="AO19" s="2" t="n"/>
      <c r="AP19" s="2" t="n"/>
      <c r="AQ19" s="2" t="n"/>
      <c r="AR19" s="2" t="n"/>
      <c r="AS19" s="2" t="n"/>
    </row>
    <row r="20">
      <c r="A20" s="11" t="inlineStr">
        <is>
          <t>RIV</t>
        </is>
      </c>
      <c r="B20" s="11" t="inlineStr">
        <is>
          <t>Surname695</t>
        </is>
      </c>
      <c r="C20" s="11" t="inlineStr">
        <is>
          <t>Forename695</t>
        </is>
      </c>
      <c r="D20" s="11" t="inlineStr">
        <is>
          <t>P15695</t>
        </is>
      </c>
      <c r="E20" s="32" t="n">
        <v>2925.49</v>
      </c>
      <c r="F20" s="32" t="n">
        <v>3023.81</v>
      </c>
      <c r="G20" s="32">
        <f>IF(AND(E20&lt;&gt;"",F20&lt;&gt;""),F20-E20,IF(F20&lt;&gt;"",F20,IF(E20&lt;&gt;"",-E20,"")))</f>
        <v/>
      </c>
      <c r="H20" s="16">
        <f>IFERROR(G20/E20,"")</f>
        <v/>
      </c>
      <c r="I20" s="11" t="inlineStr">
        <is>
          <t>July 2026</t>
        </is>
      </c>
      <c r="J20" s="11" t="inlineStr">
        <is>
          <t>Monthly</t>
        </is>
      </c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  <c r="AO20" s="2" t="n"/>
      <c r="AP20" s="2" t="n"/>
      <c r="AQ20" s="2" t="n"/>
      <c r="AR20" s="2" t="n"/>
      <c r="AS20" s="2" t="n"/>
    </row>
    <row r="21">
      <c r="A21" s="11" t="inlineStr">
        <is>
          <t>OAK</t>
        </is>
      </c>
      <c r="B21" s="11" t="inlineStr">
        <is>
          <t>Surname397</t>
        </is>
      </c>
      <c r="C21" s="11" t="inlineStr">
        <is>
          <t>Forename397</t>
        </is>
      </c>
      <c r="D21" s="11" t="inlineStr">
        <is>
          <t>P92397</t>
        </is>
      </c>
      <c r="E21" s="32" t="n">
        <v>1541.84</v>
      </c>
      <c r="F21" s="32" t="n">
        <v>1438.52</v>
      </c>
      <c r="G21" s="32">
        <f>IF(AND(E21&lt;&gt;"",F21&lt;&gt;""),F21-E21,IF(F21&lt;&gt;"",F21,IF(E21&lt;&gt;"",-E21,"")))</f>
        <v/>
      </c>
      <c r="H21" s="16">
        <f>IFERROR(G21/E21,"")</f>
        <v/>
      </c>
      <c r="I21" s="11" t="inlineStr">
        <is>
          <t>July 2026</t>
        </is>
      </c>
      <c r="J21" s="11" t="inlineStr">
        <is>
          <t>Monthly</t>
        </is>
      </c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  <c r="AO21" s="2" t="n"/>
      <c r="AP21" s="2" t="n"/>
      <c r="AQ21" s="2" t="n"/>
      <c r="AR21" s="2" t="n"/>
      <c r="AS21" s="2" t="n"/>
    </row>
    <row r="22">
      <c r="A22" s="11" t="inlineStr">
        <is>
          <t>HAK</t>
        </is>
      </c>
      <c r="B22" s="11" t="inlineStr">
        <is>
          <t>Surname006</t>
        </is>
      </c>
      <c r="C22" s="11" t="inlineStr">
        <is>
          <t>Forename006</t>
        </is>
      </c>
      <c r="D22" s="11" t="inlineStr">
        <is>
          <t>P16006</t>
        </is>
      </c>
      <c r="E22" s="32" t="n">
        <v>2439.23</v>
      </c>
      <c r="F22" s="32" t="n">
        <v>2466.18</v>
      </c>
      <c r="G22" s="32">
        <f>IF(AND(E22&lt;&gt;"",F22&lt;&gt;""),F22-E22,IF(F22&lt;&gt;"",F22,IF(E22&lt;&gt;"",-E22,"")))</f>
        <v/>
      </c>
      <c r="H22" s="16">
        <f>IFERROR(G22/E22,"")</f>
        <v/>
      </c>
      <c r="I22" s="11" t="inlineStr">
        <is>
          <t>July 2026</t>
        </is>
      </c>
      <c r="J22" s="11" t="inlineStr">
        <is>
          <t>Monthly</t>
        </is>
      </c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  <c r="AO22" s="2" t="n"/>
      <c r="AP22" s="2" t="n"/>
      <c r="AQ22" s="2" t="n"/>
      <c r="AR22" s="2" t="n"/>
      <c r="AS22" s="2" t="n"/>
    </row>
    <row r="23">
      <c r="A23" s="11" t="inlineStr">
        <is>
          <t>KIN</t>
        </is>
      </c>
      <c r="B23" s="11" t="inlineStr">
        <is>
          <t>Surname823</t>
        </is>
      </c>
      <c r="C23" s="11" t="inlineStr">
        <is>
          <t>Forename823</t>
        </is>
      </c>
      <c r="D23" s="11" t="inlineStr">
        <is>
          <t>P59823</t>
        </is>
      </c>
      <c r="E23" s="32" t="n">
        <v>2939.57</v>
      </c>
      <c r="F23" s="32" t="n">
        <v>3288.62</v>
      </c>
      <c r="G23" s="32">
        <f>IF(AND(E23&lt;&gt;"",F23&lt;&gt;""),F23-E23,IF(F23&lt;&gt;"",F23,IF(E23&lt;&gt;"",-E23,"")))</f>
        <v/>
      </c>
      <c r="H23" s="16">
        <f>IFERROR(G23/E23,"")</f>
        <v/>
      </c>
      <c r="I23" s="11" t="inlineStr">
        <is>
          <t>July 2026</t>
        </is>
      </c>
      <c r="J23" s="11" t="inlineStr">
        <is>
          <t>Monthly</t>
        </is>
      </c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  <c r="AO23" s="2" t="n"/>
      <c r="AP23" s="2" t="n"/>
      <c r="AQ23" s="2" t="n"/>
      <c r="AR23" s="2" t="n"/>
      <c r="AS23" s="2" t="n"/>
    </row>
    <row r="24">
      <c r="A24" s="11" t="inlineStr">
        <is>
          <t>ELM</t>
        </is>
      </c>
      <c r="B24" s="11" t="inlineStr">
        <is>
          <t>Surname841</t>
        </is>
      </c>
      <c r="C24" s="11" t="inlineStr">
        <is>
          <t>Forename841</t>
        </is>
      </c>
      <c r="D24" s="11" t="inlineStr">
        <is>
          <t>P97841</t>
        </is>
      </c>
      <c r="E24" s="32" t="n">
        <v>1692.78</v>
      </c>
      <c r="F24" s="32" t="n">
        <v>1613.4</v>
      </c>
      <c r="G24" s="32">
        <f>IF(AND(E24&lt;&gt;"",F24&lt;&gt;""),F24-E24,IF(F24&lt;&gt;"",F24,IF(E24&lt;&gt;"",-E24,"")))</f>
        <v/>
      </c>
      <c r="H24" s="16">
        <f>IFERROR(G24/E24,"")</f>
        <v/>
      </c>
      <c r="I24" s="11" t="inlineStr">
        <is>
          <t>July 2026</t>
        </is>
      </c>
      <c r="J24" s="11" t="inlineStr">
        <is>
          <t>Monthly</t>
        </is>
      </c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  <c r="AO24" s="2" t="n"/>
      <c r="AP24" s="2" t="n"/>
      <c r="AQ24" s="2" t="n"/>
      <c r="AR24" s="2" t="n"/>
      <c r="AS24" s="2" t="n"/>
    </row>
    <row r="25">
      <c r="A25" s="11" t="inlineStr">
        <is>
          <t>ELM</t>
        </is>
      </c>
      <c r="B25" s="11" t="inlineStr">
        <is>
          <t>Surname431</t>
        </is>
      </c>
      <c r="C25" s="11" t="inlineStr">
        <is>
          <t>Forename431</t>
        </is>
      </c>
      <c r="D25" s="11" t="inlineStr">
        <is>
          <t>P32431</t>
        </is>
      </c>
      <c r="E25" s="32" t="n">
        <v>2566.46</v>
      </c>
      <c r="F25" s="32" t="n">
        <v>2657.21</v>
      </c>
      <c r="G25" s="32">
        <f>IF(AND(E25&lt;&gt;"",F25&lt;&gt;""),F25-E25,IF(F25&lt;&gt;"",F25,IF(E25&lt;&gt;"",-E25,"")))</f>
        <v/>
      </c>
      <c r="H25" s="16">
        <f>IFERROR(G25/E25,"")</f>
        <v/>
      </c>
      <c r="I25" s="11" t="inlineStr">
        <is>
          <t>July 2026</t>
        </is>
      </c>
      <c r="J25" s="11" t="inlineStr">
        <is>
          <t>Monthly</t>
        </is>
      </c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  <c r="AO25" s="2" t="n"/>
      <c r="AP25" s="2" t="n"/>
      <c r="AQ25" s="2" t="n"/>
      <c r="AR25" s="2" t="n"/>
      <c r="AS25" s="2" t="n"/>
    </row>
    <row r="26">
      <c r="A26" s="11" t="inlineStr">
        <is>
          <t>HAK</t>
        </is>
      </c>
      <c r="B26" s="11" t="inlineStr">
        <is>
          <t>Surname886</t>
        </is>
      </c>
      <c r="C26" s="11" t="inlineStr">
        <is>
          <t>Forename886</t>
        </is>
      </c>
      <c r="D26" s="11" t="inlineStr">
        <is>
          <t>P93886</t>
        </is>
      </c>
      <c r="E26" s="32" t="n">
        <v>1694.12</v>
      </c>
      <c r="F26" s="32" t="n">
        <v>1683.1</v>
      </c>
      <c r="G26" s="32">
        <f>IF(AND(E26&lt;&gt;"",F26&lt;&gt;""),F26-E26,IF(F26&lt;&gt;"",F26,IF(E26&lt;&gt;"",-E26,"")))</f>
        <v/>
      </c>
      <c r="H26" s="16">
        <f>IFERROR(G26/E26,"")</f>
        <v/>
      </c>
      <c r="I26" s="11" t="inlineStr">
        <is>
          <t>July 2026</t>
        </is>
      </c>
      <c r="J26" s="11" t="inlineStr">
        <is>
          <t>Monthly</t>
        </is>
      </c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  <c r="AO26" s="2" t="n"/>
      <c r="AP26" s="2" t="n"/>
      <c r="AQ26" s="2" t="n"/>
      <c r="AR26" s="2" t="n"/>
      <c r="AS26" s="2" t="n"/>
    </row>
    <row r="27">
      <c r="A27" s="11" t="inlineStr">
        <is>
          <t>HAK</t>
        </is>
      </c>
      <c r="B27" s="11" t="inlineStr">
        <is>
          <t>Surname331</t>
        </is>
      </c>
      <c r="C27" s="11" t="inlineStr">
        <is>
          <t>Forename331</t>
        </is>
      </c>
      <c r="D27" s="11" t="inlineStr">
        <is>
          <t>P17331</t>
        </is>
      </c>
      <c r="E27" s="32" t="n">
        <v>2632.31</v>
      </c>
      <c r="F27" s="32" t="n">
        <v>2681.04</v>
      </c>
      <c r="G27" s="32">
        <f>IF(AND(E27&lt;&gt;"",F27&lt;&gt;""),F27-E27,IF(F27&lt;&gt;"",F27,IF(E27&lt;&gt;"",-E27,"")))</f>
        <v/>
      </c>
      <c r="H27" s="16">
        <f>IFERROR(G27/E27,"")</f>
        <v/>
      </c>
      <c r="I27" s="11" t="inlineStr">
        <is>
          <t>July 2026</t>
        </is>
      </c>
      <c r="J27" s="11" t="inlineStr">
        <is>
          <t>Monthly</t>
        </is>
      </c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  <c r="AO27" s="2" t="n"/>
      <c r="AP27" s="2" t="n"/>
      <c r="AQ27" s="2" t="n"/>
      <c r="AR27" s="2" t="n"/>
      <c r="AS27" s="2" t="n"/>
    </row>
    <row r="28">
      <c r="A28" s="11" t="inlineStr">
        <is>
          <t>KIN</t>
        </is>
      </c>
      <c r="B28" s="11" t="inlineStr">
        <is>
          <t>Surname341</t>
        </is>
      </c>
      <c r="C28" s="11" t="inlineStr">
        <is>
          <t>Forename341</t>
        </is>
      </c>
      <c r="D28" s="11" t="inlineStr">
        <is>
          <t>P84341</t>
        </is>
      </c>
      <c r="E28" s="32" t="n">
        <v>2122.1</v>
      </c>
      <c r="F28" s="32" t="n">
        <v>1823.83</v>
      </c>
      <c r="G28" s="32">
        <f>IF(AND(E28&lt;&gt;"",F28&lt;&gt;""),F28-E28,IF(F28&lt;&gt;"",F28,IF(E28&lt;&gt;"",-E28,"")))</f>
        <v/>
      </c>
      <c r="H28" s="16">
        <f>IFERROR(G28/E28,"")</f>
        <v/>
      </c>
      <c r="I28" s="11" t="inlineStr">
        <is>
          <t>July 2026</t>
        </is>
      </c>
      <c r="J28" s="11" t="inlineStr">
        <is>
          <t>Monthly</t>
        </is>
      </c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  <c r="AO28" s="2" t="n"/>
      <c r="AP28" s="2" t="n"/>
      <c r="AQ28" s="2" t="n"/>
      <c r="AR28" s="2" t="n"/>
      <c r="AS28" s="2" t="n"/>
    </row>
    <row r="29">
      <c r="A29" s="11" t="inlineStr">
        <is>
          <t>ELM</t>
        </is>
      </c>
      <c r="B29" s="11" t="inlineStr">
        <is>
          <t>Surname142</t>
        </is>
      </c>
      <c r="C29" s="11" t="inlineStr">
        <is>
          <t>Forename142</t>
        </is>
      </c>
      <c r="D29" s="11" t="inlineStr">
        <is>
          <t>P70142</t>
        </is>
      </c>
      <c r="E29" s="32" t="n">
        <v>2112.14</v>
      </c>
      <c r="F29" s="32" t="n">
        <v>2395.83</v>
      </c>
      <c r="G29" s="32">
        <f>IF(AND(E29&lt;&gt;"",F29&lt;&gt;""),F29-E29,IF(F29&lt;&gt;"",F29,IF(E29&lt;&gt;"",-E29,"")))</f>
        <v/>
      </c>
      <c r="H29" s="16">
        <f>IFERROR(G29/E29,"")</f>
        <v/>
      </c>
      <c r="I29" s="11" t="inlineStr">
        <is>
          <t>July 2026</t>
        </is>
      </c>
      <c r="J29" s="11" t="inlineStr">
        <is>
          <t>Monthly</t>
        </is>
      </c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  <c r="AO29" s="2" t="n"/>
      <c r="AP29" s="2" t="n"/>
      <c r="AQ29" s="2" t="n"/>
      <c r="AR29" s="2" t="n"/>
      <c r="AS29" s="2" t="n"/>
    </row>
    <row r="30">
      <c r="A30" s="11" t="inlineStr">
        <is>
          <t>KIN</t>
        </is>
      </c>
      <c r="B30" s="11" t="inlineStr">
        <is>
          <t>Surname622</t>
        </is>
      </c>
      <c r="C30" s="11" t="inlineStr">
        <is>
          <t>Forename622</t>
        </is>
      </c>
      <c r="D30" s="11" t="inlineStr">
        <is>
          <t>P86622</t>
        </is>
      </c>
      <c r="E30" s="32" t="n">
        <v>2740.98</v>
      </c>
      <c r="F30" s="32" t="n">
        <v>2775.6</v>
      </c>
      <c r="G30" s="32">
        <f>IF(AND(E30&lt;&gt;"",F30&lt;&gt;""),F30-E30,IF(F30&lt;&gt;"",F30,IF(E30&lt;&gt;"",-E30,"")))</f>
        <v/>
      </c>
      <c r="H30" s="16">
        <f>IFERROR(G30/E30,"")</f>
        <v/>
      </c>
      <c r="I30" s="11" t="inlineStr">
        <is>
          <t>July 2026</t>
        </is>
      </c>
      <c r="J30" s="11" t="inlineStr">
        <is>
          <t>Monthly</t>
        </is>
      </c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  <c r="AO30" s="2" t="n"/>
      <c r="AP30" s="2" t="n"/>
      <c r="AQ30" s="2" t="n"/>
      <c r="AR30" s="2" t="n"/>
      <c r="AS30" s="2" t="n"/>
    </row>
    <row r="31">
      <c r="A31" s="11" t="inlineStr">
        <is>
          <t>OAK</t>
        </is>
      </c>
      <c r="B31" s="11" t="inlineStr">
        <is>
          <t>Surname131</t>
        </is>
      </c>
      <c r="C31" s="11" t="inlineStr">
        <is>
          <t>Forename131</t>
        </is>
      </c>
      <c r="D31" s="11" t="inlineStr">
        <is>
          <t>P28131</t>
        </is>
      </c>
      <c r="E31" s="32" t="n">
        <v>2051.59</v>
      </c>
      <c r="F31" s="32" t="n">
        <v>2382.17</v>
      </c>
      <c r="G31" s="32">
        <f>IF(AND(E31&lt;&gt;"",F31&lt;&gt;""),F31-E31,IF(F31&lt;&gt;"",F31,IF(E31&lt;&gt;"",-E31,"")))</f>
        <v/>
      </c>
      <c r="H31" s="16">
        <f>IFERROR(G31/E31,"")</f>
        <v/>
      </c>
      <c r="I31" s="11" t="inlineStr">
        <is>
          <t>July 2026</t>
        </is>
      </c>
      <c r="J31" s="11" t="inlineStr">
        <is>
          <t>Monthly</t>
        </is>
      </c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  <c r="AO31" s="2" t="n"/>
      <c r="AP31" s="2" t="n"/>
      <c r="AQ31" s="2" t="n"/>
      <c r="AR31" s="2" t="n"/>
      <c r="AS31" s="2" t="n"/>
    </row>
    <row r="32">
      <c r="A32" s="11" t="inlineStr">
        <is>
          <t>HAK</t>
        </is>
      </c>
      <c r="B32" s="11" t="inlineStr">
        <is>
          <t>Surname371</t>
        </is>
      </c>
      <c r="C32" s="11" t="inlineStr">
        <is>
          <t>Forename371</t>
        </is>
      </c>
      <c r="D32" s="11" t="inlineStr">
        <is>
          <t>P24371</t>
        </is>
      </c>
      <c r="E32" s="32" t="n">
        <v>1563.64</v>
      </c>
      <c r="F32" s="32" t="n">
        <v>1525.4</v>
      </c>
      <c r="G32" s="32">
        <f>IF(AND(E32&lt;&gt;"",F32&lt;&gt;""),F32-E32,IF(F32&lt;&gt;"",F32,IF(E32&lt;&gt;"",-E32,"")))</f>
        <v/>
      </c>
      <c r="H32" s="16">
        <f>IFERROR(G32/E32,"")</f>
        <v/>
      </c>
      <c r="I32" s="11" t="inlineStr">
        <is>
          <t>July 2026</t>
        </is>
      </c>
      <c r="J32" s="11" t="inlineStr">
        <is>
          <t>Monthly</t>
        </is>
      </c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  <c r="AO32" s="2" t="n"/>
      <c r="AP32" s="2" t="n"/>
      <c r="AQ32" s="2" t="n"/>
      <c r="AR32" s="2" t="n"/>
      <c r="AS32" s="2" t="n"/>
    </row>
    <row r="33">
      <c r="A33" s="11" t="inlineStr">
        <is>
          <t>KIN</t>
        </is>
      </c>
      <c r="B33" s="11" t="inlineStr">
        <is>
          <t>Surname019</t>
        </is>
      </c>
      <c r="C33" s="11" t="inlineStr">
        <is>
          <t>Forename019</t>
        </is>
      </c>
      <c r="D33" s="11" t="inlineStr">
        <is>
          <t>P60019</t>
        </is>
      </c>
      <c r="E33" s="32" t="n">
        <v>2159.89</v>
      </c>
      <c r="F33" s="32" t="n">
        <v>1854.44</v>
      </c>
      <c r="G33" s="32">
        <f>IF(AND(E33&lt;&gt;"",F33&lt;&gt;""),F33-E33,IF(F33&lt;&gt;"",F33,IF(E33&lt;&gt;"",-E33,"")))</f>
        <v/>
      </c>
      <c r="H33" s="16">
        <f>IFERROR(G33/E33,"")</f>
        <v/>
      </c>
      <c r="I33" s="11" t="inlineStr">
        <is>
          <t>July 2026</t>
        </is>
      </c>
      <c r="J33" s="11" t="inlineStr">
        <is>
          <t>Monthly</t>
        </is>
      </c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  <c r="AO33" s="2" t="n"/>
      <c r="AP33" s="2" t="n"/>
      <c r="AQ33" s="2" t="n"/>
      <c r="AR33" s="2" t="n"/>
      <c r="AS33" s="2" t="n"/>
    </row>
    <row r="34">
      <c r="A34" s="11" t="inlineStr">
        <is>
          <t>HAK</t>
        </is>
      </c>
      <c r="B34" s="11" t="inlineStr">
        <is>
          <t>Surname504</t>
        </is>
      </c>
      <c r="C34" s="11" t="inlineStr">
        <is>
          <t>Forename504</t>
        </is>
      </c>
      <c r="D34" s="11" t="inlineStr">
        <is>
          <t>P11504</t>
        </is>
      </c>
      <c r="E34" s="32" t="n">
        <v>2352.41</v>
      </c>
      <c r="F34" s="32" t="n">
        <v>2412.25</v>
      </c>
      <c r="G34" s="32">
        <f>IF(AND(E34&lt;&gt;"",F34&lt;&gt;""),F34-E34,IF(F34&lt;&gt;"",F34,IF(E34&lt;&gt;"",-E34,"")))</f>
        <v/>
      </c>
      <c r="H34" s="16">
        <f>IFERROR(G34/E34,"")</f>
        <v/>
      </c>
      <c r="I34" s="11" t="inlineStr">
        <is>
          <t>July 2026</t>
        </is>
      </c>
      <c r="J34" s="11" t="inlineStr">
        <is>
          <t>Monthly</t>
        </is>
      </c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  <c r="AO34" s="2" t="n"/>
      <c r="AP34" s="2" t="n"/>
      <c r="AQ34" s="2" t="n"/>
      <c r="AR34" s="2" t="n"/>
      <c r="AS34" s="2" t="n"/>
    </row>
    <row r="35">
      <c r="A35" s="11" t="inlineStr">
        <is>
          <t>RIV</t>
        </is>
      </c>
      <c r="B35" s="11" t="inlineStr">
        <is>
          <t>Surname587</t>
        </is>
      </c>
      <c r="C35" s="11" t="inlineStr">
        <is>
          <t>Forename587</t>
        </is>
      </c>
      <c r="D35" s="11" t="inlineStr">
        <is>
          <t>P54587</t>
        </is>
      </c>
      <c r="E35" s="32" t="n">
        <v>2751.58</v>
      </c>
      <c r="F35" s="32" t="n">
        <v>2991.04</v>
      </c>
      <c r="G35" s="32">
        <f>IF(AND(E35&lt;&gt;"",F35&lt;&gt;""),F35-E35,IF(F35&lt;&gt;"",F35,IF(E35&lt;&gt;"",-E35,"")))</f>
        <v/>
      </c>
      <c r="H35" s="16">
        <f>IFERROR(G35/E35,"")</f>
        <v/>
      </c>
      <c r="I35" s="11" t="inlineStr">
        <is>
          <t>July 2026</t>
        </is>
      </c>
      <c r="J35" s="11" t="inlineStr">
        <is>
          <t>Monthly</t>
        </is>
      </c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  <c r="AO35" s="2" t="n"/>
      <c r="AP35" s="2" t="n"/>
      <c r="AQ35" s="2" t="n"/>
      <c r="AR35" s="2" t="n"/>
      <c r="AS35" s="2" t="n"/>
    </row>
    <row r="36">
      <c r="A36" s="11" t="inlineStr">
        <is>
          <t>RIV</t>
        </is>
      </c>
      <c r="B36" s="11" t="inlineStr">
        <is>
          <t>Surname522</t>
        </is>
      </c>
      <c r="C36" s="11" t="inlineStr">
        <is>
          <t>Forename522</t>
        </is>
      </c>
      <c r="D36" s="11" t="inlineStr">
        <is>
          <t>P44522</t>
        </is>
      </c>
      <c r="E36" s="32" t="n">
        <v>2216.7</v>
      </c>
      <c r="F36" s="32" t="n">
        <v>2542.64</v>
      </c>
      <c r="G36" s="32">
        <f>IF(AND(E36&lt;&gt;"",F36&lt;&gt;""),F36-E36,IF(F36&lt;&gt;"",F36,IF(E36&lt;&gt;"",-E36,"")))</f>
        <v/>
      </c>
      <c r="H36" s="16">
        <f>IFERROR(G36/E36,"")</f>
        <v/>
      </c>
      <c r="I36" s="11" t="inlineStr">
        <is>
          <t>July 2026</t>
        </is>
      </c>
      <c r="J36" s="11" t="inlineStr">
        <is>
          <t>Monthly</t>
        </is>
      </c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  <c r="AO36" s="2" t="n"/>
      <c r="AP36" s="2" t="n"/>
      <c r="AQ36" s="2" t="n"/>
      <c r="AR36" s="2" t="n"/>
      <c r="AS36" s="2" t="n"/>
    </row>
    <row r="37">
      <c r="A37" s="11" t="inlineStr">
        <is>
          <t>HAK</t>
        </is>
      </c>
      <c r="B37" s="11" t="inlineStr">
        <is>
          <t>Surname959</t>
        </is>
      </c>
      <c r="C37" s="11" t="inlineStr">
        <is>
          <t>Forename959</t>
        </is>
      </c>
      <c r="D37" s="11" t="inlineStr">
        <is>
          <t>P91959</t>
        </is>
      </c>
      <c r="E37" s="32" t="n">
        <v>2313.83</v>
      </c>
      <c r="F37" s="32" t="n">
        <v>2264.65</v>
      </c>
      <c r="G37" s="32">
        <f>IF(AND(E37&lt;&gt;"",F37&lt;&gt;""),F37-E37,IF(F37&lt;&gt;"",F37,IF(E37&lt;&gt;"",-E37,"")))</f>
        <v/>
      </c>
      <c r="H37" s="16">
        <f>IFERROR(G37/E37,"")</f>
        <v/>
      </c>
      <c r="I37" s="11" t="inlineStr">
        <is>
          <t>July 2026</t>
        </is>
      </c>
      <c r="J37" s="11" t="inlineStr">
        <is>
          <t>Monthly</t>
        </is>
      </c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  <c r="AO37" s="2" t="n"/>
      <c r="AP37" s="2" t="n"/>
      <c r="AQ37" s="2" t="n"/>
      <c r="AR37" s="2" t="n"/>
      <c r="AS37" s="2" t="n"/>
    </row>
    <row r="38">
      <c r="A38" s="11" t="inlineStr">
        <is>
          <t>ELM</t>
        </is>
      </c>
      <c r="B38" s="11" t="inlineStr">
        <is>
          <t>Surname697</t>
        </is>
      </c>
      <c r="C38" s="11" t="inlineStr">
        <is>
          <t>Forename697</t>
        </is>
      </c>
      <c r="D38" s="11" t="inlineStr">
        <is>
          <t>P80697</t>
        </is>
      </c>
      <c r="E38" s="32" t="n">
        <v>1675.11</v>
      </c>
      <c r="F38" s="32" t="n">
        <v>1817.58</v>
      </c>
      <c r="G38" s="32">
        <f>IF(AND(E38&lt;&gt;"",F38&lt;&gt;""),F38-E38,IF(F38&lt;&gt;"",F38,IF(E38&lt;&gt;"",-E38,"")))</f>
        <v/>
      </c>
      <c r="H38" s="16">
        <f>IFERROR(G38/E38,"")</f>
        <v/>
      </c>
      <c r="I38" s="11" t="inlineStr">
        <is>
          <t>July 2026</t>
        </is>
      </c>
      <c r="J38" s="11" t="inlineStr">
        <is>
          <t>Monthly</t>
        </is>
      </c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  <c r="AO38" s="2" t="n"/>
      <c r="AP38" s="2" t="n"/>
      <c r="AQ38" s="2" t="n"/>
      <c r="AR38" s="2" t="n"/>
      <c r="AS38" s="2" t="n"/>
    </row>
    <row r="39">
      <c r="A39" s="11" t="inlineStr">
        <is>
          <t>HAK</t>
        </is>
      </c>
      <c r="B39" s="11" t="inlineStr">
        <is>
          <t>Surname662</t>
        </is>
      </c>
      <c r="C39" s="11" t="inlineStr">
        <is>
          <t>Forename662</t>
        </is>
      </c>
      <c r="D39" s="11" t="inlineStr">
        <is>
          <t>P24662</t>
        </is>
      </c>
      <c r="E39" s="32" t="n">
        <v>2478.1</v>
      </c>
      <c r="F39" s="32" t="n">
        <v>2476.58</v>
      </c>
      <c r="G39" s="32">
        <f>IF(AND(E39&lt;&gt;"",F39&lt;&gt;""),F39-E39,IF(F39&lt;&gt;"",F39,IF(E39&lt;&gt;"",-E39,"")))</f>
        <v/>
      </c>
      <c r="H39" s="16">
        <f>IFERROR(G39/E39,"")</f>
        <v/>
      </c>
      <c r="I39" s="11" t="inlineStr">
        <is>
          <t>July 2026</t>
        </is>
      </c>
      <c r="J39" s="11" t="inlineStr">
        <is>
          <t>Monthly</t>
        </is>
      </c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  <c r="AO39" s="2" t="n"/>
      <c r="AP39" s="2" t="n"/>
      <c r="AQ39" s="2" t="n"/>
      <c r="AR39" s="2" t="n"/>
      <c r="AS39" s="2" t="n"/>
    </row>
    <row r="40">
      <c r="A40" s="11" t="inlineStr">
        <is>
          <t>ELM</t>
        </is>
      </c>
      <c r="B40" s="11" t="inlineStr">
        <is>
          <t>Surname364</t>
        </is>
      </c>
      <c r="C40" s="11" t="inlineStr">
        <is>
          <t>Forename364</t>
        </is>
      </c>
      <c r="D40" s="11" t="inlineStr">
        <is>
          <t>P84364</t>
        </is>
      </c>
      <c r="E40" s="32" t="n">
        <v>1831.01</v>
      </c>
      <c r="F40" s="32" t="n">
        <v>1677.29</v>
      </c>
      <c r="G40" s="32">
        <f>IF(AND(E40&lt;&gt;"",F40&lt;&gt;""),F40-E40,IF(F40&lt;&gt;"",F40,IF(E40&lt;&gt;"",-E40,"")))</f>
        <v/>
      </c>
      <c r="H40" s="16">
        <f>IFERROR(G40/E40,"")</f>
        <v/>
      </c>
      <c r="I40" s="11" t="inlineStr">
        <is>
          <t>July 2026</t>
        </is>
      </c>
      <c r="J40" s="11" t="inlineStr">
        <is>
          <t>Monthly</t>
        </is>
      </c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  <c r="AO40" s="2" t="n"/>
      <c r="AP40" s="2" t="n"/>
      <c r="AQ40" s="2" t="n"/>
      <c r="AR40" s="2" t="n"/>
      <c r="AS40" s="2" t="n"/>
    </row>
    <row r="41">
      <c r="A41" s="11" t="inlineStr">
        <is>
          <t>RIV</t>
        </is>
      </c>
      <c r="B41" s="11" t="inlineStr">
        <is>
          <t>Surname822</t>
        </is>
      </c>
      <c r="C41" s="11" t="inlineStr">
        <is>
          <t>Forename822</t>
        </is>
      </c>
      <c r="D41" s="11" t="inlineStr">
        <is>
          <t>P79822</t>
        </is>
      </c>
      <c r="E41" s="32" t="n">
        <v>2868.84</v>
      </c>
      <c r="F41" s="32" t="n">
        <v>3313.13</v>
      </c>
      <c r="G41" s="32">
        <f>IF(AND(E41&lt;&gt;"",F41&lt;&gt;""),F41-E41,IF(F41&lt;&gt;"",F41,IF(E41&lt;&gt;"",-E41,"")))</f>
        <v/>
      </c>
      <c r="H41" s="16">
        <f>IFERROR(G41/E41,"")</f>
        <v/>
      </c>
      <c r="I41" s="11" t="inlineStr">
        <is>
          <t>July 2026</t>
        </is>
      </c>
      <c r="J41" s="11" t="inlineStr">
        <is>
          <t>Monthly</t>
        </is>
      </c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  <c r="AO41" s="2" t="n"/>
      <c r="AP41" s="2" t="n"/>
      <c r="AQ41" s="2" t="n"/>
      <c r="AR41" s="2" t="n"/>
      <c r="AS41" s="2" t="n"/>
    </row>
    <row r="42">
      <c r="A42" s="11" t="inlineStr">
        <is>
          <t>KIN</t>
        </is>
      </c>
      <c r="B42" s="11" t="inlineStr">
        <is>
          <t>Surname163</t>
        </is>
      </c>
      <c r="C42" s="11" t="inlineStr">
        <is>
          <t>Forename163</t>
        </is>
      </c>
      <c r="D42" s="11" t="inlineStr">
        <is>
          <t>P79163</t>
        </is>
      </c>
      <c r="E42" s="32" t="n">
        <v>3104.33</v>
      </c>
      <c r="F42" s="32" t="n">
        <v>2767.51</v>
      </c>
      <c r="G42" s="32">
        <f>IF(AND(E42&lt;&gt;"",F42&lt;&gt;""),F42-E42,IF(F42&lt;&gt;"",F42,IF(E42&lt;&gt;"",-E42,"")))</f>
        <v/>
      </c>
      <c r="H42" s="16">
        <f>IFERROR(G42/E42,"")</f>
        <v/>
      </c>
      <c r="I42" s="11" t="inlineStr">
        <is>
          <t>July 2026</t>
        </is>
      </c>
      <c r="J42" s="11" t="inlineStr">
        <is>
          <t>Monthly</t>
        </is>
      </c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  <c r="AO42" s="2" t="n"/>
      <c r="AP42" s="2" t="n"/>
      <c r="AQ42" s="2" t="n"/>
      <c r="AR42" s="2" t="n"/>
      <c r="AS42" s="2" t="n"/>
    </row>
    <row r="43">
      <c r="A43" s="11" t="inlineStr">
        <is>
          <t>HAK</t>
        </is>
      </c>
      <c r="B43" s="11" t="inlineStr">
        <is>
          <t>Surname365</t>
        </is>
      </c>
      <c r="C43" s="11" t="inlineStr">
        <is>
          <t>Forename365</t>
        </is>
      </c>
      <c r="D43" s="11" t="inlineStr">
        <is>
          <t>P36365</t>
        </is>
      </c>
      <c r="E43" s="32" t="n">
        <v>3135.85</v>
      </c>
      <c r="F43" s="32" t="n">
        <v>3208.48</v>
      </c>
      <c r="G43" s="32">
        <f>IF(AND(E43&lt;&gt;"",F43&lt;&gt;""),F43-E43,IF(F43&lt;&gt;"",F43,IF(E43&lt;&gt;"",-E43,"")))</f>
        <v/>
      </c>
      <c r="H43" s="16">
        <f>IFERROR(G43/E43,"")</f>
        <v/>
      </c>
      <c r="I43" s="11" t="inlineStr">
        <is>
          <t>July 2026</t>
        </is>
      </c>
      <c r="J43" s="11" t="inlineStr">
        <is>
          <t>Monthly</t>
        </is>
      </c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  <c r="AO43" s="2" t="n"/>
      <c r="AP43" s="2" t="n"/>
      <c r="AQ43" s="2" t="n"/>
      <c r="AR43" s="2" t="n"/>
      <c r="AS43" s="2" t="n"/>
    </row>
    <row r="44">
      <c r="A44" s="11" t="inlineStr">
        <is>
          <t>ELM</t>
        </is>
      </c>
      <c r="B44" s="11" t="inlineStr">
        <is>
          <t>Surname860</t>
        </is>
      </c>
      <c r="C44" s="11" t="inlineStr">
        <is>
          <t>Forename860</t>
        </is>
      </c>
      <c r="D44" s="11" t="inlineStr">
        <is>
          <t>P25860</t>
        </is>
      </c>
      <c r="E44" s="32" t="n">
        <v>2188.58</v>
      </c>
      <c r="F44" s="32" t="n">
        <v>2201.04</v>
      </c>
      <c r="G44" s="32">
        <f>IF(AND(E44&lt;&gt;"",F44&lt;&gt;""),F44-E44,IF(F44&lt;&gt;"",F44,IF(E44&lt;&gt;"",-E44,"")))</f>
        <v/>
      </c>
      <c r="H44" s="16">
        <f>IFERROR(G44/E44,"")</f>
        <v/>
      </c>
      <c r="I44" s="11" t="inlineStr">
        <is>
          <t>July 2026</t>
        </is>
      </c>
      <c r="J44" s="11" t="inlineStr">
        <is>
          <t>Monthly</t>
        </is>
      </c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  <c r="AO44" s="2" t="n"/>
      <c r="AP44" s="2" t="n"/>
      <c r="AQ44" s="2" t="n"/>
      <c r="AR44" s="2" t="n"/>
      <c r="AS44" s="2" t="n"/>
    </row>
    <row r="45">
      <c r="A45" s="11" t="inlineStr">
        <is>
          <t>KIN</t>
        </is>
      </c>
      <c r="B45" s="11" t="inlineStr">
        <is>
          <t>Surname603</t>
        </is>
      </c>
      <c r="C45" s="11" t="inlineStr">
        <is>
          <t>Forename603</t>
        </is>
      </c>
      <c r="D45" s="11" t="inlineStr">
        <is>
          <t>P82603</t>
        </is>
      </c>
      <c r="E45" s="32" t="n">
        <v>1625.24</v>
      </c>
      <c r="F45" s="32" t="n">
        <v>1771.51</v>
      </c>
      <c r="G45" s="32">
        <f>IF(AND(E45&lt;&gt;"",F45&lt;&gt;""),F45-E45,IF(F45&lt;&gt;"",F45,IF(E45&lt;&gt;"",-E45,"")))</f>
        <v/>
      </c>
      <c r="H45" s="16">
        <f>IFERROR(G45/E45,"")</f>
        <v/>
      </c>
      <c r="I45" s="11" t="inlineStr">
        <is>
          <t>July 2026</t>
        </is>
      </c>
      <c r="J45" s="11" t="inlineStr">
        <is>
          <t>Monthly</t>
        </is>
      </c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  <c r="AO45" s="2" t="n"/>
      <c r="AP45" s="2" t="n"/>
      <c r="AQ45" s="2" t="n"/>
      <c r="AR45" s="2" t="n"/>
      <c r="AS45" s="2" t="n"/>
    </row>
    <row r="46">
      <c r="A46" s="11" t="inlineStr">
        <is>
          <t>KIN</t>
        </is>
      </c>
      <c r="B46" s="11" t="inlineStr">
        <is>
          <t>Surname719</t>
        </is>
      </c>
      <c r="C46" s="11" t="inlineStr">
        <is>
          <t>Forename719</t>
        </is>
      </c>
      <c r="D46" s="11" t="inlineStr">
        <is>
          <t>P92719</t>
        </is>
      </c>
      <c r="E46" s="32" t="n">
        <v>1685.19</v>
      </c>
      <c r="F46" s="32" t="n">
        <v>1811.58</v>
      </c>
      <c r="G46" s="32">
        <f>IF(AND(E46&lt;&gt;"",F46&lt;&gt;""),F46-E46,IF(F46&lt;&gt;"",F46,IF(E46&lt;&gt;"",-E46,"")))</f>
        <v/>
      </c>
      <c r="H46" s="16">
        <f>IFERROR(G46/E46,"")</f>
        <v/>
      </c>
      <c r="I46" s="11" t="inlineStr">
        <is>
          <t>July 2026</t>
        </is>
      </c>
      <c r="J46" s="11" t="inlineStr">
        <is>
          <t>Monthly</t>
        </is>
      </c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  <c r="AO46" s="2" t="n"/>
      <c r="AP46" s="2" t="n"/>
      <c r="AQ46" s="2" t="n"/>
      <c r="AR46" s="2" t="n"/>
      <c r="AS46" s="2" t="n"/>
    </row>
    <row r="47">
      <c r="A47" s="11" t="inlineStr">
        <is>
          <t>RIV</t>
        </is>
      </c>
      <c r="B47" s="11" t="inlineStr">
        <is>
          <t>Surname287</t>
        </is>
      </c>
      <c r="C47" s="11" t="inlineStr">
        <is>
          <t>Forename287</t>
        </is>
      </c>
      <c r="D47" s="11" t="inlineStr">
        <is>
          <t>P19287</t>
        </is>
      </c>
      <c r="E47" s="32" t="n">
        <v>2631.56</v>
      </c>
      <c r="F47" s="32" t="n">
        <v>2927.62</v>
      </c>
      <c r="G47" s="32">
        <f>IF(AND(E47&lt;&gt;"",F47&lt;&gt;""),F47-E47,IF(F47&lt;&gt;"",F47,IF(E47&lt;&gt;"",-E47,"")))</f>
        <v/>
      </c>
      <c r="H47" s="16">
        <f>IFERROR(G47/E47,"")</f>
        <v/>
      </c>
      <c r="I47" s="11" t="inlineStr">
        <is>
          <t>July 2026</t>
        </is>
      </c>
      <c r="J47" s="11" t="inlineStr">
        <is>
          <t>Monthly</t>
        </is>
      </c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  <c r="AO47" s="2" t="n"/>
      <c r="AP47" s="2" t="n"/>
      <c r="AQ47" s="2" t="n"/>
      <c r="AR47" s="2" t="n"/>
      <c r="AS47" s="2" t="n"/>
    </row>
    <row r="48">
      <c r="A48" s="11" t="inlineStr">
        <is>
          <t>HAK</t>
        </is>
      </c>
      <c r="B48" s="11" t="inlineStr">
        <is>
          <t>Surname624</t>
        </is>
      </c>
      <c r="C48" s="11" t="inlineStr">
        <is>
          <t>Forename624</t>
        </is>
      </c>
      <c r="D48" s="11" t="inlineStr">
        <is>
          <t>P73624</t>
        </is>
      </c>
      <c r="E48" s="32" t="n">
        <v>1934.17</v>
      </c>
      <c r="F48" s="32" t="n">
        <v>1680.31</v>
      </c>
      <c r="G48" s="32">
        <f>IF(AND(E48&lt;&gt;"",F48&lt;&gt;""),F48-E48,IF(F48&lt;&gt;"",F48,IF(E48&lt;&gt;"",-E48,"")))</f>
        <v/>
      </c>
      <c r="H48" s="16">
        <f>IFERROR(G48/E48,"")</f>
        <v/>
      </c>
      <c r="I48" s="11" t="inlineStr">
        <is>
          <t>July 2026</t>
        </is>
      </c>
      <c r="J48" s="11" t="inlineStr">
        <is>
          <t>Monthly</t>
        </is>
      </c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  <c r="AO48" s="2" t="n"/>
      <c r="AP48" s="2" t="n"/>
      <c r="AQ48" s="2" t="n"/>
      <c r="AR48" s="2" t="n"/>
      <c r="AS48" s="2" t="n"/>
    </row>
    <row r="49">
      <c r="A49" s="11" t="inlineStr">
        <is>
          <t>KIN</t>
        </is>
      </c>
      <c r="B49" s="11" t="inlineStr">
        <is>
          <t>Surname847</t>
        </is>
      </c>
      <c r="C49" s="11" t="inlineStr">
        <is>
          <t>Forename847</t>
        </is>
      </c>
      <c r="D49" s="11" t="inlineStr">
        <is>
          <t>P84847</t>
        </is>
      </c>
      <c r="E49" s="32" t="n">
        <v>2722.62</v>
      </c>
      <c r="F49" s="32" t="n">
        <v>4968.78</v>
      </c>
      <c r="G49" s="32">
        <f>IF(AND(E49&lt;&gt;"",F49&lt;&gt;""),F49-E49,IF(F49&lt;&gt;"",F49,IF(E49&lt;&gt;"",-E49,"")))</f>
        <v/>
      </c>
      <c r="H49" s="16">
        <f>IFERROR(G49/E49,"")</f>
        <v/>
      </c>
      <c r="I49" s="11" t="inlineStr">
        <is>
          <t>July 2026</t>
        </is>
      </c>
      <c r="J49" s="11" t="inlineStr">
        <is>
          <t>Monthly</t>
        </is>
      </c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  <c r="AO49" s="2" t="n"/>
      <c r="AP49" s="2" t="n"/>
      <c r="AQ49" s="2" t="n"/>
      <c r="AR49" s="2" t="n"/>
      <c r="AS49" s="2" t="n"/>
    </row>
    <row r="50">
      <c r="A50" s="11" t="inlineStr">
        <is>
          <t>HAK</t>
        </is>
      </c>
      <c r="B50" s="11" t="inlineStr">
        <is>
          <t>Surname993</t>
        </is>
      </c>
      <c r="C50" s="11" t="inlineStr">
        <is>
          <t>Forename993</t>
        </is>
      </c>
      <c r="D50" s="11" t="inlineStr">
        <is>
          <t>P71993</t>
        </is>
      </c>
      <c r="E50" s="32" t="n">
        <v>1891.6</v>
      </c>
      <c r="F50" s="32" t="n">
        <v>1891.6</v>
      </c>
      <c r="G50" s="32">
        <f>IF(AND(E50&lt;&gt;"",F50&lt;&gt;""),F50-E50,IF(F50&lt;&gt;"",F50,IF(E50&lt;&gt;"",-E50,"")))</f>
        <v/>
      </c>
      <c r="H50" s="16">
        <f>IFERROR(G50/E50,"")</f>
        <v/>
      </c>
      <c r="I50" s="11" t="inlineStr">
        <is>
          <t>July 2026</t>
        </is>
      </c>
      <c r="J50" s="11" t="inlineStr">
        <is>
          <t>Monthly</t>
        </is>
      </c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  <c r="AO50" s="2" t="n"/>
      <c r="AP50" s="2" t="n"/>
      <c r="AQ50" s="2" t="n"/>
      <c r="AR50" s="2" t="n"/>
      <c r="AS50" s="2" t="n"/>
    </row>
    <row r="51">
      <c r="A51" s="11" t="inlineStr">
        <is>
          <t>OAK</t>
        </is>
      </c>
      <c r="B51" s="11" t="inlineStr">
        <is>
          <t>Surname438</t>
        </is>
      </c>
      <c r="C51" s="11" t="inlineStr">
        <is>
          <t>Forename438</t>
        </is>
      </c>
      <c r="D51" s="11" t="inlineStr">
        <is>
          <t>P56438</t>
        </is>
      </c>
      <c r="E51" s="32" t="n">
        <v>2390.78</v>
      </c>
      <c r="F51" s="32" t="n">
        <v>3018.36</v>
      </c>
      <c r="G51" s="32">
        <f>IF(AND(E51&lt;&gt;"",F51&lt;&gt;""),F51-E51,IF(F51&lt;&gt;"",F51,IF(E51&lt;&gt;"",-E51,"")))</f>
        <v/>
      </c>
      <c r="H51" s="16">
        <f>IFERROR(G51/E51,"")</f>
        <v/>
      </c>
      <c r="I51" s="11" t="inlineStr">
        <is>
          <t>July 2026</t>
        </is>
      </c>
      <c r="J51" s="11" t="inlineStr">
        <is>
          <t>Monthly</t>
        </is>
      </c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  <c r="AO51" s="2" t="n"/>
      <c r="AP51" s="2" t="n"/>
      <c r="AQ51" s="2" t="n"/>
      <c r="AR51" s="2" t="n"/>
      <c r="AS51" s="2" t="n"/>
    </row>
    <row r="52">
      <c r="A52" s="11" t="inlineStr">
        <is>
          <t>OAK</t>
        </is>
      </c>
      <c r="B52" s="11" t="inlineStr">
        <is>
          <t>Surname696</t>
        </is>
      </c>
      <c r="C52" s="11" t="inlineStr">
        <is>
          <t>Forename696</t>
        </is>
      </c>
      <c r="D52" s="11" t="inlineStr">
        <is>
          <t>P94696</t>
        </is>
      </c>
      <c r="E52" s="32" t="n">
        <v>2408.04</v>
      </c>
      <c r="F52" s="32" t="n">
        <v>3491.66</v>
      </c>
      <c r="G52" s="32">
        <f>IF(AND(E52&lt;&gt;"",F52&lt;&gt;""),F52-E52,IF(F52&lt;&gt;"",F52,IF(E52&lt;&gt;"",-E52,"")))</f>
        <v/>
      </c>
      <c r="H52" s="16">
        <f>IFERROR(G52/E52,"")</f>
        <v/>
      </c>
      <c r="I52" s="11" t="inlineStr">
        <is>
          <t>July 2026</t>
        </is>
      </c>
      <c r="J52" s="11" t="inlineStr">
        <is>
          <t>Monthly</t>
        </is>
      </c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  <c r="AO52" s="2" t="n"/>
      <c r="AP52" s="2" t="n"/>
      <c r="AQ52" s="2" t="n"/>
      <c r="AR52" s="2" t="n"/>
      <c r="AS52" s="2" t="n"/>
    </row>
    <row r="53">
      <c r="A53" s="11" t="inlineStr">
        <is>
          <t>RIV</t>
        </is>
      </c>
      <c r="B53" s="11" t="inlineStr">
        <is>
          <t>Surname322</t>
        </is>
      </c>
      <c r="C53" s="11" t="inlineStr">
        <is>
          <t>Forename322</t>
        </is>
      </c>
      <c r="D53" s="11" t="inlineStr">
        <is>
          <t>P24322</t>
        </is>
      </c>
      <c r="E53" s="32" t="n">
        <v>2560.71</v>
      </c>
      <c r="F53" s="32" t="n">
        <v>2752.76</v>
      </c>
      <c r="G53" s="32">
        <f>IF(AND(E53&lt;&gt;"",F53&lt;&gt;""),F53-E53,IF(F53&lt;&gt;"",F53,IF(E53&lt;&gt;"",-E53,"")))</f>
        <v/>
      </c>
      <c r="H53" s="16">
        <f>IFERROR(G53/E53,"")</f>
        <v/>
      </c>
      <c r="I53" s="11" t="inlineStr">
        <is>
          <t>July 2026</t>
        </is>
      </c>
      <c r="J53" s="11" t="inlineStr">
        <is>
          <t>Monthly</t>
        </is>
      </c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  <c r="AO53" s="2" t="n"/>
      <c r="AP53" s="2" t="n"/>
      <c r="AQ53" s="2" t="n"/>
      <c r="AR53" s="2" t="n"/>
      <c r="AS53" s="2" t="n"/>
    </row>
    <row r="54">
      <c r="A54" s="11" t="inlineStr">
        <is>
          <t>KIN</t>
        </is>
      </c>
      <c r="B54" s="11" t="inlineStr">
        <is>
          <t>Surname050</t>
        </is>
      </c>
      <c r="C54" s="11" t="inlineStr">
        <is>
          <t>Forename050</t>
        </is>
      </c>
      <c r="D54" s="11" t="inlineStr">
        <is>
          <t>P34050</t>
        </is>
      </c>
      <c r="E54" s="32" t="n">
        <v>1768.22</v>
      </c>
      <c r="F54" s="32" t="n">
        <v>2006.93</v>
      </c>
      <c r="G54" s="32">
        <f>IF(AND(E54&lt;&gt;"",F54&lt;&gt;""),F54-E54,IF(F54&lt;&gt;"",F54,IF(E54&lt;&gt;"",-E54,"")))</f>
        <v/>
      </c>
      <c r="H54" s="16">
        <f>IFERROR(G54/E54,"")</f>
        <v/>
      </c>
      <c r="I54" s="11" t="inlineStr">
        <is>
          <t>July 2026</t>
        </is>
      </c>
      <c r="J54" s="11" t="inlineStr">
        <is>
          <t>Monthly</t>
        </is>
      </c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  <c r="AO54" s="2" t="n"/>
      <c r="AP54" s="2" t="n"/>
      <c r="AQ54" s="2" t="n"/>
      <c r="AR54" s="2" t="n"/>
      <c r="AS54" s="2" t="n"/>
    </row>
    <row r="55">
      <c r="A55" s="11" t="inlineStr">
        <is>
          <t>HAK</t>
        </is>
      </c>
      <c r="B55" s="11" t="inlineStr">
        <is>
          <t>Surname630</t>
        </is>
      </c>
      <c r="C55" s="11" t="inlineStr">
        <is>
          <t>Forename630</t>
        </is>
      </c>
      <c r="D55" s="11" t="inlineStr">
        <is>
          <t>P16630</t>
        </is>
      </c>
      <c r="E55" s="32" t="n"/>
      <c r="F55" s="32" t="n">
        <v>1806.4</v>
      </c>
      <c r="G55" s="32">
        <f>IF(AND(E55&lt;&gt;"",F55&lt;&gt;""),F55-E55,IF(F55&lt;&gt;"",F55,IF(E55&lt;&gt;"",-E55,"")))</f>
        <v/>
      </c>
      <c r="H55" s="16">
        <f>IFERROR(G55/E55,"")</f>
        <v/>
      </c>
      <c r="I55" s="11" t="inlineStr">
        <is>
          <t>July 2026</t>
        </is>
      </c>
      <c r="J55" s="11" t="inlineStr">
        <is>
          <t>Monthly</t>
        </is>
      </c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  <c r="AO55" s="2" t="n"/>
      <c r="AP55" s="2" t="n"/>
      <c r="AQ55" s="2" t="n"/>
      <c r="AR55" s="2" t="n"/>
      <c r="AS55" s="2" t="n"/>
    </row>
    <row r="56">
      <c r="A56" s="11" t="inlineStr">
        <is>
          <t>HAK</t>
        </is>
      </c>
      <c r="B56" s="11" t="inlineStr">
        <is>
          <t>Surname224</t>
        </is>
      </c>
      <c r="C56" s="11" t="inlineStr">
        <is>
          <t>Forename224</t>
        </is>
      </c>
      <c r="D56" s="11" t="inlineStr">
        <is>
          <t>P22224</t>
        </is>
      </c>
      <c r="E56" s="32" t="n"/>
      <c r="F56" s="32" t="n">
        <v>1774.79</v>
      </c>
      <c r="G56" s="32">
        <f>IF(AND(E56&lt;&gt;"",F56&lt;&gt;""),F56-E56,IF(F56&lt;&gt;"",F56,IF(E56&lt;&gt;"",-E56,"")))</f>
        <v/>
      </c>
      <c r="H56" s="16">
        <f>IFERROR(G56/E56,"")</f>
        <v/>
      </c>
      <c r="I56" s="11" t="inlineStr">
        <is>
          <t>July 2026</t>
        </is>
      </c>
      <c r="J56" s="11" t="inlineStr">
        <is>
          <t>Monthly</t>
        </is>
      </c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  <c r="AO56" s="2" t="n"/>
      <c r="AP56" s="2" t="n"/>
      <c r="AQ56" s="2" t="n"/>
      <c r="AR56" s="2" t="n"/>
      <c r="AS56" s="2" t="n"/>
    </row>
    <row r="57">
      <c r="A57" s="11" t="inlineStr">
        <is>
          <t>KIN</t>
        </is>
      </c>
      <c r="B57" s="11" t="inlineStr">
        <is>
          <t>Surname092</t>
        </is>
      </c>
      <c r="C57" s="11" t="inlineStr">
        <is>
          <t>Forename092</t>
        </is>
      </c>
      <c r="D57" s="11" t="inlineStr">
        <is>
          <t>P73092</t>
        </is>
      </c>
      <c r="E57" s="32" t="n"/>
      <c r="F57" s="32" t="n">
        <v>2515.59</v>
      </c>
      <c r="G57" s="32">
        <f>IF(AND(E57&lt;&gt;"",F57&lt;&gt;""),F57-E57,IF(F57&lt;&gt;"",F57,IF(E57&lt;&gt;"",-E57,"")))</f>
        <v/>
      </c>
      <c r="H57" s="16">
        <f>IFERROR(G57/E57,"")</f>
        <v/>
      </c>
      <c r="I57" s="11" t="inlineStr">
        <is>
          <t>July 2026</t>
        </is>
      </c>
      <c r="J57" s="11" t="inlineStr">
        <is>
          <t>Monthly</t>
        </is>
      </c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  <c r="AO57" s="2" t="n"/>
      <c r="AP57" s="2" t="n"/>
      <c r="AQ57" s="2" t="n"/>
      <c r="AR57" s="2" t="n"/>
      <c r="AS57" s="2" t="n"/>
    </row>
    <row r="58">
      <c r="A58" s="11" t="inlineStr">
        <is>
          <t>KIN</t>
        </is>
      </c>
      <c r="B58" s="11" t="inlineStr">
        <is>
          <t>Surname579</t>
        </is>
      </c>
      <c r="C58" s="11" t="inlineStr">
        <is>
          <t>Forename579</t>
        </is>
      </c>
      <c r="D58" s="11" t="inlineStr">
        <is>
          <t>P31579</t>
        </is>
      </c>
      <c r="E58" s="32" t="n"/>
      <c r="F58" s="32" t="n">
        <v>921.5700000000001</v>
      </c>
      <c r="G58" s="32">
        <f>IF(AND(E58&lt;&gt;"",F58&lt;&gt;""),F58-E58,IF(F58&lt;&gt;"",F58,IF(E58&lt;&gt;"",-E58,"")))</f>
        <v/>
      </c>
      <c r="H58" s="16">
        <f>IFERROR(G58/E58,"")</f>
        <v/>
      </c>
      <c r="I58" s="11" t="inlineStr">
        <is>
          <t>July 2026</t>
        </is>
      </c>
      <c r="J58" s="11" t="inlineStr">
        <is>
          <t>Monthly</t>
        </is>
      </c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  <c r="AO58" s="2" t="n"/>
      <c r="AP58" s="2" t="n"/>
      <c r="AQ58" s="2" t="n"/>
      <c r="AR58" s="2" t="n"/>
      <c r="AS58" s="2" t="n"/>
    </row>
    <row r="59">
      <c r="A59" s="11" t="inlineStr">
        <is>
          <t>OAK</t>
        </is>
      </c>
      <c r="B59" s="11" t="inlineStr">
        <is>
          <t>Surname638</t>
        </is>
      </c>
      <c r="C59" s="11" t="inlineStr">
        <is>
          <t>Forename638</t>
        </is>
      </c>
      <c r="D59" s="11" t="inlineStr">
        <is>
          <t>P69638</t>
        </is>
      </c>
      <c r="E59" s="32" t="n">
        <v>1691.72</v>
      </c>
      <c r="F59" s="32" t="n"/>
      <c r="G59" s="32">
        <f>IF(AND(E59&lt;&gt;"",F59&lt;&gt;""),F59-E59,IF(F59&lt;&gt;"",F59,IF(E59&lt;&gt;"",-E59,"")))</f>
        <v/>
      </c>
      <c r="H59" s="16">
        <f>IFERROR(G59/E59,"")</f>
        <v/>
      </c>
      <c r="I59" s="11" t="inlineStr">
        <is>
          <t>July 2026</t>
        </is>
      </c>
      <c r="J59" s="11" t="inlineStr">
        <is>
          <t>Monthly</t>
        </is>
      </c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  <c r="AO59" s="2" t="n"/>
      <c r="AP59" s="2" t="n"/>
      <c r="AQ59" s="2" t="n"/>
      <c r="AR59" s="2" t="n"/>
      <c r="AS59" s="2" t="n"/>
    </row>
    <row r="60">
      <c r="A60" s="11" t="inlineStr">
        <is>
          <t>ELM</t>
        </is>
      </c>
      <c r="B60" s="11" t="inlineStr">
        <is>
          <t>Surname890</t>
        </is>
      </c>
      <c r="C60" s="11" t="inlineStr">
        <is>
          <t>Forename890</t>
        </is>
      </c>
      <c r="D60" s="11" t="inlineStr">
        <is>
          <t>P48890</t>
        </is>
      </c>
      <c r="E60" s="32" t="n">
        <v>1570.28</v>
      </c>
      <c r="F60" s="32" t="n"/>
      <c r="G60" s="32">
        <f>IF(AND(E60&lt;&gt;"",F60&lt;&gt;""),F60-E60,IF(F60&lt;&gt;"",F60,IF(E60&lt;&gt;"",-E60,"")))</f>
        <v/>
      </c>
      <c r="H60" s="16">
        <f>IFERROR(G60/E60,"")</f>
        <v/>
      </c>
      <c r="I60" s="11" t="inlineStr">
        <is>
          <t>July 2026</t>
        </is>
      </c>
      <c r="J60" s="11" t="inlineStr">
        <is>
          <t>Monthly</t>
        </is>
      </c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  <c r="AO60" s="2" t="n"/>
      <c r="AP60" s="2" t="n"/>
      <c r="AQ60" s="2" t="n"/>
      <c r="AR60" s="2" t="n"/>
      <c r="AS60" s="2" t="n"/>
    </row>
    <row r="61">
      <c r="A61" s="11" t="inlineStr">
        <is>
          <t>KIN</t>
        </is>
      </c>
      <c r="B61" s="11" t="inlineStr">
        <is>
          <t>Surname492</t>
        </is>
      </c>
      <c r="C61" s="11" t="inlineStr">
        <is>
          <t>Forename492</t>
        </is>
      </c>
      <c r="D61" s="11" t="inlineStr">
        <is>
          <t>P17492</t>
        </is>
      </c>
      <c r="E61" s="32" t="n">
        <v>2222.77</v>
      </c>
      <c r="F61" s="32" t="n"/>
      <c r="G61" s="32">
        <f>IF(AND(E61&lt;&gt;"",F61&lt;&gt;""),F61-E61,IF(F61&lt;&gt;"",F61,IF(E61&lt;&gt;"",-E61,"")))</f>
        <v/>
      </c>
      <c r="H61" s="16">
        <f>IFERROR(G61/E61,"")</f>
        <v/>
      </c>
      <c r="I61" s="11" t="inlineStr">
        <is>
          <t>July 2026</t>
        </is>
      </c>
      <c r="J61" s="11" t="inlineStr">
        <is>
          <t>Monthly</t>
        </is>
      </c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  <c r="AO61" s="2" t="n"/>
      <c r="AP61" s="2" t="n"/>
      <c r="AQ61" s="2" t="n"/>
      <c r="AR61" s="2" t="n"/>
      <c r="AS61" s="2" t="n"/>
    </row>
    <row r="62">
      <c r="A62" s="11" t="inlineStr">
        <is>
          <t>RIV</t>
        </is>
      </c>
      <c r="B62" s="11" t="inlineStr">
        <is>
          <t>Surname615</t>
        </is>
      </c>
      <c r="C62" s="11" t="inlineStr">
        <is>
          <t>Forename615</t>
        </is>
      </c>
      <c r="D62" s="11" t="inlineStr">
        <is>
          <t>P79615</t>
        </is>
      </c>
      <c r="E62" s="32" t="n">
        <v>2411.33</v>
      </c>
      <c r="F62" s="32" t="n"/>
      <c r="G62" s="32">
        <f>IF(AND(E62&lt;&gt;"",F62&lt;&gt;""),F62-E62,IF(F62&lt;&gt;"",F62,IF(E62&lt;&gt;"",-E62,"")))</f>
        <v/>
      </c>
      <c r="H62" s="16">
        <f>IFERROR(G62/E62,"")</f>
        <v/>
      </c>
      <c r="I62" s="11" t="inlineStr">
        <is>
          <t>July 2026</t>
        </is>
      </c>
      <c r="J62" s="11" t="inlineStr">
        <is>
          <t>Monthly</t>
        </is>
      </c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  <c r="AO62" s="2" t="n"/>
      <c r="AP62" s="2" t="n"/>
      <c r="AQ62" s="2" t="n"/>
      <c r="AR62" s="2" t="n"/>
      <c r="AS62" s="2" t="n"/>
    </row>
    <row r="63">
      <c r="A63" s="11" t="inlineStr">
        <is>
          <t>KIN</t>
        </is>
      </c>
      <c r="B63" s="11" t="inlineStr">
        <is>
          <t>Surname356</t>
        </is>
      </c>
      <c r="C63" s="11" t="inlineStr">
        <is>
          <t>Forename356</t>
        </is>
      </c>
      <c r="D63" s="11" t="inlineStr">
        <is>
          <t>P34356</t>
        </is>
      </c>
      <c r="E63" s="32" t="n">
        <v>181.28</v>
      </c>
      <c r="F63" s="32" t="n">
        <v>210.61</v>
      </c>
      <c r="G63" s="32">
        <f>IF(AND(E63&lt;&gt;"",F63&lt;&gt;""),F63-E63,IF(F63&lt;&gt;"",F63,IF(E63&lt;&gt;"",-E63,"")))</f>
        <v/>
      </c>
      <c r="H63" s="16">
        <f>IFERROR(G63/E63,"")</f>
        <v/>
      </c>
      <c r="I63" s="11" t="inlineStr">
        <is>
          <t>July 2026</t>
        </is>
      </c>
      <c r="J63" s="11" t="inlineStr">
        <is>
          <t>Monthly</t>
        </is>
      </c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  <c r="AO63" s="2" t="n"/>
      <c r="AP63" s="2" t="n"/>
      <c r="AQ63" s="2" t="n"/>
      <c r="AR63" s="2" t="n"/>
      <c r="AS63" s="2" t="n"/>
    </row>
    <row r="64">
      <c r="A64" s="11" t="inlineStr">
        <is>
          <t>RIV</t>
        </is>
      </c>
      <c r="B64" s="11" t="inlineStr">
        <is>
          <t>Surname828</t>
        </is>
      </c>
      <c r="C64" s="11" t="inlineStr">
        <is>
          <t>Forename828</t>
        </is>
      </c>
      <c r="D64" s="11" t="inlineStr">
        <is>
          <t>P40828</t>
        </is>
      </c>
      <c r="E64" s="32" t="n">
        <v>477.27</v>
      </c>
      <c r="F64" s="32" t="n">
        <v>674.3</v>
      </c>
      <c r="G64" s="32">
        <f>IF(AND(E64&lt;&gt;"",F64&lt;&gt;""),F64-E64,IF(F64&lt;&gt;"",F64,IF(E64&lt;&gt;"",-E64,"")))</f>
        <v/>
      </c>
      <c r="H64" s="16">
        <f>IFERROR(G64/E64,"")</f>
        <v/>
      </c>
      <c r="I64" s="11" t="inlineStr">
        <is>
          <t>July 2026</t>
        </is>
      </c>
      <c r="J64" s="11" t="inlineStr">
        <is>
          <t>Monthly</t>
        </is>
      </c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  <c r="AO64" s="2" t="n"/>
      <c r="AP64" s="2" t="n"/>
      <c r="AQ64" s="2" t="n"/>
      <c r="AR64" s="2" t="n"/>
      <c r="AS64" s="2" t="n"/>
    </row>
    <row r="65">
      <c r="A65" s="11" t="inlineStr">
        <is>
          <t>OAK</t>
        </is>
      </c>
      <c r="B65" s="11" t="inlineStr">
        <is>
          <t>Surname271</t>
        </is>
      </c>
      <c r="C65" s="11" t="inlineStr">
        <is>
          <t>Forename271</t>
        </is>
      </c>
      <c r="D65" s="11" t="inlineStr">
        <is>
          <t>P42271</t>
        </is>
      </c>
      <c r="E65" s="32" t="n">
        <v>215.94</v>
      </c>
      <c r="F65" s="32" t="n">
        <v>374.74</v>
      </c>
      <c r="G65" s="32">
        <f>IF(AND(E65&lt;&gt;"",F65&lt;&gt;""),F65-E65,IF(F65&lt;&gt;"",F65,IF(E65&lt;&gt;"",-E65,"")))</f>
        <v/>
      </c>
      <c r="H65" s="16">
        <f>IFERROR(G65/E65,"")</f>
        <v/>
      </c>
      <c r="I65" s="11" t="inlineStr">
        <is>
          <t>July 2026</t>
        </is>
      </c>
      <c r="J65" s="11" t="inlineStr">
        <is>
          <t>Monthly</t>
        </is>
      </c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  <c r="AO65" s="2" t="n"/>
      <c r="AP65" s="2" t="n"/>
      <c r="AQ65" s="2" t="n"/>
      <c r="AR65" s="2" t="n"/>
      <c r="AS65" s="2" t="n"/>
    </row>
    <row r="66">
      <c r="A66" s="11" t="inlineStr">
        <is>
          <t>RIV</t>
        </is>
      </c>
      <c r="B66" s="11" t="inlineStr">
        <is>
          <t>Surname503</t>
        </is>
      </c>
      <c r="C66" s="11" t="inlineStr">
        <is>
          <t>Forename503</t>
        </is>
      </c>
      <c r="D66" s="11" t="inlineStr">
        <is>
          <t>P86503</t>
        </is>
      </c>
      <c r="E66" s="32" t="n">
        <v>490.66</v>
      </c>
      <c r="F66" s="32" t="n">
        <v>504.81</v>
      </c>
      <c r="G66" s="32">
        <f>IF(AND(E66&lt;&gt;"",F66&lt;&gt;""),F66-E66,IF(F66&lt;&gt;"",F66,IF(E66&lt;&gt;"",-E66,"")))</f>
        <v/>
      </c>
      <c r="H66" s="16">
        <f>IFERROR(G66/E66,"")</f>
        <v/>
      </c>
      <c r="I66" s="11" t="inlineStr">
        <is>
          <t>July 2026</t>
        </is>
      </c>
      <c r="J66" s="11" t="inlineStr">
        <is>
          <t>Monthly</t>
        </is>
      </c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  <c r="AO66" s="2" t="n"/>
      <c r="AP66" s="2" t="n"/>
      <c r="AQ66" s="2" t="n"/>
      <c r="AR66" s="2" t="n"/>
      <c r="AS66" s="2" t="n"/>
    </row>
    <row r="67">
      <c r="A67" s="11" t="inlineStr">
        <is>
          <t>ELM</t>
        </is>
      </c>
      <c r="B67" s="11" t="inlineStr">
        <is>
          <t>Surname814</t>
        </is>
      </c>
      <c r="C67" s="11" t="inlineStr">
        <is>
          <t>Forename814</t>
        </is>
      </c>
      <c r="D67" s="11" t="inlineStr">
        <is>
          <t>P44814</t>
        </is>
      </c>
      <c r="E67" s="32" t="n">
        <v>2335.78</v>
      </c>
      <c r="F67" s="32" t="n">
        <v>2314.39</v>
      </c>
      <c r="G67" s="32">
        <f>IF(AND(E67&lt;&gt;"",F67&lt;&gt;""),F67-E67,IF(F67&lt;&gt;"",F67,IF(E67&lt;&gt;"",-E67,"")))</f>
        <v/>
      </c>
      <c r="H67" s="16">
        <f>IFERROR(G67/E67,"")</f>
        <v/>
      </c>
      <c r="I67" s="11" t="inlineStr">
        <is>
          <t>July 2026</t>
        </is>
      </c>
      <c r="J67" s="11" t="inlineStr">
        <is>
          <t>Monthly</t>
        </is>
      </c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  <c r="AO67" s="2" t="n"/>
      <c r="AP67" s="2" t="n"/>
      <c r="AQ67" s="2" t="n"/>
      <c r="AR67" s="2" t="n"/>
      <c r="AS67" s="2" t="n"/>
    </row>
    <row r="68">
      <c r="A68" s="11" t="inlineStr">
        <is>
          <t>OAK</t>
        </is>
      </c>
      <c r="B68" s="11" t="inlineStr">
        <is>
          <t>Surname508</t>
        </is>
      </c>
      <c r="C68" s="11" t="inlineStr">
        <is>
          <t>Forename508</t>
        </is>
      </c>
      <c r="D68" s="11" t="inlineStr">
        <is>
          <t>P19508</t>
        </is>
      </c>
      <c r="E68" s="32" t="n">
        <v>2165.78</v>
      </c>
      <c r="F68" s="32" t="n">
        <v>2319.06</v>
      </c>
      <c r="G68" s="32">
        <f>IF(AND(E68&lt;&gt;"",F68&lt;&gt;""),F68-E68,IF(F68&lt;&gt;"",F68,IF(E68&lt;&gt;"",-E68,"")))</f>
        <v/>
      </c>
      <c r="H68" s="16">
        <f>IFERROR(G68/E68,"")</f>
        <v/>
      </c>
      <c r="I68" s="11" t="inlineStr">
        <is>
          <t>July 2026</t>
        </is>
      </c>
      <c r="J68" s="11" t="inlineStr">
        <is>
          <t>Monthly</t>
        </is>
      </c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  <c r="AO68" s="2" t="n"/>
      <c r="AP68" s="2" t="n"/>
      <c r="AQ68" s="2" t="n"/>
      <c r="AR68" s="2" t="n"/>
      <c r="AS68" s="2" t="n"/>
    </row>
    <row r="69">
      <c r="A69" s="11" t="inlineStr">
        <is>
          <t>RIV</t>
        </is>
      </c>
      <c r="B69" s="11" t="inlineStr">
        <is>
          <t>Surname602</t>
        </is>
      </c>
      <c r="C69" s="11" t="inlineStr">
        <is>
          <t>Forename602</t>
        </is>
      </c>
      <c r="D69" s="11" t="inlineStr">
        <is>
          <t>P19602</t>
        </is>
      </c>
      <c r="E69" s="32" t="n">
        <v>2596.88</v>
      </c>
      <c r="F69" s="32" t="n"/>
      <c r="G69" s="32">
        <f>IF(AND(E69&lt;&gt;"",F69&lt;&gt;""),F69-E69,IF(F69&lt;&gt;"",F69,IF(E69&lt;&gt;"",-E69,"")))</f>
        <v/>
      </c>
      <c r="H69" s="16">
        <f>IFERROR(G69/E69,"")</f>
        <v/>
      </c>
      <c r="I69" s="11" t="inlineStr">
        <is>
          <t>July 2026</t>
        </is>
      </c>
      <c r="J69" s="11" t="inlineStr">
        <is>
          <t>Monthly</t>
        </is>
      </c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  <c r="AO69" s="2" t="n"/>
      <c r="AP69" s="2" t="n"/>
      <c r="AQ69" s="2" t="n"/>
      <c r="AR69" s="2" t="n"/>
      <c r="AS69" s="2" t="n"/>
    </row>
    <row r="70">
      <c r="A70" s="11" t="inlineStr">
        <is>
          <t>OAK</t>
        </is>
      </c>
      <c r="B70" s="11" t="inlineStr">
        <is>
          <t>Surname468</t>
        </is>
      </c>
      <c r="C70" s="11" t="inlineStr">
        <is>
          <t>Forename468</t>
        </is>
      </c>
      <c r="D70" s="11" t="inlineStr">
        <is>
          <t>P80468</t>
        </is>
      </c>
      <c r="E70" s="32" t="n"/>
      <c r="F70" s="32" t="n">
        <v>2596.88</v>
      </c>
      <c r="G70" s="32">
        <f>IF(AND(E70&lt;&gt;"",F70&lt;&gt;""),F70-E70,IF(F70&lt;&gt;"",F70,IF(E70&lt;&gt;"",-E70,"")))</f>
        <v/>
      </c>
      <c r="H70" s="16">
        <f>IFERROR(G70/E70,"")</f>
        <v/>
      </c>
      <c r="I70" s="11" t="inlineStr">
        <is>
          <t>July 2026</t>
        </is>
      </c>
      <c r="J70" s="11" t="inlineStr">
        <is>
          <t>Monthly</t>
        </is>
      </c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  <c r="AO70" s="2" t="n"/>
      <c r="AP70" s="2" t="n"/>
      <c r="AQ70" s="2" t="n"/>
      <c r="AR70" s="2" t="n"/>
      <c r="AS70" s="2" t="n"/>
    </row>
    <row r="71">
      <c r="A71" s="11" t="inlineStr">
        <is>
          <t>KIN</t>
        </is>
      </c>
      <c r="B71" s="11" t="inlineStr">
        <is>
          <t>Surname745</t>
        </is>
      </c>
      <c r="C71" s="11" t="inlineStr">
        <is>
          <t>Forename745</t>
        </is>
      </c>
      <c r="D71" s="11" t="inlineStr">
        <is>
          <t>P55745</t>
        </is>
      </c>
      <c r="E71" s="32" t="n">
        <v>1905.97</v>
      </c>
      <c r="F71" s="32" t="n"/>
      <c r="G71" s="32">
        <f>IF(AND(E71&lt;&gt;"",F71&lt;&gt;""),F71-E71,IF(F71&lt;&gt;"",F71,IF(E71&lt;&gt;"",-E71,"")))</f>
        <v/>
      </c>
      <c r="H71" s="16">
        <f>IFERROR(G71/E71,"")</f>
        <v/>
      </c>
      <c r="I71" s="11" t="inlineStr">
        <is>
          <t>July 2026</t>
        </is>
      </c>
      <c r="J71" s="11" t="inlineStr">
        <is>
          <t>Monthly</t>
        </is>
      </c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  <c r="AO71" s="2" t="n"/>
      <c r="AP71" s="2" t="n"/>
      <c r="AQ71" s="2" t="n"/>
      <c r="AR71" s="2" t="n"/>
      <c r="AS71" s="2" t="n"/>
    </row>
    <row r="72">
      <c r="A72" s="11" t="inlineStr">
        <is>
          <t>HAK</t>
        </is>
      </c>
      <c r="B72" s="11" t="inlineStr">
        <is>
          <t>Surname016</t>
        </is>
      </c>
      <c r="C72" s="11" t="inlineStr">
        <is>
          <t>Forename016</t>
        </is>
      </c>
      <c r="D72" s="11" t="inlineStr">
        <is>
          <t>P19016</t>
        </is>
      </c>
      <c r="E72" s="32" t="n"/>
      <c r="F72" s="32" t="n">
        <v>1905.97</v>
      </c>
      <c r="G72" s="32">
        <f>IF(AND(E72&lt;&gt;"",F72&lt;&gt;""),F72-E72,IF(F72&lt;&gt;"",F72,IF(E72&lt;&gt;"",-E72,"")))</f>
        <v/>
      </c>
      <c r="H72" s="16">
        <f>IFERROR(G72/E72,"")</f>
        <v/>
      </c>
      <c r="I72" s="11" t="inlineStr">
        <is>
          <t>July 2026</t>
        </is>
      </c>
      <c r="J72" s="11" t="inlineStr">
        <is>
          <t>Monthly</t>
        </is>
      </c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  <c r="AO72" s="2" t="n"/>
      <c r="AP72" s="2" t="n"/>
      <c r="AQ72" s="2" t="n"/>
      <c r="AR72" s="2" t="n"/>
      <c r="AS72" s="2" t="n"/>
    </row>
    <row r="73">
      <c r="A73" s="11" t="inlineStr">
        <is>
          <t>KIN</t>
        </is>
      </c>
      <c r="B73" s="11" t="inlineStr">
        <is>
          <t>Surname200</t>
        </is>
      </c>
      <c r="C73" s="11" t="inlineStr">
        <is>
          <t>Forename200</t>
        </is>
      </c>
      <c r="D73" s="11" t="inlineStr">
        <is>
          <t>P81200</t>
        </is>
      </c>
      <c r="E73" s="32" t="n">
        <v>2150.55</v>
      </c>
      <c r="F73" s="32" t="n">
        <v>0</v>
      </c>
      <c r="G73" s="32">
        <f>IF(AND(E73&lt;&gt;"",F73&lt;&gt;""),F73-E73,IF(F73&lt;&gt;"",F73,IF(E73&lt;&gt;"",-E73,"")))</f>
        <v/>
      </c>
      <c r="H73" s="16">
        <f>IFERROR(G73/E73,"")</f>
        <v/>
      </c>
      <c r="I73" s="11" t="inlineStr">
        <is>
          <t>July 2026</t>
        </is>
      </c>
      <c r="J73" s="11" t="inlineStr">
        <is>
          <t>Monthly</t>
        </is>
      </c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  <c r="AO73" s="2" t="n"/>
      <c r="AP73" s="2" t="n"/>
      <c r="AQ73" s="2" t="n"/>
      <c r="AR73" s="2" t="n"/>
      <c r="AS73" s="2" t="n"/>
    </row>
    <row r="74">
      <c r="A74" s="11" t="inlineStr">
        <is>
          <t>ELM</t>
        </is>
      </c>
      <c r="B74" s="11" t="inlineStr">
        <is>
          <t>Surname538</t>
        </is>
      </c>
      <c r="C74" s="11" t="inlineStr">
        <is>
          <t>Forename538</t>
        </is>
      </c>
      <c r="D74" s="11" t="inlineStr">
        <is>
          <t>P97538</t>
        </is>
      </c>
      <c r="E74" s="32" t="n">
        <v>2223.15</v>
      </c>
      <c r="F74" s="32" t="n">
        <v>0</v>
      </c>
      <c r="G74" s="32">
        <f>IF(AND(E74&lt;&gt;"",F74&lt;&gt;""),F74-E74,IF(F74&lt;&gt;"",F74,IF(E74&lt;&gt;"",-E74,"")))</f>
        <v/>
      </c>
      <c r="H74" s="16">
        <f>IFERROR(G74/E74,"")</f>
        <v/>
      </c>
      <c r="I74" s="11" t="inlineStr">
        <is>
          <t>July 2026</t>
        </is>
      </c>
      <c r="J74" s="11" t="inlineStr">
        <is>
          <t>Monthly</t>
        </is>
      </c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  <c r="AO74" s="2" t="n"/>
      <c r="AP74" s="2" t="n"/>
      <c r="AQ74" s="2" t="n"/>
      <c r="AR74" s="2" t="n"/>
      <c r="AS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  <c r="AO75" s="2" t="n"/>
      <c r="AP75" s="2" t="n"/>
      <c r="AQ75" s="2" t="n"/>
      <c r="AR75" s="2" t="n"/>
      <c r="AS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  <c r="AO76" s="2" t="n"/>
      <c r="AP76" s="2" t="n"/>
      <c r="AQ76" s="2" t="n"/>
      <c r="AR76" s="2" t="n"/>
      <c r="AS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  <c r="AO77" s="2" t="n"/>
      <c r="AP77" s="2" t="n"/>
      <c r="AQ77" s="2" t="n"/>
      <c r="AR77" s="2" t="n"/>
      <c r="AS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  <c r="AO78" s="2" t="n"/>
      <c r="AP78" s="2" t="n"/>
      <c r="AQ78" s="2" t="n"/>
      <c r="AR78" s="2" t="n"/>
      <c r="AS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  <c r="AO79" s="2" t="n"/>
      <c r="AP79" s="2" t="n"/>
      <c r="AQ79" s="2" t="n"/>
      <c r="AR79" s="2" t="n"/>
      <c r="AS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  <c r="AO80" s="2" t="n"/>
      <c r="AP80" s="2" t="n"/>
      <c r="AQ80" s="2" t="n"/>
      <c r="AR80" s="2" t="n"/>
      <c r="AS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  <c r="AO81" s="2" t="n"/>
      <c r="AP81" s="2" t="n"/>
      <c r="AQ81" s="2" t="n"/>
      <c r="AR81" s="2" t="n"/>
      <c r="AS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  <c r="AO82" s="2" t="n"/>
      <c r="AP82" s="2" t="n"/>
      <c r="AQ82" s="2" t="n"/>
      <c r="AR82" s="2" t="n"/>
      <c r="AS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  <c r="AO83" s="2" t="n"/>
      <c r="AP83" s="2" t="n"/>
      <c r="AQ83" s="2" t="n"/>
      <c r="AR83" s="2" t="n"/>
      <c r="AS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  <c r="AO84" s="2" t="n"/>
      <c r="AP84" s="2" t="n"/>
      <c r="AQ84" s="2" t="n"/>
      <c r="AR84" s="2" t="n"/>
      <c r="AS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  <c r="AO85" s="2" t="n"/>
      <c r="AP85" s="2" t="n"/>
      <c r="AQ85" s="2" t="n"/>
      <c r="AR85" s="2" t="n"/>
      <c r="AS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  <c r="AO86" s="2" t="n"/>
      <c r="AP86" s="2" t="n"/>
      <c r="AQ86" s="2" t="n"/>
      <c r="AR86" s="2" t="n"/>
      <c r="AS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  <c r="AO87" s="2" t="n"/>
      <c r="AP87" s="2" t="n"/>
      <c r="AQ87" s="2" t="n"/>
      <c r="AR87" s="2" t="n"/>
      <c r="AS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  <c r="AO88" s="2" t="n"/>
      <c r="AP88" s="2" t="n"/>
      <c r="AQ88" s="2" t="n"/>
      <c r="AR88" s="2" t="n"/>
      <c r="AS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  <c r="AO89" s="2" t="n"/>
      <c r="AP89" s="2" t="n"/>
      <c r="AQ89" s="2" t="n"/>
      <c r="AR89" s="2" t="n"/>
      <c r="AS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  <c r="AO90" s="2" t="n"/>
      <c r="AP90" s="2" t="n"/>
      <c r="AQ90" s="2" t="n"/>
      <c r="AR90" s="2" t="n"/>
      <c r="AS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  <c r="AO91" s="2" t="n"/>
      <c r="AP91" s="2" t="n"/>
      <c r="AQ91" s="2" t="n"/>
      <c r="AR91" s="2" t="n"/>
      <c r="AS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  <c r="AO92" s="2" t="n"/>
      <c r="AP92" s="2" t="n"/>
      <c r="AQ92" s="2" t="n"/>
      <c r="AR92" s="2" t="n"/>
      <c r="AS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  <c r="AO93" s="2" t="n"/>
      <c r="AP93" s="2" t="n"/>
      <c r="AQ93" s="2" t="n"/>
      <c r="AR93" s="2" t="n"/>
      <c r="AS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  <c r="AO94" s="2" t="n"/>
      <c r="AP94" s="2" t="n"/>
      <c r="AQ94" s="2" t="n"/>
      <c r="AR94" s="2" t="n"/>
      <c r="AS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  <c r="AO95" s="2" t="n"/>
      <c r="AP95" s="2" t="n"/>
      <c r="AQ95" s="2" t="n"/>
      <c r="AR95" s="2" t="n"/>
      <c r="AS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  <c r="AO96" s="2" t="n"/>
      <c r="AP96" s="2" t="n"/>
      <c r="AQ96" s="2" t="n"/>
      <c r="AR96" s="2" t="n"/>
      <c r="AS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  <c r="AO97" s="2" t="n"/>
      <c r="AP97" s="2" t="n"/>
      <c r="AQ97" s="2" t="n"/>
      <c r="AR97" s="2" t="n"/>
      <c r="AS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  <c r="AO98" s="2" t="n"/>
      <c r="AP98" s="2" t="n"/>
      <c r="AQ98" s="2" t="n"/>
      <c r="AR98" s="2" t="n"/>
      <c r="AS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  <c r="AO99" s="2" t="n"/>
      <c r="AP99" s="2" t="n"/>
      <c r="AQ99" s="2" t="n"/>
      <c r="AR99" s="2" t="n"/>
      <c r="AS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  <c r="AO100" s="2" t="n"/>
      <c r="AP100" s="2" t="n"/>
      <c r="AQ100" s="2" t="n"/>
      <c r="AR100" s="2" t="n"/>
      <c r="AS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  <c r="AO101" s="2" t="n"/>
      <c r="AP101" s="2" t="n"/>
      <c r="AQ101" s="2" t="n"/>
      <c r="AR101" s="2" t="n"/>
      <c r="AS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  <c r="AO102" s="2" t="n"/>
      <c r="AP102" s="2" t="n"/>
      <c r="AQ102" s="2" t="n"/>
      <c r="AR102" s="2" t="n"/>
      <c r="AS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  <c r="AO103" s="2" t="n"/>
      <c r="AP103" s="2" t="n"/>
      <c r="AQ103" s="2" t="n"/>
      <c r="AR103" s="2" t="n"/>
      <c r="AS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  <c r="AO104" s="2" t="n"/>
      <c r="AP104" s="2" t="n"/>
      <c r="AQ104" s="2" t="n"/>
      <c r="AR104" s="2" t="n"/>
      <c r="AS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  <c r="AO105" s="2" t="n"/>
      <c r="AP105" s="2" t="n"/>
      <c r="AQ105" s="2" t="n"/>
      <c r="AR105" s="2" t="n"/>
      <c r="AS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  <c r="AO106" s="2" t="n"/>
      <c r="AP106" s="2" t="n"/>
      <c r="AQ106" s="2" t="n"/>
      <c r="AR106" s="2" t="n"/>
      <c r="AS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  <c r="AO107" s="2" t="n"/>
      <c r="AP107" s="2" t="n"/>
      <c r="AQ107" s="2" t="n"/>
      <c r="AR107" s="2" t="n"/>
      <c r="AS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  <c r="AO108" s="2" t="n"/>
      <c r="AP108" s="2" t="n"/>
      <c r="AQ108" s="2" t="n"/>
      <c r="AR108" s="2" t="n"/>
      <c r="AS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  <c r="AO109" s="2" t="n"/>
      <c r="AP109" s="2" t="n"/>
      <c r="AQ109" s="2" t="n"/>
      <c r="AR109" s="2" t="n"/>
      <c r="AS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  <c r="AO110" s="2" t="n"/>
      <c r="AP110" s="2" t="n"/>
      <c r="AQ110" s="2" t="n"/>
      <c r="AR110" s="2" t="n"/>
      <c r="AS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  <c r="AO111" s="2" t="n"/>
      <c r="AP111" s="2" t="n"/>
      <c r="AQ111" s="2" t="n"/>
      <c r="AR111" s="2" t="n"/>
      <c r="AS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  <c r="AO112" s="2" t="n"/>
      <c r="AP112" s="2" t="n"/>
      <c r="AQ112" s="2" t="n"/>
      <c r="AR112" s="2" t="n"/>
      <c r="AS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  <c r="AO113" s="2" t="n"/>
      <c r="AP113" s="2" t="n"/>
      <c r="AQ113" s="2" t="n"/>
      <c r="AR113" s="2" t="n"/>
      <c r="AS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  <c r="AO114" s="2" t="n"/>
      <c r="AP114" s="2" t="n"/>
      <c r="AQ114" s="2" t="n"/>
      <c r="AR114" s="2" t="n"/>
      <c r="AS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  <c r="AO115" s="2" t="n"/>
      <c r="AP115" s="2" t="n"/>
      <c r="AQ115" s="2" t="n"/>
      <c r="AR115" s="2" t="n"/>
      <c r="AS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  <c r="AO116" s="2" t="n"/>
      <c r="AP116" s="2" t="n"/>
      <c r="AQ116" s="2" t="n"/>
      <c r="AR116" s="2" t="n"/>
      <c r="AS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  <c r="AO117" s="2" t="n"/>
      <c r="AP117" s="2" t="n"/>
      <c r="AQ117" s="2" t="n"/>
      <c r="AR117" s="2" t="n"/>
      <c r="AS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  <c r="AO118" s="2" t="n"/>
      <c r="AP118" s="2" t="n"/>
      <c r="AQ118" s="2" t="n"/>
      <c r="AR118" s="2" t="n"/>
      <c r="AS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  <c r="AO119" s="2" t="n"/>
      <c r="AP119" s="2" t="n"/>
      <c r="AQ119" s="2" t="n"/>
      <c r="AR119" s="2" t="n"/>
      <c r="AS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  <c r="AO120" s="2" t="n"/>
      <c r="AP120" s="2" t="n"/>
      <c r="AQ120" s="2" t="n"/>
      <c r="AR120" s="2" t="n"/>
      <c r="AS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  <c r="AO121" s="2" t="n"/>
      <c r="AP121" s="2" t="n"/>
      <c r="AQ121" s="2" t="n"/>
      <c r="AR121" s="2" t="n"/>
      <c r="AS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  <c r="AO122" s="2" t="n"/>
      <c r="AP122" s="2" t="n"/>
      <c r="AQ122" s="2" t="n"/>
      <c r="AR122" s="2" t="n"/>
      <c r="AS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  <c r="AO123" s="2" t="n"/>
      <c r="AP123" s="2" t="n"/>
      <c r="AQ123" s="2" t="n"/>
      <c r="AR123" s="2" t="n"/>
      <c r="AS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  <c r="AO124" s="2" t="n"/>
      <c r="AP124" s="2" t="n"/>
      <c r="AQ124" s="2" t="n"/>
      <c r="AR124" s="2" t="n"/>
      <c r="AS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  <c r="AO125" s="2" t="n"/>
      <c r="AP125" s="2" t="n"/>
      <c r="AQ125" s="2" t="n"/>
      <c r="AR125" s="2" t="n"/>
      <c r="AS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  <c r="AO126" s="2" t="n"/>
      <c r="AP126" s="2" t="n"/>
      <c r="AQ126" s="2" t="n"/>
      <c r="AR126" s="2" t="n"/>
      <c r="AS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  <c r="AO127" s="2" t="n"/>
      <c r="AP127" s="2" t="n"/>
      <c r="AQ127" s="2" t="n"/>
      <c r="AR127" s="2" t="n"/>
      <c r="AS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  <c r="AO128" s="2" t="n"/>
      <c r="AP128" s="2" t="n"/>
      <c r="AQ128" s="2" t="n"/>
      <c r="AR128" s="2" t="n"/>
      <c r="AS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  <c r="AO129" s="2" t="n"/>
      <c r="AP129" s="2" t="n"/>
      <c r="AQ129" s="2" t="n"/>
      <c r="AR129" s="2" t="n"/>
      <c r="AS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  <c r="AO130" s="2" t="n"/>
      <c r="AP130" s="2" t="n"/>
      <c r="AQ130" s="2" t="n"/>
      <c r="AR130" s="2" t="n"/>
      <c r="AS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  <c r="AO131" s="2" t="n"/>
      <c r="AP131" s="2" t="n"/>
      <c r="AQ131" s="2" t="n"/>
      <c r="AR131" s="2" t="n"/>
      <c r="AS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  <c r="AO132" s="2" t="n"/>
      <c r="AP132" s="2" t="n"/>
      <c r="AQ132" s="2" t="n"/>
      <c r="AR132" s="2" t="n"/>
      <c r="AS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  <c r="AO133" s="2" t="n"/>
      <c r="AP133" s="2" t="n"/>
      <c r="AQ133" s="2" t="n"/>
      <c r="AR133" s="2" t="n"/>
      <c r="AS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  <c r="AO134" s="2" t="n"/>
      <c r="AP134" s="2" t="n"/>
      <c r="AQ134" s="2" t="n"/>
      <c r="AR134" s="2" t="n"/>
      <c r="AS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  <c r="AO135" s="2" t="n"/>
      <c r="AP135" s="2" t="n"/>
      <c r="AQ135" s="2" t="n"/>
      <c r="AR135" s="2" t="n"/>
      <c r="AS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  <c r="AO136" s="2" t="n"/>
      <c r="AP136" s="2" t="n"/>
      <c r="AQ136" s="2" t="n"/>
      <c r="AR136" s="2" t="n"/>
      <c r="AS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  <c r="AO137" s="2" t="n"/>
      <c r="AP137" s="2" t="n"/>
      <c r="AQ137" s="2" t="n"/>
      <c r="AR137" s="2" t="n"/>
      <c r="AS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  <c r="AO138" s="2" t="n"/>
      <c r="AP138" s="2" t="n"/>
      <c r="AQ138" s="2" t="n"/>
      <c r="AR138" s="2" t="n"/>
      <c r="AS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  <c r="AO139" s="2" t="n"/>
      <c r="AP139" s="2" t="n"/>
      <c r="AQ139" s="2" t="n"/>
      <c r="AR139" s="2" t="n"/>
      <c r="AS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  <c r="AO140" s="2" t="n"/>
      <c r="AP140" s="2" t="n"/>
      <c r="AQ140" s="2" t="n"/>
      <c r="AR140" s="2" t="n"/>
      <c r="AS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  <c r="AO141" s="2" t="n"/>
      <c r="AP141" s="2" t="n"/>
      <c r="AQ141" s="2" t="n"/>
      <c r="AR141" s="2" t="n"/>
      <c r="AS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  <c r="AO142" s="2" t="n"/>
      <c r="AP142" s="2" t="n"/>
      <c r="AQ142" s="2" t="n"/>
      <c r="AR142" s="2" t="n"/>
      <c r="AS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  <c r="AO143" s="2" t="n"/>
      <c r="AP143" s="2" t="n"/>
      <c r="AQ143" s="2" t="n"/>
      <c r="AR143" s="2" t="n"/>
      <c r="AS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  <c r="AO144" s="2" t="n"/>
      <c r="AP144" s="2" t="n"/>
      <c r="AQ144" s="2" t="n"/>
      <c r="AR144" s="2" t="n"/>
      <c r="AS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  <c r="AO145" s="2" t="n"/>
      <c r="AP145" s="2" t="n"/>
      <c r="AQ145" s="2" t="n"/>
      <c r="AR145" s="2" t="n"/>
      <c r="AS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  <c r="AO146" s="2" t="n"/>
      <c r="AP146" s="2" t="n"/>
      <c r="AQ146" s="2" t="n"/>
      <c r="AR146" s="2" t="n"/>
      <c r="AS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  <c r="AO147" s="2" t="n"/>
      <c r="AP147" s="2" t="n"/>
      <c r="AQ147" s="2" t="n"/>
      <c r="AR147" s="2" t="n"/>
      <c r="AS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  <c r="AO148" s="2" t="n"/>
      <c r="AP148" s="2" t="n"/>
      <c r="AQ148" s="2" t="n"/>
      <c r="AR148" s="2" t="n"/>
      <c r="AS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  <c r="AO149" s="2" t="n"/>
      <c r="AP149" s="2" t="n"/>
      <c r="AQ149" s="2" t="n"/>
      <c r="AR149" s="2" t="n"/>
      <c r="AS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  <c r="AO150" s="2" t="n"/>
      <c r="AP150" s="2" t="n"/>
      <c r="AQ150" s="2" t="n"/>
      <c r="AR150" s="2" t="n"/>
      <c r="AS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  <c r="AO151" s="2" t="n"/>
      <c r="AP151" s="2" t="n"/>
      <c r="AQ151" s="2" t="n"/>
      <c r="AR151" s="2" t="n"/>
      <c r="AS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  <c r="AO152" s="2" t="n"/>
      <c r="AP152" s="2" t="n"/>
      <c r="AQ152" s="2" t="n"/>
      <c r="AR152" s="2" t="n"/>
      <c r="AS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  <c r="AO153" s="2" t="n"/>
      <c r="AP153" s="2" t="n"/>
      <c r="AQ153" s="2" t="n"/>
      <c r="AR153" s="2" t="n"/>
      <c r="AS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  <c r="AO154" s="2" t="n"/>
      <c r="AP154" s="2" t="n"/>
      <c r="AQ154" s="2" t="n"/>
      <c r="AR154" s="2" t="n"/>
      <c r="AS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  <c r="AO155" s="2" t="n"/>
      <c r="AP155" s="2" t="n"/>
      <c r="AQ155" s="2" t="n"/>
      <c r="AR155" s="2" t="n"/>
      <c r="AS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  <c r="AO156" s="2" t="n"/>
      <c r="AP156" s="2" t="n"/>
      <c r="AQ156" s="2" t="n"/>
      <c r="AR156" s="2" t="n"/>
      <c r="AS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  <c r="AO157" s="2" t="n"/>
      <c r="AP157" s="2" t="n"/>
      <c r="AQ157" s="2" t="n"/>
      <c r="AR157" s="2" t="n"/>
      <c r="AS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  <c r="AO158" s="2" t="n"/>
      <c r="AP158" s="2" t="n"/>
      <c r="AQ158" s="2" t="n"/>
      <c r="AR158" s="2" t="n"/>
      <c r="AS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  <c r="AO159" s="2" t="n"/>
      <c r="AP159" s="2" t="n"/>
      <c r="AQ159" s="2" t="n"/>
      <c r="AR159" s="2" t="n"/>
      <c r="AS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  <c r="AO160" s="2" t="n"/>
      <c r="AP160" s="2" t="n"/>
      <c r="AQ160" s="2" t="n"/>
      <c r="AR160" s="2" t="n"/>
      <c r="AS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  <c r="AO161" s="2" t="n"/>
      <c r="AP161" s="2" t="n"/>
      <c r="AQ161" s="2" t="n"/>
      <c r="AR161" s="2" t="n"/>
      <c r="AS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  <c r="AO162" s="2" t="n"/>
      <c r="AP162" s="2" t="n"/>
      <c r="AQ162" s="2" t="n"/>
      <c r="AR162" s="2" t="n"/>
      <c r="AS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  <c r="AO163" s="2" t="n"/>
      <c r="AP163" s="2" t="n"/>
      <c r="AQ163" s="2" t="n"/>
      <c r="AR163" s="2" t="n"/>
      <c r="AS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  <c r="AO164" s="2" t="n"/>
      <c r="AP164" s="2" t="n"/>
      <c r="AQ164" s="2" t="n"/>
      <c r="AR164" s="2" t="n"/>
      <c r="AS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  <c r="AO165" s="2" t="n"/>
      <c r="AP165" s="2" t="n"/>
      <c r="AQ165" s="2" t="n"/>
      <c r="AR165" s="2" t="n"/>
      <c r="AS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  <c r="AO166" s="2" t="n"/>
      <c r="AP166" s="2" t="n"/>
      <c r="AQ166" s="2" t="n"/>
      <c r="AR166" s="2" t="n"/>
      <c r="AS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  <c r="AO167" s="2" t="n"/>
      <c r="AP167" s="2" t="n"/>
      <c r="AQ167" s="2" t="n"/>
      <c r="AR167" s="2" t="n"/>
      <c r="AS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  <c r="AO168" s="2" t="n"/>
      <c r="AP168" s="2" t="n"/>
      <c r="AQ168" s="2" t="n"/>
      <c r="AR168" s="2" t="n"/>
      <c r="AS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  <c r="AO169" s="2" t="n"/>
      <c r="AP169" s="2" t="n"/>
      <c r="AQ169" s="2" t="n"/>
      <c r="AR169" s="2" t="n"/>
      <c r="AS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  <c r="AO170" s="2" t="n"/>
      <c r="AP170" s="2" t="n"/>
      <c r="AQ170" s="2" t="n"/>
      <c r="AR170" s="2" t="n"/>
      <c r="AS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  <c r="AO171" s="2" t="n"/>
      <c r="AP171" s="2" t="n"/>
      <c r="AQ171" s="2" t="n"/>
      <c r="AR171" s="2" t="n"/>
      <c r="AS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  <c r="AO172" s="2" t="n"/>
      <c r="AP172" s="2" t="n"/>
      <c r="AQ172" s="2" t="n"/>
      <c r="AR172" s="2" t="n"/>
      <c r="AS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  <c r="AO173" s="2" t="n"/>
      <c r="AP173" s="2" t="n"/>
      <c r="AQ173" s="2" t="n"/>
      <c r="AR173" s="2" t="n"/>
      <c r="AS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  <c r="AO174" s="2" t="n"/>
      <c r="AP174" s="2" t="n"/>
      <c r="AQ174" s="2" t="n"/>
      <c r="AR174" s="2" t="n"/>
      <c r="AS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  <c r="AO175" s="2" t="n"/>
      <c r="AP175" s="2" t="n"/>
      <c r="AQ175" s="2" t="n"/>
      <c r="AR175" s="2" t="n"/>
      <c r="AS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  <c r="AO176" s="2" t="n"/>
      <c r="AP176" s="2" t="n"/>
      <c r="AQ176" s="2" t="n"/>
      <c r="AR176" s="2" t="n"/>
      <c r="AS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  <c r="AO177" s="2" t="n"/>
      <c r="AP177" s="2" t="n"/>
      <c r="AQ177" s="2" t="n"/>
      <c r="AR177" s="2" t="n"/>
      <c r="AS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  <c r="AO178" s="2" t="n"/>
      <c r="AP178" s="2" t="n"/>
      <c r="AQ178" s="2" t="n"/>
      <c r="AR178" s="2" t="n"/>
      <c r="AS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  <c r="AO179" s="2" t="n"/>
      <c r="AP179" s="2" t="n"/>
      <c r="AQ179" s="2" t="n"/>
      <c r="AR179" s="2" t="n"/>
      <c r="AS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  <c r="AO180" s="2" t="n"/>
      <c r="AP180" s="2" t="n"/>
      <c r="AQ180" s="2" t="n"/>
      <c r="AR180" s="2" t="n"/>
      <c r="AS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  <c r="AO181" s="2" t="n"/>
      <c r="AP181" s="2" t="n"/>
      <c r="AQ181" s="2" t="n"/>
      <c r="AR181" s="2" t="n"/>
      <c r="AS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  <c r="AO182" s="2" t="n"/>
      <c r="AP182" s="2" t="n"/>
      <c r="AQ182" s="2" t="n"/>
      <c r="AR182" s="2" t="n"/>
      <c r="AS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  <c r="AO183" s="2" t="n"/>
      <c r="AP183" s="2" t="n"/>
      <c r="AQ183" s="2" t="n"/>
      <c r="AR183" s="2" t="n"/>
      <c r="AS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  <c r="AO184" s="2" t="n"/>
      <c r="AP184" s="2" t="n"/>
      <c r="AQ184" s="2" t="n"/>
      <c r="AR184" s="2" t="n"/>
      <c r="AS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  <c r="AO185" s="2" t="n"/>
      <c r="AP185" s="2" t="n"/>
      <c r="AQ185" s="2" t="n"/>
      <c r="AR185" s="2" t="n"/>
      <c r="AS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  <c r="AO186" s="2" t="n"/>
      <c r="AP186" s="2" t="n"/>
      <c r="AQ186" s="2" t="n"/>
      <c r="AR186" s="2" t="n"/>
      <c r="AS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  <c r="AO187" s="2" t="n"/>
      <c r="AP187" s="2" t="n"/>
      <c r="AQ187" s="2" t="n"/>
      <c r="AR187" s="2" t="n"/>
      <c r="AS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  <c r="AO188" s="2" t="n"/>
      <c r="AP188" s="2" t="n"/>
      <c r="AQ188" s="2" t="n"/>
      <c r="AR188" s="2" t="n"/>
      <c r="AS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  <c r="AO189" s="2" t="n"/>
      <c r="AP189" s="2" t="n"/>
      <c r="AQ189" s="2" t="n"/>
      <c r="AR189" s="2" t="n"/>
      <c r="AS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  <c r="AO190" s="2" t="n"/>
      <c r="AP190" s="2" t="n"/>
      <c r="AQ190" s="2" t="n"/>
      <c r="AR190" s="2" t="n"/>
      <c r="AS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  <c r="AO191" s="2" t="n"/>
      <c r="AP191" s="2" t="n"/>
      <c r="AQ191" s="2" t="n"/>
      <c r="AR191" s="2" t="n"/>
      <c r="AS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  <c r="AO192" s="2" t="n"/>
      <c r="AP192" s="2" t="n"/>
      <c r="AQ192" s="2" t="n"/>
      <c r="AR192" s="2" t="n"/>
      <c r="AS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  <c r="AO193" s="2" t="n"/>
      <c r="AP193" s="2" t="n"/>
      <c r="AQ193" s="2" t="n"/>
      <c r="AR193" s="2" t="n"/>
      <c r="AS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  <c r="AO194" s="2" t="n"/>
      <c r="AP194" s="2" t="n"/>
      <c r="AQ194" s="2" t="n"/>
      <c r="AR194" s="2" t="n"/>
      <c r="AS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  <c r="AO195" s="2" t="n"/>
      <c r="AP195" s="2" t="n"/>
      <c r="AQ195" s="2" t="n"/>
      <c r="AR195" s="2" t="n"/>
      <c r="AS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  <c r="AO196" s="2" t="n"/>
      <c r="AP196" s="2" t="n"/>
      <c r="AQ196" s="2" t="n"/>
      <c r="AR196" s="2" t="n"/>
      <c r="AS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  <c r="AO197" s="2" t="n"/>
      <c r="AP197" s="2" t="n"/>
      <c r="AQ197" s="2" t="n"/>
      <c r="AR197" s="2" t="n"/>
      <c r="AS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  <c r="AO198" s="2" t="n"/>
      <c r="AP198" s="2" t="n"/>
      <c r="AQ198" s="2" t="n"/>
      <c r="AR198" s="2" t="n"/>
      <c r="AS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  <c r="AO199" s="2" t="n"/>
      <c r="AP199" s="2" t="n"/>
      <c r="AQ199" s="2" t="n"/>
      <c r="AR199" s="2" t="n"/>
      <c r="AS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  <c r="AO200" s="2" t="n"/>
      <c r="AP200" s="2" t="n"/>
      <c r="AQ200" s="2" t="n"/>
      <c r="AR200" s="2" t="n"/>
      <c r="AS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  <c r="AO201" s="2" t="n"/>
      <c r="AP201" s="2" t="n"/>
      <c r="AQ201" s="2" t="n"/>
      <c r="AR201" s="2" t="n"/>
      <c r="AS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  <c r="AO202" s="2" t="n"/>
      <c r="AP202" s="2" t="n"/>
      <c r="AQ202" s="2" t="n"/>
      <c r="AR202" s="2" t="n"/>
      <c r="AS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  <c r="AO203" s="2" t="n"/>
      <c r="AP203" s="2" t="n"/>
      <c r="AQ203" s="2" t="n"/>
      <c r="AR203" s="2" t="n"/>
      <c r="AS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  <c r="AO204" s="2" t="n"/>
      <c r="AP204" s="2" t="n"/>
      <c r="AQ204" s="2" t="n"/>
      <c r="AR204" s="2" t="n"/>
      <c r="AS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  <c r="AO205" s="2" t="n"/>
      <c r="AP205" s="2" t="n"/>
      <c r="AQ205" s="2" t="n"/>
      <c r="AR205" s="2" t="n"/>
      <c r="AS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  <c r="AO206" s="2" t="n"/>
      <c r="AP206" s="2" t="n"/>
      <c r="AQ206" s="2" t="n"/>
      <c r="AR206" s="2" t="n"/>
      <c r="AS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  <c r="AO207" s="2" t="n"/>
      <c r="AP207" s="2" t="n"/>
      <c r="AQ207" s="2" t="n"/>
      <c r="AR207" s="2" t="n"/>
      <c r="AS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  <c r="AO208" s="2" t="n"/>
      <c r="AP208" s="2" t="n"/>
      <c r="AQ208" s="2" t="n"/>
      <c r="AR208" s="2" t="n"/>
      <c r="AS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  <c r="AO209" s="2" t="n"/>
      <c r="AP209" s="2" t="n"/>
      <c r="AQ209" s="2" t="n"/>
      <c r="AR209" s="2" t="n"/>
      <c r="AS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  <c r="AO210" s="2" t="n"/>
      <c r="AP210" s="2" t="n"/>
      <c r="AQ210" s="2" t="n"/>
      <c r="AR210" s="2" t="n"/>
      <c r="AS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  <c r="AO211" s="2" t="n"/>
      <c r="AP211" s="2" t="n"/>
      <c r="AQ211" s="2" t="n"/>
      <c r="AR211" s="2" t="n"/>
      <c r="AS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  <c r="AO212" s="2" t="n"/>
      <c r="AP212" s="2" t="n"/>
      <c r="AQ212" s="2" t="n"/>
      <c r="AR212" s="2" t="n"/>
      <c r="AS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  <c r="AO213" s="2" t="n"/>
      <c r="AP213" s="2" t="n"/>
      <c r="AQ213" s="2" t="n"/>
      <c r="AR213" s="2" t="n"/>
      <c r="AS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  <c r="AO214" s="2" t="n"/>
      <c r="AP214" s="2" t="n"/>
      <c r="AQ214" s="2" t="n"/>
      <c r="AR214" s="2" t="n"/>
      <c r="AS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  <c r="AO215" s="2" t="n"/>
      <c r="AP215" s="2" t="n"/>
      <c r="AQ215" s="2" t="n"/>
      <c r="AR215" s="2" t="n"/>
      <c r="AS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  <c r="AO216" s="2" t="n"/>
      <c r="AP216" s="2" t="n"/>
      <c r="AQ216" s="2" t="n"/>
      <c r="AR216" s="2" t="n"/>
      <c r="AS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  <c r="AO217" s="2" t="n"/>
      <c r="AP217" s="2" t="n"/>
      <c r="AQ217" s="2" t="n"/>
      <c r="AR217" s="2" t="n"/>
      <c r="AS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  <c r="AO218" s="2" t="n"/>
      <c r="AP218" s="2" t="n"/>
      <c r="AQ218" s="2" t="n"/>
      <c r="AR218" s="2" t="n"/>
      <c r="AS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  <c r="AO219" s="2" t="n"/>
      <c r="AP219" s="2" t="n"/>
      <c r="AQ219" s="2" t="n"/>
      <c r="AR219" s="2" t="n"/>
      <c r="AS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  <c r="AO220" s="2" t="n"/>
      <c r="AP220" s="2" t="n"/>
      <c r="AQ220" s="2" t="n"/>
      <c r="AR220" s="2" t="n"/>
      <c r="AS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  <c r="AO221" s="2" t="n"/>
      <c r="AP221" s="2" t="n"/>
      <c r="AQ221" s="2" t="n"/>
      <c r="AR221" s="2" t="n"/>
      <c r="AS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  <c r="AO222" s="2" t="n"/>
      <c r="AP222" s="2" t="n"/>
      <c r="AQ222" s="2" t="n"/>
      <c r="AR222" s="2" t="n"/>
      <c r="AS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  <c r="AO223" s="2" t="n"/>
      <c r="AP223" s="2" t="n"/>
      <c r="AQ223" s="2" t="n"/>
      <c r="AR223" s="2" t="n"/>
      <c r="AS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  <c r="AO224" s="2" t="n"/>
      <c r="AP224" s="2" t="n"/>
      <c r="AQ224" s="2" t="n"/>
      <c r="AR224" s="2" t="n"/>
      <c r="AS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  <c r="AO225" s="2" t="n"/>
      <c r="AP225" s="2" t="n"/>
      <c r="AQ225" s="2" t="n"/>
      <c r="AR225" s="2" t="n"/>
      <c r="AS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  <c r="AO226" s="2" t="n"/>
      <c r="AP226" s="2" t="n"/>
      <c r="AQ226" s="2" t="n"/>
      <c r="AR226" s="2" t="n"/>
      <c r="AS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  <c r="AO227" s="2" t="n"/>
      <c r="AP227" s="2" t="n"/>
      <c r="AQ227" s="2" t="n"/>
      <c r="AR227" s="2" t="n"/>
      <c r="AS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  <c r="AO228" s="2" t="n"/>
      <c r="AP228" s="2" t="n"/>
      <c r="AQ228" s="2" t="n"/>
      <c r="AR228" s="2" t="n"/>
      <c r="AS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  <c r="AO229" s="2" t="n"/>
      <c r="AP229" s="2" t="n"/>
      <c r="AQ229" s="2" t="n"/>
      <c r="AR229" s="2" t="n"/>
      <c r="AS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  <c r="AO230" s="2" t="n"/>
      <c r="AP230" s="2" t="n"/>
      <c r="AQ230" s="2" t="n"/>
      <c r="AR230" s="2" t="n"/>
      <c r="AS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  <c r="AO231" s="2" t="n"/>
      <c r="AP231" s="2" t="n"/>
      <c r="AQ231" s="2" t="n"/>
      <c r="AR231" s="2" t="n"/>
      <c r="AS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  <c r="AO232" s="2" t="n"/>
      <c r="AP232" s="2" t="n"/>
      <c r="AQ232" s="2" t="n"/>
      <c r="AR232" s="2" t="n"/>
      <c r="AS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  <c r="AO233" s="2" t="n"/>
      <c r="AP233" s="2" t="n"/>
      <c r="AQ233" s="2" t="n"/>
      <c r="AR233" s="2" t="n"/>
      <c r="AS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  <c r="AO234" s="2" t="n"/>
      <c r="AP234" s="2" t="n"/>
      <c r="AQ234" s="2" t="n"/>
      <c r="AR234" s="2" t="n"/>
      <c r="AS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  <c r="AO235" s="2" t="n"/>
      <c r="AP235" s="2" t="n"/>
      <c r="AQ235" s="2" t="n"/>
      <c r="AR235" s="2" t="n"/>
      <c r="AS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  <c r="AO236" s="2" t="n"/>
      <c r="AP236" s="2" t="n"/>
      <c r="AQ236" s="2" t="n"/>
      <c r="AR236" s="2" t="n"/>
      <c r="AS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  <c r="AO237" s="2" t="n"/>
      <c r="AP237" s="2" t="n"/>
      <c r="AQ237" s="2" t="n"/>
      <c r="AR237" s="2" t="n"/>
      <c r="AS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  <c r="AO238" s="2" t="n"/>
      <c r="AP238" s="2" t="n"/>
      <c r="AQ238" s="2" t="n"/>
      <c r="AR238" s="2" t="n"/>
      <c r="AS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  <c r="AO239" s="2" t="n"/>
      <c r="AP239" s="2" t="n"/>
      <c r="AQ239" s="2" t="n"/>
      <c r="AR239" s="2" t="n"/>
      <c r="AS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  <c r="AO240" s="2" t="n"/>
      <c r="AP240" s="2" t="n"/>
      <c r="AQ240" s="2" t="n"/>
      <c r="AR240" s="2" t="n"/>
      <c r="AS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  <c r="AO241" s="2" t="n"/>
      <c r="AP241" s="2" t="n"/>
      <c r="AQ241" s="2" t="n"/>
      <c r="AR241" s="2" t="n"/>
      <c r="AS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  <c r="AO242" s="2" t="n"/>
      <c r="AP242" s="2" t="n"/>
      <c r="AQ242" s="2" t="n"/>
      <c r="AR242" s="2" t="n"/>
      <c r="AS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  <c r="AO243" s="2" t="n"/>
      <c r="AP243" s="2" t="n"/>
      <c r="AQ243" s="2" t="n"/>
      <c r="AR243" s="2" t="n"/>
      <c r="AS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  <c r="AO244" s="2" t="n"/>
      <c r="AP244" s="2" t="n"/>
      <c r="AQ244" s="2" t="n"/>
      <c r="AR244" s="2" t="n"/>
      <c r="AS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  <c r="AO245" s="2" t="n"/>
      <c r="AP245" s="2" t="n"/>
      <c r="AQ245" s="2" t="n"/>
      <c r="AR245" s="2" t="n"/>
      <c r="AS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  <c r="AO246" s="2" t="n"/>
      <c r="AP246" s="2" t="n"/>
      <c r="AQ246" s="2" t="n"/>
      <c r="AR246" s="2" t="n"/>
      <c r="AS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  <c r="AO247" s="2" t="n"/>
      <c r="AP247" s="2" t="n"/>
      <c r="AQ247" s="2" t="n"/>
      <c r="AR247" s="2" t="n"/>
      <c r="AS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  <c r="AO248" s="2" t="n"/>
      <c r="AP248" s="2" t="n"/>
      <c r="AQ248" s="2" t="n"/>
      <c r="AR248" s="2" t="n"/>
      <c r="AS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  <c r="AO249" s="2" t="n"/>
      <c r="AP249" s="2" t="n"/>
      <c r="AQ249" s="2" t="n"/>
      <c r="AR249" s="2" t="n"/>
      <c r="AS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  <c r="AO250" s="2" t="n"/>
      <c r="AP250" s="2" t="n"/>
      <c r="AQ250" s="2" t="n"/>
      <c r="AR250" s="2" t="n"/>
      <c r="AS250" s="2" t="n"/>
    </row>
  </sheetData>
  <autoFilter ref="A14:J7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66609B"/>
    <outlinePr summaryBelow="1" summaryRight="1"/>
    <pageSetUpPr/>
  </sheetPr>
  <dimension ref="A1:AS250"/>
  <sheetViews>
    <sheetView showGridLines="0" workbookViewId="0">
      <pane ySplit="14" topLeftCell="A15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2" customWidth="1" min="7" max="7"/>
    <col width="10" customWidth="1" min="8" max="8"/>
    <col width="9" customWidth="1" min="9" max="9"/>
    <col width="9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4" customWidth="1" min="31" max="31"/>
  </cols>
  <sheetData>
    <row r="1">
      <c r="A1" s="3" t="inlineStr">
        <is>
          <t>Payment Breakdown - current month (July 2026) - paste from row 14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  <c r="AP2" s="2" t="n"/>
      <c r="AQ2" s="2" t="n"/>
      <c r="AR2" s="2" t="n"/>
      <c r="AS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  <c r="AO3" s="2" t="n"/>
      <c r="AP3" s="2" t="n"/>
      <c r="AQ3" s="2" t="n"/>
      <c r="AR3" s="2" t="n"/>
      <c r="AS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  <c r="AO4" s="2" t="n"/>
      <c r="AP4" s="2" t="n"/>
      <c r="AQ4" s="2" t="n"/>
      <c r="AR4" s="2" t="n"/>
      <c r="AS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  <c r="AO5" s="2" t="n"/>
      <c r="AP5" s="2" t="n"/>
      <c r="AQ5" s="2" t="n"/>
      <c r="AR5" s="2" t="n"/>
      <c r="AS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  <c r="AO6" s="2" t="n"/>
      <c r="AP6" s="2" t="n"/>
      <c r="AQ6" s="2" t="n"/>
      <c r="AR6" s="2" t="n"/>
      <c r="AS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  <c r="AO7" s="2" t="n"/>
      <c r="AP7" s="2" t="n"/>
      <c r="AQ7" s="2" t="n"/>
      <c r="AR7" s="2" t="n"/>
      <c r="AS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  <c r="AO8" s="2" t="n"/>
      <c r="AP8" s="2" t="n"/>
      <c r="AQ8" s="2" t="n"/>
      <c r="AR8" s="2" t="n"/>
      <c r="AS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  <c r="AO9" s="2" t="n"/>
      <c r="AP9" s="2" t="n"/>
      <c r="AQ9" s="2" t="n"/>
      <c r="AR9" s="2" t="n"/>
      <c r="AS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  <c r="AO10" s="2" t="n"/>
      <c r="AP10" s="2" t="n"/>
      <c r="AQ10" s="2" t="n"/>
      <c r="AR10" s="2" t="n"/>
      <c r="AS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</row>
    <row r="12">
      <c r="A12" s="22" t="inlineStr">
        <is>
          <t>Paste the full export starting at A14 (headers) so data begins row 15.</t>
        </is>
      </c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  <c r="AO12" s="2" t="n"/>
      <c r="AP12" s="2" t="n"/>
      <c r="AQ12" s="2" t="n"/>
      <c r="AR12" s="2" t="n"/>
      <c r="AS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  <c r="AO13" s="2" t="n"/>
      <c r="AP13" s="2" t="n"/>
      <c r="AQ13" s="2" t="n"/>
      <c r="AR13" s="2" t="n"/>
      <c r="AS13" s="2" t="n"/>
    </row>
    <row r="14" ht="22" customHeight="1">
      <c r="A14" s="14" t="inlineStr">
        <is>
          <t>Row</t>
        </is>
      </c>
      <c r="B14" s="14" t="inlineStr">
        <is>
          <t>Surname</t>
        </is>
      </c>
      <c r="C14" s="14" t="inlineStr">
        <is>
          <t>Forename</t>
        </is>
      </c>
      <c r="D14" s="14" t="inlineStr">
        <is>
          <t>Practice</t>
        </is>
      </c>
      <c r="E14" s="14" t="inlineStr">
        <is>
          <t>Department</t>
        </is>
      </c>
      <c r="F14" s="14" t="inlineStr">
        <is>
          <t>Cost Centre</t>
        </is>
      </c>
      <c r="G14" s="14" t="inlineStr">
        <is>
          <t>Payment Date</t>
        </is>
      </c>
      <c r="H14" s="14" t="inlineStr">
        <is>
          <t>Frequency</t>
        </is>
      </c>
      <c r="I14" s="14" t="inlineStr">
        <is>
          <t>Tax Code</t>
        </is>
      </c>
      <c r="J14" s="14" t="inlineStr">
        <is>
          <t>NI Category</t>
        </is>
      </c>
      <c r="K14" s="14" t="inlineStr">
        <is>
          <t>Total Gross</t>
        </is>
      </c>
      <c r="L14" s="14" t="inlineStr">
        <is>
          <t>Taxable Gross</t>
        </is>
      </c>
      <c r="M14" s="14" t="inlineStr">
        <is>
          <t>Pensionable Pay</t>
        </is>
      </c>
      <c r="N14" s="14" t="inlineStr">
        <is>
          <t>Hours Paid</t>
        </is>
      </c>
      <c r="O14" s="14" t="inlineStr">
        <is>
          <t>Net Pay After Rounding</t>
        </is>
      </c>
      <c r="P14" s="14" t="inlineStr">
        <is>
          <t>Employer NI</t>
        </is>
      </c>
      <c r="Q14" s="14" t="inlineStr">
        <is>
          <t>Employer Pension</t>
        </is>
      </c>
      <c r="R14" s="14" t="inlineStr">
        <is>
          <t>Apprenticeship Levy</t>
        </is>
      </c>
      <c r="S14" s="14" t="inlineStr">
        <is>
          <t>Basic Salary</t>
        </is>
      </c>
      <c r="T14" s="14" t="inlineStr">
        <is>
          <t>Overtime</t>
        </is>
      </c>
      <c r="U14" s="14" t="inlineStr">
        <is>
          <t>Bonus</t>
        </is>
      </c>
      <c r="V14" s="14" t="inlineStr">
        <is>
          <t>Mileage Expenses</t>
        </is>
      </c>
      <c r="W14" s="14" t="inlineStr">
        <is>
          <t>Other Expenses</t>
        </is>
      </c>
      <c r="X14" s="14" t="inlineStr">
        <is>
          <t>SMP</t>
        </is>
      </c>
      <c r="Y14" s="14" t="inlineStr">
        <is>
          <t>SSP</t>
        </is>
      </c>
      <c r="Z14" s="14" t="inlineStr">
        <is>
          <t>Pension Deduction</t>
        </is>
      </c>
      <c r="AA14" s="14" t="inlineStr">
        <is>
          <t>Student Loan</t>
        </is>
      </c>
      <c r="AB14" s="14" t="inlineStr">
        <is>
          <t>Attachment of Earnings</t>
        </is>
      </c>
      <c r="AC14" s="14" t="inlineStr">
        <is>
          <t>On Call Allowance</t>
        </is>
      </c>
      <c r="AD14" s="14" t="inlineStr">
        <is>
          <t>Unsocial Hours Premium</t>
        </is>
      </c>
      <c r="AE14" s="14" t="inlineStr">
        <is>
          <t>Reference No</t>
        </is>
      </c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  <c r="AO14" s="2" t="n"/>
      <c r="AP14" s="2" t="n"/>
      <c r="AQ14" s="2" t="n"/>
      <c r="AR14" s="2" t="n"/>
      <c r="AS14" s="2" t="n"/>
    </row>
    <row r="15">
      <c r="A15" s="11" t="n">
        <v>1</v>
      </c>
      <c r="B15" s="11" t="inlineStr">
        <is>
          <t>Surname434</t>
        </is>
      </c>
      <c r="C15" s="11" t="inlineStr">
        <is>
          <t>Forename434</t>
        </is>
      </c>
      <c r="D15" s="11" t="inlineStr">
        <is>
          <t>Riverside Dental Practice</t>
        </is>
      </c>
      <c r="E15" s="11" t="inlineStr">
        <is>
          <t>Clinical</t>
        </is>
      </c>
      <c r="F15" s="11" t="inlineStr">
        <is>
          <t>CC-RIV</t>
        </is>
      </c>
      <c r="G15" s="11" t="inlineStr">
        <is>
          <t>July 2026</t>
        </is>
      </c>
      <c r="H15" s="11" t="inlineStr">
        <is>
          <t>Monthly</t>
        </is>
      </c>
      <c r="I15" s="11" t="inlineStr">
        <is>
          <t>1257L</t>
        </is>
      </c>
      <c r="J15" s="11" t="inlineStr">
        <is>
          <t>A</t>
        </is>
      </c>
      <c r="K15" s="15" t="n">
        <v>2520.02</v>
      </c>
      <c r="L15" s="15" t="n">
        <v>2469.62</v>
      </c>
      <c r="M15" s="15" t="n">
        <v>2394.02</v>
      </c>
      <c r="N15" s="15" t="n">
        <v>182.905</v>
      </c>
      <c r="O15" s="15" t="n">
        <v>1625.82</v>
      </c>
      <c r="P15" s="15" t="n">
        <v>347.76</v>
      </c>
      <c r="Q15" s="15" t="n">
        <v>126</v>
      </c>
      <c r="R15" s="15" t="n">
        <v>12.6</v>
      </c>
      <c r="S15" s="15" t="n">
        <v>2194.86</v>
      </c>
      <c r="T15" s="15" t="n">
        <v>0</v>
      </c>
      <c r="U15" s="15" t="n">
        <v>0</v>
      </c>
      <c r="V15" s="15" t="n">
        <v>0</v>
      </c>
      <c r="W15" s="15" t="n">
        <v>0</v>
      </c>
      <c r="X15" s="15" t="n">
        <v>0</v>
      </c>
      <c r="Y15" s="15" t="n">
        <v>0</v>
      </c>
      <c r="Z15" s="15" t="n">
        <v>0</v>
      </c>
      <c r="AA15" s="15" t="n">
        <v>0</v>
      </c>
      <c r="AB15" s="15" t="n">
        <v>0</v>
      </c>
      <c r="AC15" s="15" t="n">
        <v>0</v>
      </c>
      <c r="AD15" s="15" t="n">
        <v>0</v>
      </c>
      <c r="AE15" s="11" t="inlineStr">
        <is>
          <t>P23434</t>
        </is>
      </c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  <c r="AO15" s="2" t="n"/>
      <c r="AP15" s="2" t="n"/>
      <c r="AQ15" s="2" t="n"/>
      <c r="AR15" s="2" t="n"/>
      <c r="AS15" s="2" t="n"/>
    </row>
    <row r="16">
      <c r="A16" s="11" t="n">
        <v>2</v>
      </c>
      <c r="B16" s="11" t="inlineStr">
        <is>
          <t>Surname280</t>
        </is>
      </c>
      <c r="C16" s="11" t="inlineStr">
        <is>
          <t>Forename280</t>
        </is>
      </c>
      <c r="D16" s="11" t="inlineStr">
        <is>
          <t>Hakim Group Head Office</t>
        </is>
      </c>
      <c r="E16" s="11" t="inlineStr">
        <is>
          <t>Support</t>
        </is>
      </c>
      <c r="F16" s="11" t="inlineStr">
        <is>
          <t>CC-HAK</t>
        </is>
      </c>
      <c r="G16" s="11" t="inlineStr">
        <is>
          <t>July 2026</t>
        </is>
      </c>
      <c r="H16" s="11" t="inlineStr">
        <is>
          <t>Monthly</t>
        </is>
      </c>
      <c r="I16" s="11" t="inlineStr">
        <is>
          <t>1257L</t>
        </is>
      </c>
      <c r="J16" s="11" t="inlineStr">
        <is>
          <t>A</t>
        </is>
      </c>
      <c r="K16" s="15" t="n">
        <v>3720.96</v>
      </c>
      <c r="L16" s="15" t="n">
        <v>3646.54</v>
      </c>
      <c r="M16" s="15" t="n">
        <v>3534.91</v>
      </c>
      <c r="N16" s="15" t="n">
        <v>270.07</v>
      </c>
      <c r="O16" s="15" t="n">
        <v>2400.62</v>
      </c>
      <c r="P16" s="15" t="n">
        <v>513.49</v>
      </c>
      <c r="Q16" s="15" t="n">
        <v>186.05</v>
      </c>
      <c r="R16" s="15" t="n">
        <v>18.6</v>
      </c>
      <c r="S16" s="15" t="n">
        <v>3240.84</v>
      </c>
      <c r="T16" s="15" t="n">
        <v>0</v>
      </c>
      <c r="U16" s="15" t="n">
        <v>0</v>
      </c>
      <c r="V16" s="15" t="n">
        <v>0</v>
      </c>
      <c r="W16" s="15" t="n">
        <v>0</v>
      </c>
      <c r="X16" s="15" t="n">
        <v>0</v>
      </c>
      <c r="Y16" s="15" t="n">
        <v>0</v>
      </c>
      <c r="Z16" s="15" t="n">
        <v>0</v>
      </c>
      <c r="AA16" s="15" t="n">
        <v>0</v>
      </c>
      <c r="AB16" s="15" t="n">
        <v>0</v>
      </c>
      <c r="AC16" s="15" t="n">
        <v>0</v>
      </c>
      <c r="AD16" s="15" t="n">
        <v>0</v>
      </c>
      <c r="AE16" s="11" t="inlineStr">
        <is>
          <t>P22280</t>
        </is>
      </c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  <c r="AO16" s="2" t="n"/>
      <c r="AP16" s="2" t="n"/>
      <c r="AQ16" s="2" t="n"/>
      <c r="AR16" s="2" t="n"/>
      <c r="AS16" s="2" t="n"/>
    </row>
    <row r="17">
      <c r="A17" s="11" t="n">
        <v>3</v>
      </c>
      <c r="B17" s="11" t="inlineStr">
        <is>
          <t>Surname426</t>
        </is>
      </c>
      <c r="C17" s="11" t="inlineStr">
        <is>
          <t>Forename426</t>
        </is>
      </c>
      <c r="D17" s="11" t="inlineStr">
        <is>
          <t>Kings Road Dental Practice</t>
        </is>
      </c>
      <c r="E17" s="11" t="inlineStr">
        <is>
          <t>Clinical</t>
        </is>
      </c>
      <c r="F17" s="11" t="inlineStr">
        <is>
          <t>CC-KIN</t>
        </is>
      </c>
      <c r="G17" s="11" t="inlineStr">
        <is>
          <t>July 2026</t>
        </is>
      </c>
      <c r="H17" s="11" t="inlineStr">
        <is>
          <t>Monthly</t>
        </is>
      </c>
      <c r="I17" s="11" t="inlineStr">
        <is>
          <t>1257L</t>
        </is>
      </c>
      <c r="J17" s="11" t="inlineStr">
        <is>
          <t>A</t>
        </is>
      </c>
      <c r="K17" s="15" t="n">
        <v>3997.34</v>
      </c>
      <c r="L17" s="15" t="n">
        <v>3917.39</v>
      </c>
      <c r="M17" s="15" t="n">
        <v>3797.47</v>
      </c>
      <c r="N17" s="15" t="n">
        <v>290.13</v>
      </c>
      <c r="O17" s="15" t="n">
        <v>2578.93</v>
      </c>
      <c r="P17" s="15" t="n">
        <v>551.63</v>
      </c>
      <c r="Q17" s="15" t="n">
        <v>199.87</v>
      </c>
      <c r="R17" s="15" t="n">
        <v>19.99</v>
      </c>
      <c r="S17" s="15" t="n">
        <v>3481.56</v>
      </c>
      <c r="T17" s="15" t="n">
        <v>0</v>
      </c>
      <c r="U17" s="15" t="n">
        <v>0</v>
      </c>
      <c r="V17" s="15" t="n">
        <v>0</v>
      </c>
      <c r="W17" s="15" t="n">
        <v>0</v>
      </c>
      <c r="X17" s="15" t="n">
        <v>0</v>
      </c>
      <c r="Y17" s="15" t="n">
        <v>0</v>
      </c>
      <c r="Z17" s="15" t="n">
        <v>0</v>
      </c>
      <c r="AA17" s="15" t="n">
        <v>0</v>
      </c>
      <c r="AB17" s="15" t="n">
        <v>0</v>
      </c>
      <c r="AC17" s="15" t="n">
        <v>0</v>
      </c>
      <c r="AD17" s="15" t="n">
        <v>0</v>
      </c>
      <c r="AE17" s="11" t="inlineStr">
        <is>
          <t>P81426</t>
        </is>
      </c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  <c r="AO17" s="2" t="n"/>
      <c r="AP17" s="2" t="n"/>
      <c r="AQ17" s="2" t="n"/>
      <c r="AR17" s="2" t="n"/>
      <c r="AS17" s="2" t="n"/>
    </row>
    <row r="18">
      <c r="A18" s="11" t="n">
        <v>4</v>
      </c>
      <c r="B18" s="11" t="inlineStr">
        <is>
          <t>Surname926</t>
        </is>
      </c>
      <c r="C18" s="11" t="inlineStr">
        <is>
          <t>Forename926</t>
        </is>
      </c>
      <c r="D18" s="11" t="inlineStr">
        <is>
          <t>Oakfield Dental Practice</t>
        </is>
      </c>
      <c r="E18" s="11" t="inlineStr">
        <is>
          <t>Clinical</t>
        </is>
      </c>
      <c r="F18" s="11" t="inlineStr">
        <is>
          <t>CC-OAK</t>
        </is>
      </c>
      <c r="G18" s="11" t="inlineStr">
        <is>
          <t>July 2026</t>
        </is>
      </c>
      <c r="H18" s="11" t="inlineStr">
        <is>
          <t>Monthly</t>
        </is>
      </c>
      <c r="I18" s="11" t="inlineStr">
        <is>
          <t>1257L</t>
        </is>
      </c>
      <c r="J18" s="11" t="inlineStr">
        <is>
          <t>A</t>
        </is>
      </c>
      <c r="K18" s="15" t="n">
        <v>3720.25</v>
      </c>
      <c r="L18" s="15" t="n">
        <v>3645.84</v>
      </c>
      <c r="M18" s="15" t="n">
        <v>3534.24</v>
      </c>
      <c r="N18" s="15" t="n">
        <v>270.0183333333333</v>
      </c>
      <c r="O18" s="15" t="n">
        <v>2400.16</v>
      </c>
      <c r="P18" s="15" t="n">
        <v>513.39</v>
      </c>
      <c r="Q18" s="15" t="n">
        <v>186.01</v>
      </c>
      <c r="R18" s="15" t="n">
        <v>18.6</v>
      </c>
      <c r="S18" s="15" t="n">
        <v>3240.22</v>
      </c>
      <c r="T18" s="15" t="n">
        <v>0</v>
      </c>
      <c r="U18" s="15" t="n">
        <v>0</v>
      </c>
      <c r="V18" s="15" t="n">
        <v>0</v>
      </c>
      <c r="W18" s="15" t="n">
        <v>0</v>
      </c>
      <c r="X18" s="15" t="n">
        <v>0</v>
      </c>
      <c r="Y18" s="15" t="n">
        <v>0</v>
      </c>
      <c r="Z18" s="15" t="n">
        <v>0</v>
      </c>
      <c r="AA18" s="15" t="n">
        <v>0</v>
      </c>
      <c r="AB18" s="15" t="n">
        <v>0</v>
      </c>
      <c r="AC18" s="15" t="n">
        <v>0</v>
      </c>
      <c r="AD18" s="15" t="n">
        <v>0</v>
      </c>
      <c r="AE18" s="11" t="inlineStr">
        <is>
          <t>P30926</t>
        </is>
      </c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  <c r="AO18" s="2" t="n"/>
      <c r="AP18" s="2" t="n"/>
      <c r="AQ18" s="2" t="n"/>
      <c r="AR18" s="2" t="n"/>
      <c r="AS18" s="2" t="n"/>
    </row>
    <row r="19">
      <c r="A19" s="11" t="n">
        <v>5</v>
      </c>
      <c r="B19" s="11" t="inlineStr">
        <is>
          <t>Surname396</t>
        </is>
      </c>
      <c r="C19" s="11" t="inlineStr">
        <is>
          <t>Forename396</t>
        </is>
      </c>
      <c r="D19" s="11" t="inlineStr">
        <is>
          <t>Oakfield Dental Practice</t>
        </is>
      </c>
      <c r="E19" s="11" t="inlineStr">
        <is>
          <t>Clinical</t>
        </is>
      </c>
      <c r="F19" s="11" t="inlineStr">
        <is>
          <t>CC-OAK</t>
        </is>
      </c>
      <c r="G19" s="11" t="inlineStr">
        <is>
          <t>July 2026</t>
        </is>
      </c>
      <c r="H19" s="11" t="inlineStr">
        <is>
          <t>Monthly</t>
        </is>
      </c>
      <c r="I19" s="11" t="inlineStr">
        <is>
          <t>1257L</t>
        </is>
      </c>
      <c r="J19" s="11" t="inlineStr">
        <is>
          <t>A</t>
        </is>
      </c>
      <c r="K19" s="15" t="n">
        <v>3007.26</v>
      </c>
      <c r="L19" s="15" t="n">
        <v>2947.11</v>
      </c>
      <c r="M19" s="15" t="n">
        <v>2856.9</v>
      </c>
      <c r="N19" s="15" t="n">
        <v>218.2691666666667</v>
      </c>
      <c r="O19" s="15" t="n">
        <v>1940.17</v>
      </c>
      <c r="P19" s="15" t="n">
        <v>415</v>
      </c>
      <c r="Q19" s="15" t="n">
        <v>150.36</v>
      </c>
      <c r="R19" s="15" t="n">
        <v>15.04</v>
      </c>
      <c r="S19" s="15" t="n">
        <v>2619.23</v>
      </c>
      <c r="T19" s="15" t="n">
        <v>0</v>
      </c>
      <c r="U19" s="15" t="n">
        <v>0</v>
      </c>
      <c r="V19" s="15" t="n">
        <v>0</v>
      </c>
      <c r="W19" s="15" t="n">
        <v>0</v>
      </c>
      <c r="X19" s="15" t="n">
        <v>0</v>
      </c>
      <c r="Y19" s="15" t="n">
        <v>0</v>
      </c>
      <c r="Z19" s="15" t="n">
        <v>0</v>
      </c>
      <c r="AA19" s="15" t="n">
        <v>0</v>
      </c>
      <c r="AB19" s="15" t="n">
        <v>0</v>
      </c>
      <c r="AC19" s="15" t="n">
        <v>0</v>
      </c>
      <c r="AD19" s="15" t="n">
        <v>0</v>
      </c>
      <c r="AE19" s="11" t="inlineStr">
        <is>
          <t>P23396</t>
        </is>
      </c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  <c r="AO19" s="2" t="n"/>
      <c r="AP19" s="2" t="n"/>
      <c r="AQ19" s="2" t="n"/>
      <c r="AR19" s="2" t="n"/>
      <c r="AS19" s="2" t="n"/>
    </row>
    <row r="20">
      <c r="A20" s="11" t="n">
        <v>6</v>
      </c>
      <c r="B20" s="11" t="inlineStr">
        <is>
          <t>Surname695</t>
        </is>
      </c>
      <c r="C20" s="11" t="inlineStr">
        <is>
          <t>Forename695</t>
        </is>
      </c>
      <c r="D20" s="11" t="inlineStr">
        <is>
          <t>Riverside Dental Practice</t>
        </is>
      </c>
      <c r="E20" s="11" t="inlineStr">
        <is>
          <t>Clinical</t>
        </is>
      </c>
      <c r="F20" s="11" t="inlineStr">
        <is>
          <t>CC-RIV</t>
        </is>
      </c>
      <c r="G20" s="11" t="inlineStr">
        <is>
          <t>July 2026</t>
        </is>
      </c>
      <c r="H20" s="11" t="inlineStr">
        <is>
          <t>Monthly</t>
        </is>
      </c>
      <c r="I20" s="11" t="inlineStr">
        <is>
          <t>1257L</t>
        </is>
      </c>
      <c r="J20" s="11" t="inlineStr">
        <is>
          <t>A</t>
        </is>
      </c>
      <c r="K20" s="15" t="n">
        <v>4686.91</v>
      </c>
      <c r="L20" s="15" t="n">
        <v>4593.17</v>
      </c>
      <c r="M20" s="15" t="n">
        <v>4452.56</v>
      </c>
      <c r="N20" s="15" t="n">
        <v>340.1783333333333</v>
      </c>
      <c r="O20" s="15" t="n">
        <v>3023.81</v>
      </c>
      <c r="P20" s="15" t="n">
        <v>646.79</v>
      </c>
      <c r="Q20" s="15" t="n">
        <v>234.35</v>
      </c>
      <c r="R20" s="15" t="n">
        <v>23.43</v>
      </c>
      <c r="S20" s="15" t="n">
        <v>4082.14</v>
      </c>
      <c r="T20" s="15" t="n">
        <v>0</v>
      </c>
      <c r="U20" s="15" t="n">
        <v>0</v>
      </c>
      <c r="V20" s="15" t="n">
        <v>0</v>
      </c>
      <c r="W20" s="15" t="n">
        <v>0</v>
      </c>
      <c r="X20" s="15" t="n">
        <v>0</v>
      </c>
      <c r="Y20" s="15" t="n">
        <v>0</v>
      </c>
      <c r="Z20" s="15" t="n">
        <v>0</v>
      </c>
      <c r="AA20" s="15" t="n">
        <v>0</v>
      </c>
      <c r="AB20" s="15" t="n">
        <v>0</v>
      </c>
      <c r="AC20" s="15" t="n">
        <v>0</v>
      </c>
      <c r="AD20" s="15" t="n">
        <v>0</v>
      </c>
      <c r="AE20" s="11" t="inlineStr">
        <is>
          <t>P15695</t>
        </is>
      </c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  <c r="AO20" s="2" t="n"/>
      <c r="AP20" s="2" t="n"/>
      <c r="AQ20" s="2" t="n"/>
      <c r="AR20" s="2" t="n"/>
      <c r="AS20" s="2" t="n"/>
    </row>
    <row r="21">
      <c r="A21" s="11" t="n">
        <v>7</v>
      </c>
      <c r="B21" s="11" t="inlineStr">
        <is>
          <t>Surname397</t>
        </is>
      </c>
      <c r="C21" s="11" t="inlineStr">
        <is>
          <t>Forename397</t>
        </is>
      </c>
      <c r="D21" s="11" t="inlineStr">
        <is>
          <t>Oakfield Dental Practice</t>
        </is>
      </c>
      <c r="E21" s="11" t="inlineStr">
        <is>
          <t>Support</t>
        </is>
      </c>
      <c r="F21" s="11" t="inlineStr">
        <is>
          <t>CC-OAK</t>
        </is>
      </c>
      <c r="G21" s="11" t="inlineStr">
        <is>
          <t>July 2026</t>
        </is>
      </c>
      <c r="H21" s="11" t="inlineStr">
        <is>
          <t>Monthly</t>
        </is>
      </c>
      <c r="I21" s="11" t="inlineStr">
        <is>
          <t>1257L</t>
        </is>
      </c>
      <c r="J21" s="11" t="inlineStr">
        <is>
          <t>A</t>
        </is>
      </c>
      <c r="K21" s="15" t="n">
        <v>2229.71</v>
      </c>
      <c r="L21" s="15" t="n">
        <v>2185.12</v>
      </c>
      <c r="M21" s="15" t="n">
        <v>2118.22</v>
      </c>
      <c r="N21" s="15" t="n">
        <v>161.8333333333333</v>
      </c>
      <c r="O21" s="15" t="n">
        <v>1438.52</v>
      </c>
      <c r="P21" s="15" t="n">
        <v>307.7</v>
      </c>
      <c r="Q21" s="15" t="n">
        <v>111.49</v>
      </c>
      <c r="R21" s="15" t="n">
        <v>11.15</v>
      </c>
      <c r="S21" s="15" t="n">
        <v>1942</v>
      </c>
      <c r="T21" s="15" t="n">
        <v>0</v>
      </c>
      <c r="U21" s="15" t="n">
        <v>0</v>
      </c>
      <c r="V21" s="15" t="n">
        <v>0</v>
      </c>
      <c r="W21" s="15" t="n">
        <v>0</v>
      </c>
      <c r="X21" s="15" t="n">
        <v>0</v>
      </c>
      <c r="Y21" s="15" t="n">
        <v>0</v>
      </c>
      <c r="Z21" s="15" t="n">
        <v>0</v>
      </c>
      <c r="AA21" s="15" t="n">
        <v>0</v>
      </c>
      <c r="AB21" s="15" t="n">
        <v>0</v>
      </c>
      <c r="AC21" s="15" t="n">
        <v>0</v>
      </c>
      <c r="AD21" s="15" t="n">
        <v>0</v>
      </c>
      <c r="AE21" s="11" t="inlineStr">
        <is>
          <t>P92397</t>
        </is>
      </c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  <c r="AO21" s="2" t="n"/>
      <c r="AP21" s="2" t="n"/>
      <c r="AQ21" s="2" t="n"/>
      <c r="AR21" s="2" t="n"/>
      <c r="AS21" s="2" t="n"/>
    </row>
    <row r="22">
      <c r="A22" s="11" t="n">
        <v>8</v>
      </c>
      <c r="B22" s="11" t="inlineStr">
        <is>
          <t>Surname006</t>
        </is>
      </c>
      <c r="C22" s="11" t="inlineStr">
        <is>
          <t>Forename006</t>
        </is>
      </c>
      <c r="D22" s="11" t="inlineStr">
        <is>
          <t>Hakim Group Head Office</t>
        </is>
      </c>
      <c r="E22" s="11" t="inlineStr">
        <is>
          <t>Support</t>
        </is>
      </c>
      <c r="F22" s="11" t="inlineStr">
        <is>
          <t>CC-HAK</t>
        </is>
      </c>
      <c r="G22" s="11" t="inlineStr">
        <is>
          <t>July 2026</t>
        </is>
      </c>
      <c r="H22" s="11" t="inlineStr">
        <is>
          <t>Monthly</t>
        </is>
      </c>
      <c r="I22" s="11" t="inlineStr">
        <is>
          <t>1257L</t>
        </is>
      </c>
      <c r="J22" s="11" t="inlineStr">
        <is>
          <t>A</t>
        </is>
      </c>
      <c r="K22" s="15" t="n">
        <v>3822.58</v>
      </c>
      <c r="L22" s="15" t="n">
        <v>3746.13</v>
      </c>
      <c r="M22" s="15" t="n">
        <v>3631.45</v>
      </c>
      <c r="N22" s="15" t="n">
        <v>277.445</v>
      </c>
      <c r="O22" s="15" t="n">
        <v>2466.18</v>
      </c>
      <c r="P22" s="15" t="n">
        <v>527.52</v>
      </c>
      <c r="Q22" s="15" t="n">
        <v>191.13</v>
      </c>
      <c r="R22" s="15" t="n">
        <v>19.11</v>
      </c>
      <c r="S22" s="15" t="n">
        <v>3329.34</v>
      </c>
      <c r="T22" s="15" t="n">
        <v>0</v>
      </c>
      <c r="U22" s="15" t="n">
        <v>0</v>
      </c>
      <c r="V22" s="15" t="n">
        <v>0</v>
      </c>
      <c r="W22" s="15" t="n">
        <v>0</v>
      </c>
      <c r="X22" s="15" t="n">
        <v>0</v>
      </c>
      <c r="Y22" s="15" t="n">
        <v>0</v>
      </c>
      <c r="Z22" s="15" t="n">
        <v>0</v>
      </c>
      <c r="AA22" s="15" t="n">
        <v>0</v>
      </c>
      <c r="AB22" s="15" t="n">
        <v>0</v>
      </c>
      <c r="AC22" s="15" t="n">
        <v>0</v>
      </c>
      <c r="AD22" s="15" t="n">
        <v>0</v>
      </c>
      <c r="AE22" s="11" t="inlineStr">
        <is>
          <t>P16006</t>
        </is>
      </c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  <c r="AO22" s="2" t="n"/>
      <c r="AP22" s="2" t="n"/>
      <c r="AQ22" s="2" t="n"/>
      <c r="AR22" s="2" t="n"/>
      <c r="AS22" s="2" t="n"/>
    </row>
    <row r="23">
      <c r="A23" s="11" t="n">
        <v>9</v>
      </c>
      <c r="B23" s="11" t="inlineStr">
        <is>
          <t>Surname823</t>
        </is>
      </c>
      <c r="C23" s="11" t="inlineStr">
        <is>
          <t>Forename823</t>
        </is>
      </c>
      <c r="D23" s="11" t="inlineStr">
        <is>
          <t>Kings Road Dental Practice</t>
        </is>
      </c>
      <c r="E23" s="11" t="inlineStr">
        <is>
          <t>Support</t>
        </is>
      </c>
      <c r="F23" s="11" t="inlineStr">
        <is>
          <t>CC-KIN</t>
        </is>
      </c>
      <c r="G23" s="11" t="inlineStr">
        <is>
          <t>July 2026</t>
        </is>
      </c>
      <c r="H23" s="11" t="inlineStr">
        <is>
          <t>Monthly</t>
        </is>
      </c>
      <c r="I23" s="11" t="inlineStr">
        <is>
          <t>1257L</t>
        </is>
      </c>
      <c r="J23" s="11" t="inlineStr">
        <is>
          <t>A</t>
        </is>
      </c>
      <c r="K23" s="15" t="n">
        <v>5097.36</v>
      </c>
      <c r="L23" s="15" t="n">
        <v>4995.41</v>
      </c>
      <c r="M23" s="15" t="n">
        <v>4842.49</v>
      </c>
      <c r="N23" s="15" t="n">
        <v>369.97</v>
      </c>
      <c r="O23" s="15" t="n">
        <v>3288.62</v>
      </c>
      <c r="P23" s="15" t="n">
        <v>703.4400000000001</v>
      </c>
      <c r="Q23" s="15" t="n">
        <v>254.87</v>
      </c>
      <c r="R23" s="15" t="n">
        <v>25.49</v>
      </c>
      <c r="S23" s="15" t="n">
        <v>4439.64</v>
      </c>
      <c r="T23" s="15" t="n">
        <v>0</v>
      </c>
      <c r="U23" s="15" t="n">
        <v>0</v>
      </c>
      <c r="V23" s="15" t="n">
        <v>0</v>
      </c>
      <c r="W23" s="15" t="n">
        <v>0</v>
      </c>
      <c r="X23" s="15" t="n">
        <v>0</v>
      </c>
      <c r="Y23" s="15" t="n">
        <v>0</v>
      </c>
      <c r="Z23" s="15" t="n">
        <v>0</v>
      </c>
      <c r="AA23" s="15" t="n">
        <v>0</v>
      </c>
      <c r="AB23" s="15" t="n">
        <v>0</v>
      </c>
      <c r="AC23" s="15" t="n">
        <v>0</v>
      </c>
      <c r="AD23" s="15" t="n">
        <v>0</v>
      </c>
      <c r="AE23" s="11" t="inlineStr">
        <is>
          <t>P59823</t>
        </is>
      </c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  <c r="AO23" s="2" t="n"/>
      <c r="AP23" s="2" t="n"/>
      <c r="AQ23" s="2" t="n"/>
      <c r="AR23" s="2" t="n"/>
      <c r="AS23" s="2" t="n"/>
    </row>
    <row r="24">
      <c r="A24" s="11" t="n">
        <v>10</v>
      </c>
      <c r="B24" s="11" t="inlineStr">
        <is>
          <t>Surname841</t>
        </is>
      </c>
      <c r="C24" s="11" t="inlineStr">
        <is>
          <t>Forename841</t>
        </is>
      </c>
      <c r="D24" s="11" t="inlineStr">
        <is>
          <t>Elm Park Dental Practice</t>
        </is>
      </c>
      <c r="E24" s="11" t="inlineStr">
        <is>
          <t>Support</t>
        </is>
      </c>
      <c r="F24" s="11" t="inlineStr">
        <is>
          <t>CC-ELM</t>
        </is>
      </c>
      <c r="G24" s="11" t="inlineStr">
        <is>
          <t>July 2026</t>
        </is>
      </c>
      <c r="H24" s="11" t="inlineStr">
        <is>
          <t>Monthly</t>
        </is>
      </c>
      <c r="I24" s="11" t="inlineStr">
        <is>
          <t>1257L</t>
        </is>
      </c>
      <c r="J24" s="11" t="inlineStr">
        <is>
          <t>A</t>
        </is>
      </c>
      <c r="K24" s="15" t="n">
        <v>2500.77</v>
      </c>
      <c r="L24" s="15" t="n">
        <v>2450.75</v>
      </c>
      <c r="M24" s="15" t="n">
        <v>2375.73</v>
      </c>
      <c r="N24" s="15" t="n">
        <v>181.5075</v>
      </c>
      <c r="O24" s="15" t="n">
        <v>1613.4</v>
      </c>
      <c r="P24" s="15" t="n">
        <v>345.11</v>
      </c>
      <c r="Q24" s="15" t="n">
        <v>125.04</v>
      </c>
      <c r="R24" s="15" t="n">
        <v>12.5</v>
      </c>
      <c r="S24" s="15" t="n">
        <v>2178.09</v>
      </c>
      <c r="T24" s="15" t="n">
        <v>0</v>
      </c>
      <c r="U24" s="15" t="n">
        <v>0</v>
      </c>
      <c r="V24" s="15" t="n">
        <v>0</v>
      </c>
      <c r="W24" s="15" t="n">
        <v>0</v>
      </c>
      <c r="X24" s="15" t="n">
        <v>0</v>
      </c>
      <c r="Y24" s="15" t="n">
        <v>0</v>
      </c>
      <c r="Z24" s="15" t="n">
        <v>0</v>
      </c>
      <c r="AA24" s="15" t="n">
        <v>0</v>
      </c>
      <c r="AB24" s="15" t="n">
        <v>0</v>
      </c>
      <c r="AC24" s="15" t="n">
        <v>0</v>
      </c>
      <c r="AD24" s="15" t="n">
        <v>0</v>
      </c>
      <c r="AE24" s="11" t="inlineStr">
        <is>
          <t>P97841</t>
        </is>
      </c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  <c r="AO24" s="2" t="n"/>
      <c r="AP24" s="2" t="n"/>
      <c r="AQ24" s="2" t="n"/>
      <c r="AR24" s="2" t="n"/>
      <c r="AS24" s="2" t="n"/>
    </row>
    <row r="25">
      <c r="A25" s="11" t="n">
        <v>11</v>
      </c>
      <c r="B25" s="11" t="inlineStr">
        <is>
          <t>Surname431</t>
        </is>
      </c>
      <c r="C25" s="11" t="inlineStr">
        <is>
          <t>Forename431</t>
        </is>
      </c>
      <c r="D25" s="11" t="inlineStr">
        <is>
          <t>Elm Park Dental Practice</t>
        </is>
      </c>
      <c r="E25" s="11" t="inlineStr">
        <is>
          <t>Support</t>
        </is>
      </c>
      <c r="F25" s="11" t="inlineStr">
        <is>
          <t>CC-ELM</t>
        </is>
      </c>
      <c r="G25" s="11" t="inlineStr">
        <is>
          <t>July 2026</t>
        </is>
      </c>
      <c r="H25" s="11" t="inlineStr">
        <is>
          <t>Monthly</t>
        </is>
      </c>
      <c r="I25" s="11" t="inlineStr">
        <is>
          <t>1257L</t>
        </is>
      </c>
      <c r="J25" s="11" t="inlineStr">
        <is>
          <t>A</t>
        </is>
      </c>
      <c r="K25" s="15" t="n">
        <v>4118.68</v>
      </c>
      <c r="L25" s="15" t="n">
        <v>4036.31</v>
      </c>
      <c r="M25" s="15" t="n">
        <v>3912.75</v>
      </c>
      <c r="N25" s="15" t="n">
        <v>298.9358333333333</v>
      </c>
      <c r="O25" s="15" t="n">
        <v>2657.21</v>
      </c>
      <c r="P25" s="15" t="n">
        <v>568.38</v>
      </c>
      <c r="Q25" s="15" t="n">
        <v>205.93</v>
      </c>
      <c r="R25" s="15" t="n">
        <v>20.59</v>
      </c>
      <c r="S25" s="15" t="n">
        <v>3587.23</v>
      </c>
      <c r="T25" s="15" t="n">
        <v>0</v>
      </c>
      <c r="U25" s="15" t="n">
        <v>0</v>
      </c>
      <c r="V25" s="15" t="n">
        <v>0</v>
      </c>
      <c r="W25" s="15" t="n">
        <v>0</v>
      </c>
      <c r="X25" s="15" t="n">
        <v>0</v>
      </c>
      <c r="Y25" s="15" t="n">
        <v>0</v>
      </c>
      <c r="Z25" s="15" t="n">
        <v>0</v>
      </c>
      <c r="AA25" s="15" t="n">
        <v>0</v>
      </c>
      <c r="AB25" s="15" t="n">
        <v>0</v>
      </c>
      <c r="AC25" s="15" t="n">
        <v>0</v>
      </c>
      <c r="AD25" s="15" t="n">
        <v>0</v>
      </c>
      <c r="AE25" s="11" t="inlineStr">
        <is>
          <t>P32431</t>
        </is>
      </c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  <c r="AO25" s="2" t="n"/>
      <c r="AP25" s="2" t="n"/>
      <c r="AQ25" s="2" t="n"/>
      <c r="AR25" s="2" t="n"/>
      <c r="AS25" s="2" t="n"/>
    </row>
    <row r="26">
      <c r="A26" s="11" t="n">
        <v>12</v>
      </c>
      <c r="B26" s="11" t="inlineStr">
        <is>
          <t>Surname886</t>
        </is>
      </c>
      <c r="C26" s="11" t="inlineStr">
        <is>
          <t>Forename886</t>
        </is>
      </c>
      <c r="D26" s="11" t="inlineStr">
        <is>
          <t>Hakim Group Head Office</t>
        </is>
      </c>
      <c r="E26" s="11" t="inlineStr">
        <is>
          <t>Support</t>
        </is>
      </c>
      <c r="F26" s="11" t="inlineStr">
        <is>
          <t>CC-HAK</t>
        </is>
      </c>
      <c r="G26" s="11" t="inlineStr">
        <is>
          <t>July 2026</t>
        </is>
      </c>
      <c r="H26" s="11" t="inlineStr">
        <is>
          <t>Monthly</t>
        </is>
      </c>
      <c r="I26" s="11" t="inlineStr">
        <is>
          <t>1257L</t>
        </is>
      </c>
      <c r="J26" s="11" t="inlineStr">
        <is>
          <t>A</t>
        </is>
      </c>
      <c r="K26" s="15" t="n">
        <v>2608.8</v>
      </c>
      <c r="L26" s="15" t="n">
        <v>2556.62</v>
      </c>
      <c r="M26" s="15" t="n">
        <v>2478.36</v>
      </c>
      <c r="N26" s="15" t="n">
        <v>189.3483333333333</v>
      </c>
      <c r="O26" s="15" t="n">
        <v>1683.1</v>
      </c>
      <c r="P26" s="15" t="n">
        <v>360.01</v>
      </c>
      <c r="Q26" s="15" t="n">
        <v>130.44</v>
      </c>
      <c r="R26" s="15" t="n">
        <v>13.04</v>
      </c>
      <c r="S26" s="15" t="n">
        <v>2272.18</v>
      </c>
      <c r="T26" s="15" t="n">
        <v>0</v>
      </c>
      <c r="U26" s="15" t="n">
        <v>0</v>
      </c>
      <c r="V26" s="15" t="n">
        <v>0</v>
      </c>
      <c r="W26" s="15" t="n">
        <v>0</v>
      </c>
      <c r="X26" s="15" t="n">
        <v>0</v>
      </c>
      <c r="Y26" s="15" t="n">
        <v>0</v>
      </c>
      <c r="Z26" s="15" t="n">
        <v>0</v>
      </c>
      <c r="AA26" s="15" t="n">
        <v>0</v>
      </c>
      <c r="AB26" s="15" t="n">
        <v>0</v>
      </c>
      <c r="AC26" s="15" t="n">
        <v>0</v>
      </c>
      <c r="AD26" s="15" t="n">
        <v>0</v>
      </c>
      <c r="AE26" s="11" t="inlineStr">
        <is>
          <t>P93886</t>
        </is>
      </c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  <c r="AO26" s="2" t="n"/>
      <c r="AP26" s="2" t="n"/>
      <c r="AQ26" s="2" t="n"/>
      <c r="AR26" s="2" t="n"/>
      <c r="AS26" s="2" t="n"/>
    </row>
    <row r="27">
      <c r="A27" s="11" t="n">
        <v>13</v>
      </c>
      <c r="B27" s="11" t="inlineStr">
        <is>
          <t>Surname331</t>
        </is>
      </c>
      <c r="C27" s="11" t="inlineStr">
        <is>
          <t>Forename331</t>
        </is>
      </c>
      <c r="D27" s="11" t="inlineStr">
        <is>
          <t>Hakim Group Head Office</t>
        </is>
      </c>
      <c r="E27" s="11" t="inlineStr">
        <is>
          <t>Support</t>
        </is>
      </c>
      <c r="F27" s="11" t="inlineStr">
        <is>
          <t>CC-HAK</t>
        </is>
      </c>
      <c r="G27" s="11" t="inlineStr">
        <is>
          <t>July 2026</t>
        </is>
      </c>
      <c r="H27" s="11" t="inlineStr">
        <is>
          <t>Monthly</t>
        </is>
      </c>
      <c r="I27" s="11" t="inlineStr">
        <is>
          <t>1257L</t>
        </is>
      </c>
      <c r="J27" s="11" t="inlineStr">
        <is>
          <t>A</t>
        </is>
      </c>
      <c r="K27" s="15" t="n">
        <v>4155.61</v>
      </c>
      <c r="L27" s="15" t="n">
        <v>4072.5</v>
      </c>
      <c r="M27" s="15" t="n">
        <v>3947.83</v>
      </c>
      <c r="N27" s="15" t="n">
        <v>301.6166666666667</v>
      </c>
      <c r="O27" s="15" t="n">
        <v>2681.04</v>
      </c>
      <c r="P27" s="15" t="n">
        <v>573.47</v>
      </c>
      <c r="Q27" s="15" t="n">
        <v>207.78</v>
      </c>
      <c r="R27" s="15" t="n">
        <v>20.78</v>
      </c>
      <c r="S27" s="15" t="n">
        <v>3619.4</v>
      </c>
      <c r="T27" s="15" t="n">
        <v>0</v>
      </c>
      <c r="U27" s="15" t="n">
        <v>0</v>
      </c>
      <c r="V27" s="15" t="n">
        <v>0</v>
      </c>
      <c r="W27" s="15" t="n">
        <v>0</v>
      </c>
      <c r="X27" s="15" t="n">
        <v>0</v>
      </c>
      <c r="Y27" s="15" t="n">
        <v>0</v>
      </c>
      <c r="Z27" s="15" t="n">
        <v>0</v>
      </c>
      <c r="AA27" s="15" t="n">
        <v>0</v>
      </c>
      <c r="AB27" s="15" t="n">
        <v>0</v>
      </c>
      <c r="AC27" s="15" t="n">
        <v>0</v>
      </c>
      <c r="AD27" s="15" t="n">
        <v>0</v>
      </c>
      <c r="AE27" s="11" t="inlineStr">
        <is>
          <t>P17331</t>
        </is>
      </c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  <c r="AO27" s="2" t="n"/>
      <c r="AP27" s="2" t="n"/>
      <c r="AQ27" s="2" t="n"/>
      <c r="AR27" s="2" t="n"/>
      <c r="AS27" s="2" t="n"/>
    </row>
    <row r="28">
      <c r="A28" s="11" t="n">
        <v>14</v>
      </c>
      <c r="B28" s="11" t="inlineStr">
        <is>
          <t>Surname341</t>
        </is>
      </c>
      <c r="C28" s="11" t="inlineStr">
        <is>
          <t>Forename341</t>
        </is>
      </c>
      <c r="D28" s="11" t="inlineStr">
        <is>
          <t>Kings Road Dental Practice</t>
        </is>
      </c>
      <c r="E28" s="11" t="inlineStr">
        <is>
          <t>Support</t>
        </is>
      </c>
      <c r="F28" s="11" t="inlineStr">
        <is>
          <t>CC-KIN</t>
        </is>
      </c>
      <c r="G28" s="11" t="inlineStr">
        <is>
          <t>July 2026</t>
        </is>
      </c>
      <c r="H28" s="11" t="inlineStr">
        <is>
          <t>Monthly</t>
        </is>
      </c>
      <c r="I28" s="11" t="inlineStr">
        <is>
          <t>1257L</t>
        </is>
      </c>
      <c r="J28" s="11" t="inlineStr">
        <is>
          <t>A</t>
        </is>
      </c>
      <c r="K28" s="15" t="n">
        <v>2826.94</v>
      </c>
      <c r="L28" s="15" t="n">
        <v>2770.4</v>
      </c>
      <c r="M28" s="15" t="n">
        <v>2685.59</v>
      </c>
      <c r="N28" s="15" t="n">
        <v>205.1808333333333</v>
      </c>
      <c r="O28" s="15" t="n">
        <v>1823.83</v>
      </c>
      <c r="P28" s="15" t="n">
        <v>390.12</v>
      </c>
      <c r="Q28" s="15" t="n">
        <v>141.35</v>
      </c>
      <c r="R28" s="15" t="n">
        <v>14.13</v>
      </c>
      <c r="S28" s="15" t="n">
        <v>2462.17</v>
      </c>
      <c r="T28" s="15" t="n">
        <v>0</v>
      </c>
      <c r="U28" s="15" t="n">
        <v>0</v>
      </c>
      <c r="V28" s="15" t="n">
        <v>0</v>
      </c>
      <c r="W28" s="15" t="n">
        <v>0</v>
      </c>
      <c r="X28" s="15" t="n">
        <v>0</v>
      </c>
      <c r="Y28" s="15" t="n">
        <v>0</v>
      </c>
      <c r="Z28" s="15" t="n">
        <v>0</v>
      </c>
      <c r="AA28" s="15" t="n">
        <v>0</v>
      </c>
      <c r="AB28" s="15" t="n">
        <v>0</v>
      </c>
      <c r="AC28" s="15" t="n">
        <v>0</v>
      </c>
      <c r="AD28" s="15" t="n">
        <v>0</v>
      </c>
      <c r="AE28" s="11" t="inlineStr">
        <is>
          <t>P84341</t>
        </is>
      </c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  <c r="AO28" s="2" t="n"/>
      <c r="AP28" s="2" t="n"/>
      <c r="AQ28" s="2" t="n"/>
      <c r="AR28" s="2" t="n"/>
      <c r="AS28" s="2" t="n"/>
    </row>
    <row r="29">
      <c r="A29" s="11" t="n">
        <v>15</v>
      </c>
      <c r="B29" s="11" t="inlineStr">
        <is>
          <t>Surname142</t>
        </is>
      </c>
      <c r="C29" s="11" t="inlineStr">
        <is>
          <t>Forename142</t>
        </is>
      </c>
      <c r="D29" s="11" t="inlineStr">
        <is>
          <t>Elm Park Dental Practice</t>
        </is>
      </c>
      <c r="E29" s="11" t="inlineStr">
        <is>
          <t>Clinical</t>
        </is>
      </c>
      <c r="F29" s="11" t="inlineStr">
        <is>
          <t>CC-ELM</t>
        </is>
      </c>
      <c r="G29" s="11" t="inlineStr">
        <is>
          <t>July 2026</t>
        </is>
      </c>
      <c r="H29" s="11" t="inlineStr">
        <is>
          <t>Monthly</t>
        </is>
      </c>
      <c r="I29" s="11" t="inlineStr">
        <is>
          <t>1257L</t>
        </is>
      </c>
      <c r="J29" s="11" t="inlineStr">
        <is>
          <t>A</t>
        </is>
      </c>
      <c r="K29" s="15" t="n">
        <v>3713.54</v>
      </c>
      <c r="L29" s="15" t="n">
        <v>3639.27</v>
      </c>
      <c r="M29" s="15" t="n">
        <v>3527.86</v>
      </c>
      <c r="N29" s="15" t="n">
        <v>269.5308333333333</v>
      </c>
      <c r="O29" s="15" t="n">
        <v>2395.83</v>
      </c>
      <c r="P29" s="15" t="n">
        <v>512.47</v>
      </c>
      <c r="Q29" s="15" t="n">
        <v>185.68</v>
      </c>
      <c r="R29" s="15" t="n">
        <v>18.57</v>
      </c>
      <c r="S29" s="15" t="n">
        <v>3234.37</v>
      </c>
      <c r="T29" s="15" t="n">
        <v>0</v>
      </c>
      <c r="U29" s="15" t="n">
        <v>0</v>
      </c>
      <c r="V29" s="15" t="n">
        <v>0</v>
      </c>
      <c r="W29" s="15" t="n">
        <v>0</v>
      </c>
      <c r="X29" s="15" t="n">
        <v>0</v>
      </c>
      <c r="Y29" s="15" t="n">
        <v>0</v>
      </c>
      <c r="Z29" s="15" t="n">
        <v>0</v>
      </c>
      <c r="AA29" s="15" t="n">
        <v>0</v>
      </c>
      <c r="AB29" s="15" t="n">
        <v>0</v>
      </c>
      <c r="AC29" s="15" t="n">
        <v>0</v>
      </c>
      <c r="AD29" s="15" t="n">
        <v>0</v>
      </c>
      <c r="AE29" s="11" t="inlineStr">
        <is>
          <t>P70142</t>
        </is>
      </c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  <c r="AO29" s="2" t="n"/>
      <c r="AP29" s="2" t="n"/>
      <c r="AQ29" s="2" t="n"/>
      <c r="AR29" s="2" t="n"/>
      <c r="AS29" s="2" t="n"/>
    </row>
    <row r="30">
      <c r="A30" s="11" t="n">
        <v>16</v>
      </c>
      <c r="B30" s="11" t="inlineStr">
        <is>
          <t>Surname622</t>
        </is>
      </c>
      <c r="C30" s="11" t="inlineStr">
        <is>
          <t>Forename622</t>
        </is>
      </c>
      <c r="D30" s="11" t="inlineStr">
        <is>
          <t>Kings Road Dental Practice</t>
        </is>
      </c>
      <c r="E30" s="11" t="inlineStr">
        <is>
          <t>Clinical</t>
        </is>
      </c>
      <c r="F30" s="11" t="inlineStr">
        <is>
          <t>CC-KIN</t>
        </is>
      </c>
      <c r="G30" s="11" t="inlineStr">
        <is>
          <t>July 2026</t>
        </is>
      </c>
      <c r="H30" s="11" t="inlineStr">
        <is>
          <t>Monthly</t>
        </is>
      </c>
      <c r="I30" s="11" t="inlineStr">
        <is>
          <t>1257L</t>
        </is>
      </c>
      <c r="J30" s="11" t="inlineStr">
        <is>
          <t>A</t>
        </is>
      </c>
      <c r="K30" s="15" t="n">
        <v>4302.18</v>
      </c>
      <c r="L30" s="15" t="n">
        <v>4216.14</v>
      </c>
      <c r="M30" s="15" t="n">
        <v>4087.07</v>
      </c>
      <c r="N30" s="15" t="n">
        <v>312.255</v>
      </c>
      <c r="O30" s="15" t="n">
        <v>2775.6</v>
      </c>
      <c r="P30" s="15" t="n">
        <v>593.7</v>
      </c>
      <c r="Q30" s="15" t="n">
        <v>215.11</v>
      </c>
      <c r="R30" s="15" t="n">
        <v>21.51</v>
      </c>
      <c r="S30" s="15" t="n">
        <v>3747.06</v>
      </c>
      <c r="T30" s="15" t="n">
        <v>0</v>
      </c>
      <c r="U30" s="15" t="n">
        <v>0</v>
      </c>
      <c r="V30" s="15" t="n">
        <v>0</v>
      </c>
      <c r="W30" s="15" t="n">
        <v>0</v>
      </c>
      <c r="X30" s="15" t="n">
        <v>0</v>
      </c>
      <c r="Y30" s="15" t="n">
        <v>0</v>
      </c>
      <c r="Z30" s="15" t="n">
        <v>0</v>
      </c>
      <c r="AA30" s="15" t="n">
        <v>0</v>
      </c>
      <c r="AB30" s="15" t="n">
        <v>0</v>
      </c>
      <c r="AC30" s="15" t="n">
        <v>0</v>
      </c>
      <c r="AD30" s="15" t="n">
        <v>0</v>
      </c>
      <c r="AE30" s="11" t="inlineStr">
        <is>
          <t>P86622</t>
        </is>
      </c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  <c r="AO30" s="2" t="n"/>
      <c r="AP30" s="2" t="n"/>
      <c r="AQ30" s="2" t="n"/>
      <c r="AR30" s="2" t="n"/>
      <c r="AS30" s="2" t="n"/>
    </row>
    <row r="31">
      <c r="A31" s="11" t="n">
        <v>17</v>
      </c>
      <c r="B31" s="11" t="inlineStr">
        <is>
          <t>Surname131</t>
        </is>
      </c>
      <c r="C31" s="11" t="inlineStr">
        <is>
          <t>Forename131</t>
        </is>
      </c>
      <c r="D31" s="11" t="inlineStr">
        <is>
          <t>Oakfield Dental Practice</t>
        </is>
      </c>
      <c r="E31" s="11" t="inlineStr">
        <is>
          <t>Support</t>
        </is>
      </c>
      <c r="F31" s="11" t="inlineStr">
        <is>
          <t>CC-OAK</t>
        </is>
      </c>
      <c r="G31" s="11" t="inlineStr">
        <is>
          <t>July 2026</t>
        </is>
      </c>
      <c r="H31" s="11" t="inlineStr">
        <is>
          <t>Monthly</t>
        </is>
      </c>
      <c r="I31" s="11" t="inlineStr">
        <is>
          <t>1257L</t>
        </is>
      </c>
      <c r="J31" s="11" t="inlineStr">
        <is>
          <t>A</t>
        </is>
      </c>
      <c r="K31" s="15" t="n">
        <v>3692.36</v>
      </c>
      <c r="L31" s="15" t="n">
        <v>3618.51</v>
      </c>
      <c r="M31" s="15" t="n">
        <v>3507.74</v>
      </c>
      <c r="N31" s="15" t="n">
        <v>267.9941666666667</v>
      </c>
      <c r="O31" s="15" t="n">
        <v>2382.17</v>
      </c>
      <c r="P31" s="15" t="n">
        <v>509.55</v>
      </c>
      <c r="Q31" s="15" t="n">
        <v>184.62</v>
      </c>
      <c r="R31" s="15" t="n">
        <v>18.46</v>
      </c>
      <c r="S31" s="15" t="n">
        <v>3215.93</v>
      </c>
      <c r="T31" s="15" t="n">
        <v>0</v>
      </c>
      <c r="U31" s="15" t="n">
        <v>0</v>
      </c>
      <c r="V31" s="15" t="n">
        <v>0</v>
      </c>
      <c r="W31" s="15" t="n">
        <v>0</v>
      </c>
      <c r="X31" s="15" t="n">
        <v>0</v>
      </c>
      <c r="Y31" s="15" t="n">
        <v>0</v>
      </c>
      <c r="Z31" s="15" t="n">
        <v>0</v>
      </c>
      <c r="AA31" s="15" t="n">
        <v>0</v>
      </c>
      <c r="AB31" s="15" t="n">
        <v>0</v>
      </c>
      <c r="AC31" s="15" t="n">
        <v>0</v>
      </c>
      <c r="AD31" s="15" t="n">
        <v>0</v>
      </c>
      <c r="AE31" s="11" t="inlineStr">
        <is>
          <t>P28131</t>
        </is>
      </c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  <c r="AO31" s="2" t="n"/>
      <c r="AP31" s="2" t="n"/>
      <c r="AQ31" s="2" t="n"/>
      <c r="AR31" s="2" t="n"/>
      <c r="AS31" s="2" t="n"/>
    </row>
    <row r="32">
      <c r="A32" s="11" t="n">
        <v>18</v>
      </c>
      <c r="B32" s="11" t="inlineStr">
        <is>
          <t>Surname371</t>
        </is>
      </c>
      <c r="C32" s="11" t="inlineStr">
        <is>
          <t>Forename371</t>
        </is>
      </c>
      <c r="D32" s="11" t="inlineStr">
        <is>
          <t>Hakim Group Head Office</t>
        </is>
      </c>
      <c r="E32" s="11" t="inlineStr">
        <is>
          <t>Support</t>
        </is>
      </c>
      <c r="F32" s="11" t="inlineStr">
        <is>
          <t>CC-HAK</t>
        </is>
      </c>
      <c r="G32" s="11" t="inlineStr">
        <is>
          <t>July 2026</t>
        </is>
      </c>
      <c r="H32" s="11" t="inlineStr">
        <is>
          <t>Monthly</t>
        </is>
      </c>
      <c r="I32" s="11" t="inlineStr">
        <is>
          <t>1257L</t>
        </is>
      </c>
      <c r="J32" s="11" t="inlineStr">
        <is>
          <t>A</t>
        </is>
      </c>
      <c r="K32" s="15" t="n">
        <v>2364.37</v>
      </c>
      <c r="L32" s="15" t="n">
        <v>2317.08</v>
      </c>
      <c r="M32" s="15" t="n">
        <v>2246.15</v>
      </c>
      <c r="N32" s="15" t="n">
        <v>171.6075</v>
      </c>
      <c r="O32" s="15" t="n">
        <v>1525.4</v>
      </c>
      <c r="P32" s="15" t="n">
        <v>326.28</v>
      </c>
      <c r="Q32" s="15" t="n">
        <v>118.22</v>
      </c>
      <c r="R32" s="15" t="n">
        <v>11.82</v>
      </c>
      <c r="S32" s="15" t="n">
        <v>2059.29</v>
      </c>
      <c r="T32" s="15" t="n">
        <v>0</v>
      </c>
      <c r="U32" s="15" t="n">
        <v>0</v>
      </c>
      <c r="V32" s="15" t="n">
        <v>0</v>
      </c>
      <c r="W32" s="15" t="n">
        <v>0</v>
      </c>
      <c r="X32" s="15" t="n">
        <v>0</v>
      </c>
      <c r="Y32" s="15" t="n">
        <v>0</v>
      </c>
      <c r="Z32" s="15" t="n">
        <v>0</v>
      </c>
      <c r="AA32" s="15" t="n">
        <v>0</v>
      </c>
      <c r="AB32" s="15" t="n">
        <v>0</v>
      </c>
      <c r="AC32" s="15" t="n">
        <v>0</v>
      </c>
      <c r="AD32" s="15" t="n">
        <v>0</v>
      </c>
      <c r="AE32" s="11" t="inlineStr">
        <is>
          <t>P24371</t>
        </is>
      </c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  <c r="AO32" s="2" t="n"/>
      <c r="AP32" s="2" t="n"/>
      <c r="AQ32" s="2" t="n"/>
      <c r="AR32" s="2" t="n"/>
      <c r="AS32" s="2" t="n"/>
    </row>
    <row r="33">
      <c r="A33" s="11" t="n">
        <v>19</v>
      </c>
      <c r="B33" s="11" t="inlineStr">
        <is>
          <t>Surname019</t>
        </is>
      </c>
      <c r="C33" s="11" t="inlineStr">
        <is>
          <t>Forename019</t>
        </is>
      </c>
      <c r="D33" s="11" t="inlineStr">
        <is>
          <t>Kings Road Dental Practice</t>
        </is>
      </c>
      <c r="E33" s="11" t="inlineStr">
        <is>
          <t>Support</t>
        </is>
      </c>
      <c r="F33" s="11" t="inlineStr">
        <is>
          <t>CC-KIN</t>
        </is>
      </c>
      <c r="G33" s="11" t="inlineStr">
        <is>
          <t>July 2026</t>
        </is>
      </c>
      <c r="H33" s="11" t="inlineStr">
        <is>
          <t>Monthly</t>
        </is>
      </c>
      <c r="I33" s="11" t="inlineStr">
        <is>
          <t>1257L</t>
        </is>
      </c>
      <c r="J33" s="11" t="inlineStr">
        <is>
          <t>A</t>
        </is>
      </c>
      <c r="K33" s="15" t="n">
        <v>2874.38</v>
      </c>
      <c r="L33" s="15" t="n">
        <v>2816.89</v>
      </c>
      <c r="M33" s="15" t="n">
        <v>2730.66</v>
      </c>
      <c r="N33" s="15" t="n">
        <v>208.6241666666666</v>
      </c>
      <c r="O33" s="15" t="n">
        <v>1854.44</v>
      </c>
      <c r="P33" s="15" t="n">
        <v>396.66</v>
      </c>
      <c r="Q33" s="15" t="n">
        <v>143.72</v>
      </c>
      <c r="R33" s="15" t="n">
        <v>14.37</v>
      </c>
      <c r="S33" s="15" t="n">
        <v>2503.49</v>
      </c>
      <c r="T33" s="15" t="n">
        <v>0</v>
      </c>
      <c r="U33" s="15" t="n">
        <v>0</v>
      </c>
      <c r="V33" s="15" t="n">
        <v>0</v>
      </c>
      <c r="W33" s="15" t="n">
        <v>0</v>
      </c>
      <c r="X33" s="15" t="n">
        <v>0</v>
      </c>
      <c r="Y33" s="15" t="n">
        <v>0</v>
      </c>
      <c r="Z33" s="15" t="n">
        <v>0</v>
      </c>
      <c r="AA33" s="15" t="n">
        <v>0</v>
      </c>
      <c r="AB33" s="15" t="n">
        <v>0</v>
      </c>
      <c r="AC33" s="15" t="n">
        <v>0</v>
      </c>
      <c r="AD33" s="15" t="n">
        <v>0</v>
      </c>
      <c r="AE33" s="11" t="inlineStr">
        <is>
          <t>P60019</t>
        </is>
      </c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  <c r="AO33" s="2" t="n"/>
      <c r="AP33" s="2" t="n"/>
      <c r="AQ33" s="2" t="n"/>
      <c r="AR33" s="2" t="n"/>
      <c r="AS33" s="2" t="n"/>
    </row>
    <row r="34">
      <c r="A34" s="11" t="n">
        <v>20</v>
      </c>
      <c r="B34" s="11" t="inlineStr">
        <is>
          <t>Surname504</t>
        </is>
      </c>
      <c r="C34" s="11" t="inlineStr">
        <is>
          <t>Forename504</t>
        </is>
      </c>
      <c r="D34" s="11" t="inlineStr">
        <is>
          <t>Hakim Group Head Office</t>
        </is>
      </c>
      <c r="E34" s="11" t="inlineStr">
        <is>
          <t>Support</t>
        </is>
      </c>
      <c r="F34" s="11" t="inlineStr">
        <is>
          <t>CC-HAK</t>
        </is>
      </c>
      <c r="G34" s="11" t="inlineStr">
        <is>
          <t>July 2026</t>
        </is>
      </c>
      <c r="H34" s="11" t="inlineStr">
        <is>
          <t>Monthly</t>
        </is>
      </c>
      <c r="I34" s="11" t="inlineStr">
        <is>
          <t>1257L</t>
        </is>
      </c>
      <c r="J34" s="11" t="inlineStr">
        <is>
          <t>A</t>
        </is>
      </c>
      <c r="K34" s="15" t="n">
        <v>3738.99</v>
      </c>
      <c r="L34" s="15" t="n">
        <v>3664.21</v>
      </c>
      <c r="M34" s="15" t="n">
        <v>3552.04</v>
      </c>
      <c r="N34" s="15" t="n">
        <v>271.3783333333333</v>
      </c>
      <c r="O34" s="15" t="n">
        <v>2412.25</v>
      </c>
      <c r="P34" s="15" t="n">
        <v>515.98</v>
      </c>
      <c r="Q34" s="15" t="n">
        <v>186.95</v>
      </c>
      <c r="R34" s="15" t="n">
        <v>18.69</v>
      </c>
      <c r="S34" s="15" t="n">
        <v>3256.54</v>
      </c>
      <c r="T34" s="15" t="n">
        <v>0</v>
      </c>
      <c r="U34" s="15" t="n">
        <v>0</v>
      </c>
      <c r="V34" s="15" t="n">
        <v>0</v>
      </c>
      <c r="W34" s="15" t="n">
        <v>0</v>
      </c>
      <c r="X34" s="15" t="n">
        <v>0</v>
      </c>
      <c r="Y34" s="15" t="n">
        <v>0</v>
      </c>
      <c r="Z34" s="15" t="n">
        <v>0</v>
      </c>
      <c r="AA34" s="15" t="n">
        <v>0</v>
      </c>
      <c r="AB34" s="15" t="n">
        <v>0</v>
      </c>
      <c r="AC34" s="15" t="n">
        <v>0</v>
      </c>
      <c r="AD34" s="15" t="n">
        <v>0</v>
      </c>
      <c r="AE34" s="11" t="inlineStr">
        <is>
          <t>P11504</t>
        </is>
      </c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  <c r="AO34" s="2" t="n"/>
      <c r="AP34" s="2" t="n"/>
      <c r="AQ34" s="2" t="n"/>
      <c r="AR34" s="2" t="n"/>
      <c r="AS34" s="2" t="n"/>
    </row>
    <row r="35">
      <c r="A35" s="11" t="n">
        <v>21</v>
      </c>
      <c r="B35" s="11" t="inlineStr">
        <is>
          <t>Surname587</t>
        </is>
      </c>
      <c r="C35" s="11" t="inlineStr">
        <is>
          <t>Forename587</t>
        </is>
      </c>
      <c r="D35" s="11" t="inlineStr">
        <is>
          <t>Riverside Dental Practice</t>
        </is>
      </c>
      <c r="E35" s="11" t="inlineStr">
        <is>
          <t>Support</t>
        </is>
      </c>
      <c r="F35" s="11" t="inlineStr">
        <is>
          <t>CC-RIV</t>
        </is>
      </c>
      <c r="G35" s="11" t="inlineStr">
        <is>
          <t>July 2026</t>
        </is>
      </c>
      <c r="H35" s="11" t="inlineStr">
        <is>
          <t>Monthly</t>
        </is>
      </c>
      <c r="I35" s="11" t="inlineStr">
        <is>
          <t>1257L</t>
        </is>
      </c>
      <c r="J35" s="11" t="inlineStr">
        <is>
          <t>A</t>
        </is>
      </c>
      <c r="K35" s="15" t="n">
        <v>4636.11</v>
      </c>
      <c r="L35" s="15" t="n">
        <v>4543.39</v>
      </c>
      <c r="M35" s="15" t="n">
        <v>4404.3</v>
      </c>
      <c r="N35" s="15" t="n">
        <v>336.4916666666667</v>
      </c>
      <c r="O35" s="15" t="n">
        <v>2991.04</v>
      </c>
      <c r="P35" s="15" t="n">
        <v>639.78</v>
      </c>
      <c r="Q35" s="15" t="n">
        <v>231.81</v>
      </c>
      <c r="R35" s="15" t="n">
        <v>23.18</v>
      </c>
      <c r="S35" s="15" t="n">
        <v>4037.9</v>
      </c>
      <c r="T35" s="15" t="n">
        <v>0</v>
      </c>
      <c r="U35" s="15" t="n">
        <v>0</v>
      </c>
      <c r="V35" s="15" t="n">
        <v>0</v>
      </c>
      <c r="W35" s="15" t="n">
        <v>0</v>
      </c>
      <c r="X35" s="15" t="n">
        <v>0</v>
      </c>
      <c r="Y35" s="15" t="n">
        <v>0</v>
      </c>
      <c r="Z35" s="15" t="n">
        <v>0</v>
      </c>
      <c r="AA35" s="15" t="n">
        <v>0</v>
      </c>
      <c r="AB35" s="15" t="n">
        <v>0</v>
      </c>
      <c r="AC35" s="15" t="n">
        <v>0</v>
      </c>
      <c r="AD35" s="15" t="n">
        <v>0</v>
      </c>
      <c r="AE35" s="11" t="inlineStr">
        <is>
          <t>P54587</t>
        </is>
      </c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  <c r="AO35" s="2" t="n"/>
      <c r="AP35" s="2" t="n"/>
      <c r="AQ35" s="2" t="n"/>
      <c r="AR35" s="2" t="n"/>
      <c r="AS35" s="2" t="n"/>
    </row>
    <row r="36">
      <c r="A36" s="11" t="n">
        <v>22</v>
      </c>
      <c r="B36" s="11" t="inlineStr">
        <is>
          <t>Surname522</t>
        </is>
      </c>
      <c r="C36" s="11" t="inlineStr">
        <is>
          <t>Forename522</t>
        </is>
      </c>
      <c r="D36" s="11" t="inlineStr">
        <is>
          <t>Riverside Dental Practice</t>
        </is>
      </c>
      <c r="E36" s="11" t="inlineStr">
        <is>
          <t>Clinical</t>
        </is>
      </c>
      <c r="F36" s="11" t="inlineStr">
        <is>
          <t>CC-RIV</t>
        </is>
      </c>
      <c r="G36" s="11" t="inlineStr">
        <is>
          <t>July 2026</t>
        </is>
      </c>
      <c r="H36" s="11" t="inlineStr">
        <is>
          <t>Monthly</t>
        </is>
      </c>
      <c r="I36" s="11" t="inlineStr">
        <is>
          <t>1257L</t>
        </is>
      </c>
      <c r="J36" s="11" t="inlineStr">
        <is>
          <t>A</t>
        </is>
      </c>
      <c r="K36" s="15" t="n">
        <v>3941.09</v>
      </c>
      <c r="L36" s="15" t="n">
        <v>3862.27</v>
      </c>
      <c r="M36" s="15" t="n">
        <v>3744.04</v>
      </c>
      <c r="N36" s="15" t="n">
        <v>286.0466666666667</v>
      </c>
      <c r="O36" s="15" t="n">
        <v>2542.64</v>
      </c>
      <c r="P36" s="15" t="n">
        <v>543.87</v>
      </c>
      <c r="Q36" s="15" t="n">
        <v>197.05</v>
      </c>
      <c r="R36" s="15" t="n">
        <v>19.71</v>
      </c>
      <c r="S36" s="15" t="n">
        <v>3432.56</v>
      </c>
      <c r="T36" s="15" t="n">
        <v>0</v>
      </c>
      <c r="U36" s="15" t="n">
        <v>0</v>
      </c>
      <c r="V36" s="15" t="n">
        <v>0</v>
      </c>
      <c r="W36" s="15" t="n">
        <v>0</v>
      </c>
      <c r="X36" s="15" t="n">
        <v>0</v>
      </c>
      <c r="Y36" s="15" t="n">
        <v>0</v>
      </c>
      <c r="Z36" s="15" t="n">
        <v>0</v>
      </c>
      <c r="AA36" s="15" t="n">
        <v>0</v>
      </c>
      <c r="AB36" s="15" t="n">
        <v>0</v>
      </c>
      <c r="AC36" s="15" t="n">
        <v>0</v>
      </c>
      <c r="AD36" s="15" t="n">
        <v>0</v>
      </c>
      <c r="AE36" s="11" t="inlineStr">
        <is>
          <t>P44522</t>
        </is>
      </c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  <c r="AO36" s="2" t="n"/>
      <c r="AP36" s="2" t="n"/>
      <c r="AQ36" s="2" t="n"/>
      <c r="AR36" s="2" t="n"/>
      <c r="AS36" s="2" t="n"/>
    </row>
    <row r="37">
      <c r="A37" s="11" t="n">
        <v>23</v>
      </c>
      <c r="B37" s="11" t="inlineStr">
        <is>
          <t>Surname959</t>
        </is>
      </c>
      <c r="C37" s="11" t="inlineStr">
        <is>
          <t>Forename959</t>
        </is>
      </c>
      <c r="D37" s="11" t="inlineStr">
        <is>
          <t>Hakim Group Head Office</t>
        </is>
      </c>
      <c r="E37" s="11" t="inlineStr">
        <is>
          <t>Support</t>
        </is>
      </c>
      <c r="F37" s="11" t="inlineStr">
        <is>
          <t>CC-HAK</t>
        </is>
      </c>
      <c r="G37" s="11" t="inlineStr">
        <is>
          <t>July 2026</t>
        </is>
      </c>
      <c r="H37" s="11" t="inlineStr">
        <is>
          <t>Monthly</t>
        </is>
      </c>
      <c r="I37" s="11" t="inlineStr">
        <is>
          <t>1257L</t>
        </is>
      </c>
      <c r="J37" s="11" t="inlineStr">
        <is>
          <t>A</t>
        </is>
      </c>
      <c r="K37" s="15" t="n">
        <v>3510.21</v>
      </c>
      <c r="L37" s="15" t="n">
        <v>3440.01</v>
      </c>
      <c r="M37" s="15" t="n">
        <v>3334.7</v>
      </c>
      <c r="N37" s="15" t="n">
        <v>254.7733333333333</v>
      </c>
      <c r="O37" s="15" t="n">
        <v>2264.65</v>
      </c>
      <c r="P37" s="15" t="n">
        <v>484.41</v>
      </c>
      <c r="Q37" s="15" t="n">
        <v>175.51</v>
      </c>
      <c r="R37" s="15" t="n">
        <v>17.55</v>
      </c>
      <c r="S37" s="15" t="n">
        <v>3057.28</v>
      </c>
      <c r="T37" s="15" t="n">
        <v>0</v>
      </c>
      <c r="U37" s="15" t="n">
        <v>0</v>
      </c>
      <c r="V37" s="15" t="n">
        <v>0</v>
      </c>
      <c r="W37" s="15" t="n">
        <v>0</v>
      </c>
      <c r="X37" s="15" t="n">
        <v>0</v>
      </c>
      <c r="Y37" s="15" t="n">
        <v>0</v>
      </c>
      <c r="Z37" s="15" t="n">
        <v>0</v>
      </c>
      <c r="AA37" s="15" t="n">
        <v>0</v>
      </c>
      <c r="AB37" s="15" t="n">
        <v>0</v>
      </c>
      <c r="AC37" s="15" t="n">
        <v>0</v>
      </c>
      <c r="AD37" s="15" t="n">
        <v>0</v>
      </c>
      <c r="AE37" s="11" t="inlineStr">
        <is>
          <t>P91959</t>
        </is>
      </c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  <c r="AO37" s="2" t="n"/>
      <c r="AP37" s="2" t="n"/>
      <c r="AQ37" s="2" t="n"/>
      <c r="AR37" s="2" t="n"/>
      <c r="AS37" s="2" t="n"/>
    </row>
    <row r="38">
      <c r="A38" s="11" t="n">
        <v>24</v>
      </c>
      <c r="B38" s="11" t="inlineStr">
        <is>
          <t>Surname697</t>
        </is>
      </c>
      <c r="C38" s="11" t="inlineStr">
        <is>
          <t>Forename697</t>
        </is>
      </c>
      <c r="D38" s="11" t="inlineStr">
        <is>
          <t>Elm Park Dental Practice</t>
        </is>
      </c>
      <c r="E38" s="11" t="inlineStr">
        <is>
          <t>Support</t>
        </is>
      </c>
      <c r="F38" s="11" t="inlineStr">
        <is>
          <t>CC-ELM</t>
        </is>
      </c>
      <c r="G38" s="11" t="inlineStr">
        <is>
          <t>July 2026</t>
        </is>
      </c>
      <c r="H38" s="11" t="inlineStr">
        <is>
          <t>Monthly</t>
        </is>
      </c>
      <c r="I38" s="11" t="inlineStr">
        <is>
          <t>1257L</t>
        </is>
      </c>
      <c r="J38" s="11" t="inlineStr">
        <is>
          <t>A</t>
        </is>
      </c>
      <c r="K38" s="15" t="n">
        <v>2817.25</v>
      </c>
      <c r="L38" s="15" t="n">
        <v>2760.9</v>
      </c>
      <c r="M38" s="15" t="n">
        <v>2676.39</v>
      </c>
      <c r="N38" s="15" t="n">
        <v>204.4775</v>
      </c>
      <c r="O38" s="15" t="n">
        <v>1817.58</v>
      </c>
      <c r="P38" s="15" t="n">
        <v>388.78</v>
      </c>
      <c r="Q38" s="15" t="n">
        <v>140.86</v>
      </c>
      <c r="R38" s="15" t="n">
        <v>14.09</v>
      </c>
      <c r="S38" s="15" t="n">
        <v>2453.73</v>
      </c>
      <c r="T38" s="15" t="n">
        <v>0</v>
      </c>
      <c r="U38" s="15" t="n">
        <v>0</v>
      </c>
      <c r="V38" s="15" t="n">
        <v>0</v>
      </c>
      <c r="W38" s="15" t="n">
        <v>0</v>
      </c>
      <c r="X38" s="15" t="n">
        <v>0</v>
      </c>
      <c r="Y38" s="15" t="n">
        <v>0</v>
      </c>
      <c r="Z38" s="15" t="n">
        <v>0</v>
      </c>
      <c r="AA38" s="15" t="n">
        <v>0</v>
      </c>
      <c r="AB38" s="15" t="n">
        <v>0</v>
      </c>
      <c r="AC38" s="15" t="n">
        <v>0</v>
      </c>
      <c r="AD38" s="15" t="n">
        <v>0</v>
      </c>
      <c r="AE38" s="11" t="inlineStr">
        <is>
          <t>P80697</t>
        </is>
      </c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  <c r="AO38" s="2" t="n"/>
      <c r="AP38" s="2" t="n"/>
      <c r="AQ38" s="2" t="n"/>
      <c r="AR38" s="2" t="n"/>
      <c r="AS38" s="2" t="n"/>
    </row>
    <row r="39">
      <c r="A39" s="11" t="n">
        <v>25</v>
      </c>
      <c r="B39" s="11" t="inlineStr">
        <is>
          <t>Surname662</t>
        </is>
      </c>
      <c r="C39" s="11" t="inlineStr">
        <is>
          <t>Forename662</t>
        </is>
      </c>
      <c r="D39" s="11" t="inlineStr">
        <is>
          <t>Hakim Group Head Office</t>
        </is>
      </c>
      <c r="E39" s="11" t="inlineStr">
        <is>
          <t>Support</t>
        </is>
      </c>
      <c r="F39" s="11" t="inlineStr">
        <is>
          <t>CC-HAK</t>
        </is>
      </c>
      <c r="G39" s="11" t="inlineStr">
        <is>
          <t>July 2026</t>
        </is>
      </c>
      <c r="H39" s="11" t="inlineStr">
        <is>
          <t>Monthly</t>
        </is>
      </c>
      <c r="I39" s="11" t="inlineStr">
        <is>
          <t>1257L</t>
        </is>
      </c>
      <c r="J39" s="11" t="inlineStr">
        <is>
          <t>A</t>
        </is>
      </c>
      <c r="K39" s="15" t="n">
        <v>3838.7</v>
      </c>
      <c r="L39" s="15" t="n">
        <v>3761.93</v>
      </c>
      <c r="M39" s="15" t="n">
        <v>3646.76</v>
      </c>
      <c r="N39" s="15" t="n">
        <v>278.615</v>
      </c>
      <c r="O39" s="15" t="n">
        <v>2476.58</v>
      </c>
      <c r="P39" s="15" t="n">
        <v>529.74</v>
      </c>
      <c r="Q39" s="15" t="n">
        <v>191.94</v>
      </c>
      <c r="R39" s="15" t="n">
        <v>19.19</v>
      </c>
      <c r="S39" s="15" t="n">
        <v>3343.38</v>
      </c>
      <c r="T39" s="15" t="n">
        <v>0</v>
      </c>
      <c r="U39" s="15" t="n">
        <v>0</v>
      </c>
      <c r="V39" s="15" t="n">
        <v>0</v>
      </c>
      <c r="W39" s="15" t="n">
        <v>0</v>
      </c>
      <c r="X39" s="15" t="n">
        <v>0</v>
      </c>
      <c r="Y39" s="15" t="n">
        <v>0</v>
      </c>
      <c r="Z39" s="15" t="n">
        <v>0</v>
      </c>
      <c r="AA39" s="15" t="n">
        <v>0</v>
      </c>
      <c r="AB39" s="15" t="n">
        <v>0</v>
      </c>
      <c r="AC39" s="15" t="n">
        <v>0</v>
      </c>
      <c r="AD39" s="15" t="n">
        <v>0</v>
      </c>
      <c r="AE39" s="11" t="inlineStr">
        <is>
          <t>P24662</t>
        </is>
      </c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  <c r="AO39" s="2" t="n"/>
      <c r="AP39" s="2" t="n"/>
      <c r="AQ39" s="2" t="n"/>
      <c r="AR39" s="2" t="n"/>
      <c r="AS39" s="2" t="n"/>
    </row>
    <row r="40">
      <c r="A40" s="11" t="n">
        <v>26</v>
      </c>
      <c r="B40" s="11" t="inlineStr">
        <is>
          <t>Surname364</t>
        </is>
      </c>
      <c r="C40" s="11" t="inlineStr">
        <is>
          <t>Forename364</t>
        </is>
      </c>
      <c r="D40" s="11" t="inlineStr">
        <is>
          <t>Elm Park Dental Practice</t>
        </is>
      </c>
      <c r="E40" s="11" t="inlineStr">
        <is>
          <t>Support</t>
        </is>
      </c>
      <c r="F40" s="11" t="inlineStr">
        <is>
          <t>CC-ELM</t>
        </is>
      </c>
      <c r="G40" s="11" t="inlineStr">
        <is>
          <t>July 2026</t>
        </is>
      </c>
      <c r="H40" s="11" t="inlineStr">
        <is>
          <t>Monthly</t>
        </is>
      </c>
      <c r="I40" s="11" t="inlineStr">
        <is>
          <t>1257L</t>
        </is>
      </c>
      <c r="J40" s="11" t="inlineStr">
        <is>
          <t>A</t>
        </is>
      </c>
      <c r="K40" s="15" t="n">
        <v>2599.8</v>
      </c>
      <c r="L40" s="15" t="n">
        <v>2547.8</v>
      </c>
      <c r="M40" s="15" t="n">
        <v>2469.81</v>
      </c>
      <c r="N40" s="15" t="n">
        <v>188.695</v>
      </c>
      <c r="O40" s="15" t="n">
        <v>1677.29</v>
      </c>
      <c r="P40" s="15" t="n">
        <v>358.77</v>
      </c>
      <c r="Q40" s="15" t="n">
        <v>129.99</v>
      </c>
      <c r="R40" s="15" t="n">
        <v>13</v>
      </c>
      <c r="S40" s="15" t="n">
        <v>2264.34</v>
      </c>
      <c r="T40" s="15" t="n">
        <v>0</v>
      </c>
      <c r="U40" s="15" t="n">
        <v>0</v>
      </c>
      <c r="V40" s="15" t="n">
        <v>0</v>
      </c>
      <c r="W40" s="15" t="n">
        <v>0</v>
      </c>
      <c r="X40" s="15" t="n">
        <v>0</v>
      </c>
      <c r="Y40" s="15" t="n">
        <v>0</v>
      </c>
      <c r="Z40" s="15" t="n">
        <v>0</v>
      </c>
      <c r="AA40" s="15" t="n">
        <v>0</v>
      </c>
      <c r="AB40" s="15" t="n">
        <v>0</v>
      </c>
      <c r="AC40" s="15" t="n">
        <v>0</v>
      </c>
      <c r="AD40" s="15" t="n">
        <v>0</v>
      </c>
      <c r="AE40" s="11" t="inlineStr">
        <is>
          <t>P84364</t>
        </is>
      </c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  <c r="AO40" s="2" t="n"/>
      <c r="AP40" s="2" t="n"/>
      <c r="AQ40" s="2" t="n"/>
      <c r="AR40" s="2" t="n"/>
      <c r="AS40" s="2" t="n"/>
    </row>
    <row r="41">
      <c r="A41" s="11" t="n">
        <v>27</v>
      </c>
      <c r="B41" s="11" t="inlineStr">
        <is>
          <t>Surname822</t>
        </is>
      </c>
      <c r="C41" s="11" t="inlineStr">
        <is>
          <t>Forename822</t>
        </is>
      </c>
      <c r="D41" s="11" t="inlineStr">
        <is>
          <t>Riverside Dental Practice</t>
        </is>
      </c>
      <c r="E41" s="11" t="inlineStr">
        <is>
          <t>Clinical</t>
        </is>
      </c>
      <c r="F41" s="11" t="inlineStr">
        <is>
          <t>CC-RIV</t>
        </is>
      </c>
      <c r="G41" s="11" t="inlineStr">
        <is>
          <t>July 2026</t>
        </is>
      </c>
      <c r="H41" s="11" t="inlineStr">
        <is>
          <t>Monthly</t>
        </is>
      </c>
      <c r="I41" s="11" t="inlineStr">
        <is>
          <t>1257L</t>
        </is>
      </c>
      <c r="J41" s="11" t="inlineStr">
        <is>
          <t>A</t>
        </is>
      </c>
      <c r="K41" s="15" t="n">
        <v>5135.35</v>
      </c>
      <c r="L41" s="15" t="n">
        <v>5032.64</v>
      </c>
      <c r="M41" s="15" t="n">
        <v>4878.58</v>
      </c>
      <c r="N41" s="15" t="n">
        <v>372.7275</v>
      </c>
      <c r="O41" s="15" t="n">
        <v>3313.13</v>
      </c>
      <c r="P41" s="15" t="n">
        <v>708.6799999999999</v>
      </c>
      <c r="Q41" s="15" t="n">
        <v>256.77</v>
      </c>
      <c r="R41" s="15" t="n">
        <v>25.68</v>
      </c>
      <c r="S41" s="15" t="n">
        <v>4472.73</v>
      </c>
      <c r="T41" s="15" t="n">
        <v>0</v>
      </c>
      <c r="U41" s="15" t="n">
        <v>0</v>
      </c>
      <c r="V41" s="15" t="n">
        <v>0</v>
      </c>
      <c r="W41" s="15" t="n">
        <v>0</v>
      </c>
      <c r="X41" s="15" t="n">
        <v>0</v>
      </c>
      <c r="Y41" s="15" t="n">
        <v>0</v>
      </c>
      <c r="Z41" s="15" t="n">
        <v>0</v>
      </c>
      <c r="AA41" s="15" t="n">
        <v>0</v>
      </c>
      <c r="AB41" s="15" t="n">
        <v>0</v>
      </c>
      <c r="AC41" s="15" t="n">
        <v>0</v>
      </c>
      <c r="AD41" s="15" t="n">
        <v>0</v>
      </c>
      <c r="AE41" s="11" t="inlineStr">
        <is>
          <t>P79822</t>
        </is>
      </c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  <c r="AO41" s="2" t="n"/>
      <c r="AP41" s="2" t="n"/>
      <c r="AQ41" s="2" t="n"/>
      <c r="AR41" s="2" t="n"/>
      <c r="AS41" s="2" t="n"/>
    </row>
    <row r="42">
      <c r="A42" s="11" t="n">
        <v>28</v>
      </c>
      <c r="B42" s="11" t="inlineStr">
        <is>
          <t>Surname163</t>
        </is>
      </c>
      <c r="C42" s="11" t="inlineStr">
        <is>
          <t>Forename163</t>
        </is>
      </c>
      <c r="D42" s="11" t="inlineStr">
        <is>
          <t>Kings Road Dental Practice</t>
        </is>
      </c>
      <c r="E42" s="11" t="inlineStr">
        <is>
          <t>Clinical</t>
        </is>
      </c>
      <c r="F42" s="11" t="inlineStr">
        <is>
          <t>CC-KIN</t>
        </is>
      </c>
      <c r="G42" s="11" t="inlineStr">
        <is>
          <t>July 2026</t>
        </is>
      </c>
      <c r="H42" s="11" t="inlineStr">
        <is>
          <t>Monthly</t>
        </is>
      </c>
      <c r="I42" s="11" t="inlineStr">
        <is>
          <t>1257L</t>
        </is>
      </c>
      <c r="J42" s="11" t="inlineStr">
        <is>
          <t>A</t>
        </is>
      </c>
      <c r="K42" s="15" t="n">
        <v>4289.64</v>
      </c>
      <c r="L42" s="15" t="n">
        <v>4203.85</v>
      </c>
      <c r="M42" s="15" t="n">
        <v>4075.16</v>
      </c>
      <c r="N42" s="15" t="n">
        <v>311.345</v>
      </c>
      <c r="O42" s="15" t="n">
        <v>2767.51</v>
      </c>
      <c r="P42" s="15" t="n">
        <v>591.97</v>
      </c>
      <c r="Q42" s="15" t="n">
        <v>214.48</v>
      </c>
      <c r="R42" s="15" t="n">
        <v>21.45</v>
      </c>
      <c r="S42" s="15" t="n">
        <v>3736.14</v>
      </c>
      <c r="T42" s="15" t="n">
        <v>0</v>
      </c>
      <c r="U42" s="15" t="n">
        <v>0</v>
      </c>
      <c r="V42" s="15" t="n">
        <v>0</v>
      </c>
      <c r="W42" s="15" t="n">
        <v>0</v>
      </c>
      <c r="X42" s="15" t="n">
        <v>0</v>
      </c>
      <c r="Y42" s="15" t="n">
        <v>0</v>
      </c>
      <c r="Z42" s="15" t="n">
        <v>0</v>
      </c>
      <c r="AA42" s="15" t="n">
        <v>0</v>
      </c>
      <c r="AB42" s="15" t="n">
        <v>0</v>
      </c>
      <c r="AC42" s="15" t="n">
        <v>0</v>
      </c>
      <c r="AD42" s="15" t="n">
        <v>0</v>
      </c>
      <c r="AE42" s="11" t="inlineStr">
        <is>
          <t>P79163</t>
        </is>
      </c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  <c r="AO42" s="2" t="n"/>
      <c r="AP42" s="2" t="n"/>
      <c r="AQ42" s="2" t="n"/>
      <c r="AR42" s="2" t="n"/>
      <c r="AS42" s="2" t="n"/>
    </row>
    <row r="43">
      <c r="A43" s="11" t="n">
        <v>29</v>
      </c>
      <c r="B43" s="11" t="inlineStr">
        <is>
          <t>Surname365</t>
        </is>
      </c>
      <c r="C43" s="11" t="inlineStr">
        <is>
          <t>Forename365</t>
        </is>
      </c>
      <c r="D43" s="11" t="inlineStr">
        <is>
          <t>Hakim Group Head Office</t>
        </is>
      </c>
      <c r="E43" s="11" t="inlineStr">
        <is>
          <t>Support</t>
        </is>
      </c>
      <c r="F43" s="11" t="inlineStr">
        <is>
          <t>CC-HAK</t>
        </is>
      </c>
      <c r="G43" s="11" t="inlineStr">
        <is>
          <t>July 2026</t>
        </is>
      </c>
      <c r="H43" s="11" t="inlineStr">
        <is>
          <t>Monthly</t>
        </is>
      </c>
      <c r="I43" s="11" t="inlineStr">
        <is>
          <t>1257L</t>
        </is>
      </c>
      <c r="J43" s="11" t="inlineStr">
        <is>
          <t>A</t>
        </is>
      </c>
      <c r="K43" s="15" t="n">
        <v>4973.14</v>
      </c>
      <c r="L43" s="15" t="n">
        <v>4873.68</v>
      </c>
      <c r="M43" s="15" t="n">
        <v>4724.48</v>
      </c>
      <c r="N43" s="15" t="n">
        <v>360.9541666666667</v>
      </c>
      <c r="O43" s="15" t="n">
        <v>3208.48</v>
      </c>
      <c r="P43" s="15" t="n">
        <v>686.29</v>
      </c>
      <c r="Q43" s="15" t="n">
        <v>248.66</v>
      </c>
      <c r="R43" s="15" t="n">
        <v>24.87</v>
      </c>
      <c r="S43" s="15" t="n">
        <v>4331.45</v>
      </c>
      <c r="T43" s="15" t="n">
        <v>0</v>
      </c>
      <c r="U43" s="15" t="n">
        <v>0</v>
      </c>
      <c r="V43" s="15" t="n">
        <v>0</v>
      </c>
      <c r="W43" s="15" t="n">
        <v>0</v>
      </c>
      <c r="X43" s="15" t="n">
        <v>0</v>
      </c>
      <c r="Y43" s="15" t="n">
        <v>0</v>
      </c>
      <c r="Z43" s="15" t="n">
        <v>0</v>
      </c>
      <c r="AA43" s="15" t="n">
        <v>0</v>
      </c>
      <c r="AB43" s="15" t="n">
        <v>0</v>
      </c>
      <c r="AC43" s="15" t="n">
        <v>0</v>
      </c>
      <c r="AD43" s="15" t="n">
        <v>0</v>
      </c>
      <c r="AE43" s="11" t="inlineStr">
        <is>
          <t>P36365</t>
        </is>
      </c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  <c r="AO43" s="2" t="n"/>
      <c r="AP43" s="2" t="n"/>
      <c r="AQ43" s="2" t="n"/>
      <c r="AR43" s="2" t="n"/>
      <c r="AS43" s="2" t="n"/>
    </row>
    <row r="44">
      <c r="A44" s="11" t="n">
        <v>30</v>
      </c>
      <c r="B44" s="11" t="inlineStr">
        <is>
          <t>Surname860</t>
        </is>
      </c>
      <c r="C44" s="11" t="inlineStr">
        <is>
          <t>Forename860</t>
        </is>
      </c>
      <c r="D44" s="11" t="inlineStr">
        <is>
          <t>Elm Park Dental Practice</t>
        </is>
      </c>
      <c r="E44" s="11" t="inlineStr">
        <is>
          <t>Clinical</t>
        </is>
      </c>
      <c r="F44" s="11" t="inlineStr">
        <is>
          <t>CC-ELM</t>
        </is>
      </c>
      <c r="G44" s="11" t="inlineStr">
        <is>
          <t>July 2026</t>
        </is>
      </c>
      <c r="H44" s="11" t="inlineStr">
        <is>
          <t>Monthly</t>
        </is>
      </c>
      <c r="I44" s="11" t="inlineStr">
        <is>
          <t>1257L</t>
        </is>
      </c>
      <c r="J44" s="11" t="inlineStr">
        <is>
          <t>A</t>
        </is>
      </c>
      <c r="K44" s="15" t="n">
        <v>3411.61</v>
      </c>
      <c r="L44" s="15" t="n">
        <v>3343.38</v>
      </c>
      <c r="M44" s="15" t="n">
        <v>3241.03</v>
      </c>
      <c r="N44" s="15" t="n">
        <v>247.6166666666667</v>
      </c>
      <c r="O44" s="15" t="n">
        <v>2201.04</v>
      </c>
      <c r="P44" s="15" t="n">
        <v>470.8</v>
      </c>
      <c r="Q44" s="15" t="n">
        <v>170.58</v>
      </c>
      <c r="R44" s="15" t="n">
        <v>17.06</v>
      </c>
      <c r="S44" s="15" t="n">
        <v>2971.4</v>
      </c>
      <c r="T44" s="15" t="n">
        <v>0</v>
      </c>
      <c r="U44" s="15" t="n">
        <v>0</v>
      </c>
      <c r="V44" s="15" t="n">
        <v>0</v>
      </c>
      <c r="W44" s="15" t="n">
        <v>0</v>
      </c>
      <c r="X44" s="15" t="n">
        <v>0</v>
      </c>
      <c r="Y44" s="15" t="n">
        <v>0</v>
      </c>
      <c r="Z44" s="15" t="n">
        <v>0</v>
      </c>
      <c r="AA44" s="15" t="n">
        <v>0</v>
      </c>
      <c r="AB44" s="15" t="n">
        <v>0</v>
      </c>
      <c r="AC44" s="15" t="n">
        <v>0</v>
      </c>
      <c r="AD44" s="15" t="n">
        <v>0</v>
      </c>
      <c r="AE44" s="11" t="inlineStr">
        <is>
          <t>P25860</t>
        </is>
      </c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  <c r="AO44" s="2" t="n"/>
      <c r="AP44" s="2" t="n"/>
      <c r="AQ44" s="2" t="n"/>
      <c r="AR44" s="2" t="n"/>
      <c r="AS44" s="2" t="n"/>
    </row>
    <row r="45">
      <c r="A45" s="11" t="n">
        <v>31</v>
      </c>
      <c r="B45" s="11" t="inlineStr">
        <is>
          <t>Surname603</t>
        </is>
      </c>
      <c r="C45" s="11" t="inlineStr">
        <is>
          <t>Forename603</t>
        </is>
      </c>
      <c r="D45" s="11" t="inlineStr">
        <is>
          <t>Kings Road Dental Practice</t>
        </is>
      </c>
      <c r="E45" s="11" t="inlineStr">
        <is>
          <t>Clinical</t>
        </is>
      </c>
      <c r="F45" s="11" t="inlineStr">
        <is>
          <t>CC-KIN</t>
        </is>
      </c>
      <c r="G45" s="11" t="inlineStr">
        <is>
          <t>July 2026</t>
        </is>
      </c>
      <c r="H45" s="11" t="inlineStr">
        <is>
          <t>Monthly</t>
        </is>
      </c>
      <c r="I45" s="11" t="inlineStr">
        <is>
          <t>1257L</t>
        </is>
      </c>
      <c r="J45" s="11" t="inlineStr">
        <is>
          <t>A</t>
        </is>
      </c>
      <c r="K45" s="15" t="n">
        <v>2632.89</v>
      </c>
      <c r="L45" s="15" t="n">
        <v>2389.1</v>
      </c>
      <c r="M45" s="15" t="n">
        <v>2315.97</v>
      </c>
      <c r="N45" s="15" t="n">
        <v>176.0675</v>
      </c>
      <c r="O45" s="15" t="n">
        <v>1771.51</v>
      </c>
      <c r="P45" s="15" t="n">
        <v>336.42</v>
      </c>
      <c r="Q45" s="15" t="n">
        <v>121.89</v>
      </c>
      <c r="R45" s="15" t="n">
        <v>12.19</v>
      </c>
      <c r="S45" s="15" t="n">
        <v>438.82</v>
      </c>
      <c r="T45" s="15" t="n">
        <v>0</v>
      </c>
      <c r="U45" s="15" t="n">
        <v>0</v>
      </c>
      <c r="V45" s="15" t="n">
        <v>0</v>
      </c>
      <c r="W45" s="15" t="n">
        <v>0</v>
      </c>
      <c r="X45" s="15" t="n">
        <v>0</v>
      </c>
      <c r="Y45" s="15" t="n">
        <v>0</v>
      </c>
      <c r="Z45" s="15" t="n">
        <v>0</v>
      </c>
      <c r="AA45" s="15" t="n">
        <v>0</v>
      </c>
      <c r="AB45" s="15" t="n">
        <v>0</v>
      </c>
      <c r="AC45" s="15" t="n">
        <v>0</v>
      </c>
      <c r="AD45" s="15" t="n">
        <v>0</v>
      </c>
      <c r="AE45" s="11" t="inlineStr">
        <is>
          <t>P82603</t>
        </is>
      </c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  <c r="AO45" s="2" t="n"/>
      <c r="AP45" s="2" t="n"/>
      <c r="AQ45" s="2" t="n"/>
      <c r="AR45" s="2" t="n"/>
      <c r="AS45" s="2" t="n"/>
    </row>
    <row r="46">
      <c r="A46" s="11" t="n">
        <v>32</v>
      </c>
      <c r="B46" s="11" t="inlineStr">
        <is>
          <t>Surname719</t>
        </is>
      </c>
      <c r="C46" s="11" t="inlineStr">
        <is>
          <t>Forename719</t>
        </is>
      </c>
      <c r="D46" s="11" t="inlineStr">
        <is>
          <t>Kings Road Dental Practice</t>
        </is>
      </c>
      <c r="E46" s="11" t="inlineStr">
        <is>
          <t>Support</t>
        </is>
      </c>
      <c r="F46" s="11" t="inlineStr">
        <is>
          <t>CC-KIN</t>
        </is>
      </c>
      <c r="G46" s="11" t="inlineStr">
        <is>
          <t>July 2026</t>
        </is>
      </c>
      <c r="H46" s="11" t="inlineStr">
        <is>
          <t>Monthly</t>
        </is>
      </c>
      <c r="I46" s="11" t="inlineStr">
        <is>
          <t>1257L</t>
        </is>
      </c>
      <c r="J46" s="11" t="inlineStr">
        <is>
          <t>A</t>
        </is>
      </c>
      <c r="K46" s="15" t="n">
        <v>2696.31</v>
      </c>
      <c r="L46" s="15" t="n">
        <v>2477.23</v>
      </c>
      <c r="M46" s="15" t="n">
        <v>2401.4</v>
      </c>
      <c r="N46" s="15" t="n">
        <v>182.5625</v>
      </c>
      <c r="O46" s="15" t="n">
        <v>1811.58</v>
      </c>
      <c r="P46" s="15" t="n">
        <v>348.84</v>
      </c>
      <c r="Q46" s="15" t="n">
        <v>126.39</v>
      </c>
      <c r="R46" s="15" t="n">
        <v>12.64</v>
      </c>
      <c r="S46" s="15" t="n">
        <v>2190.75</v>
      </c>
      <c r="T46" s="15" t="n">
        <v>0</v>
      </c>
      <c r="U46" s="15" t="n">
        <v>421.3</v>
      </c>
      <c r="V46" s="15" t="n">
        <v>0</v>
      </c>
      <c r="W46" s="15" t="n">
        <v>0</v>
      </c>
      <c r="X46" s="15" t="n">
        <v>0</v>
      </c>
      <c r="Y46" s="15" t="n">
        <v>0</v>
      </c>
      <c r="Z46" s="15" t="n">
        <v>0</v>
      </c>
      <c r="AA46" s="15" t="n">
        <v>0</v>
      </c>
      <c r="AB46" s="15" t="n">
        <v>0</v>
      </c>
      <c r="AC46" s="15" t="n">
        <v>0</v>
      </c>
      <c r="AD46" s="15" t="n">
        <v>0</v>
      </c>
      <c r="AE46" s="11" t="inlineStr">
        <is>
          <t>P92719</t>
        </is>
      </c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  <c r="AO46" s="2" t="n"/>
      <c r="AP46" s="2" t="n"/>
      <c r="AQ46" s="2" t="n"/>
      <c r="AR46" s="2" t="n"/>
      <c r="AS46" s="2" t="n"/>
    </row>
    <row r="47">
      <c r="A47" s="11" t="n">
        <v>33</v>
      </c>
      <c r="B47" s="11" t="inlineStr">
        <is>
          <t>Surname287</t>
        </is>
      </c>
      <c r="C47" s="11" t="inlineStr">
        <is>
          <t>Forename287</t>
        </is>
      </c>
      <c r="D47" s="11" t="inlineStr">
        <is>
          <t>Riverside Dental Practice</t>
        </is>
      </c>
      <c r="E47" s="11" t="inlineStr">
        <is>
          <t>Clinical</t>
        </is>
      </c>
      <c r="F47" s="11" t="inlineStr">
        <is>
          <t>CC-RIV</t>
        </is>
      </c>
      <c r="G47" s="11" t="inlineStr">
        <is>
          <t>July 2026</t>
        </is>
      </c>
      <c r="H47" s="11" t="inlineStr">
        <is>
          <t>Monthly</t>
        </is>
      </c>
      <c r="I47" s="11" t="inlineStr">
        <is>
          <t>1257L</t>
        </is>
      </c>
      <c r="J47" s="11" t="inlineStr">
        <is>
          <t>A</t>
        </is>
      </c>
      <c r="K47" s="15" t="n">
        <v>4342.09</v>
      </c>
      <c r="L47" s="15" t="n">
        <v>3868.39</v>
      </c>
      <c r="M47" s="15" t="n">
        <v>3749.97</v>
      </c>
      <c r="N47" s="15" t="n">
        <v>285.0858333333334</v>
      </c>
      <c r="O47" s="15" t="n">
        <v>2927.62</v>
      </c>
      <c r="P47" s="15" t="n">
        <v>544.73</v>
      </c>
      <c r="Q47" s="15" t="n">
        <v>197.37</v>
      </c>
      <c r="R47" s="15" t="n">
        <v>19.74</v>
      </c>
      <c r="S47" s="15" t="n">
        <v>3421.03</v>
      </c>
      <c r="T47" s="15" t="n">
        <v>789.47</v>
      </c>
      <c r="U47" s="15" t="n">
        <v>0</v>
      </c>
      <c r="V47" s="15" t="n">
        <v>0</v>
      </c>
      <c r="W47" s="15" t="n">
        <v>0</v>
      </c>
      <c r="X47" s="15" t="n">
        <v>0</v>
      </c>
      <c r="Y47" s="15" t="n">
        <v>0</v>
      </c>
      <c r="Z47" s="15" t="n">
        <v>0</v>
      </c>
      <c r="AA47" s="15" t="n">
        <v>0</v>
      </c>
      <c r="AB47" s="15" t="n">
        <v>0</v>
      </c>
      <c r="AC47" s="15" t="n">
        <v>0</v>
      </c>
      <c r="AD47" s="15" t="n">
        <v>0</v>
      </c>
      <c r="AE47" s="11" t="inlineStr">
        <is>
          <t>P19287</t>
        </is>
      </c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  <c r="AO47" s="2" t="n"/>
      <c r="AP47" s="2" t="n"/>
      <c r="AQ47" s="2" t="n"/>
      <c r="AR47" s="2" t="n"/>
      <c r="AS47" s="2" t="n"/>
    </row>
    <row r="48">
      <c r="A48" s="11" t="n">
        <v>34</v>
      </c>
      <c r="B48" s="11" t="inlineStr">
        <is>
          <t>Surname624</t>
        </is>
      </c>
      <c r="C48" s="11" t="inlineStr">
        <is>
          <t>Forename624</t>
        </is>
      </c>
      <c r="D48" s="11" t="inlineStr">
        <is>
          <t>Hakim Group Head Office</t>
        </is>
      </c>
      <c r="E48" s="11" t="inlineStr">
        <is>
          <t>Support</t>
        </is>
      </c>
      <c r="F48" s="11" t="inlineStr">
        <is>
          <t>CC-HAK</t>
        </is>
      </c>
      <c r="G48" s="11" t="inlineStr">
        <is>
          <t>July 2026</t>
        </is>
      </c>
      <c r="H48" s="11" t="inlineStr">
        <is>
          <t>Monthly</t>
        </is>
      </c>
      <c r="I48" s="11" t="inlineStr">
        <is>
          <t>1257L</t>
        </is>
      </c>
      <c r="J48" s="11" t="inlineStr">
        <is>
          <t>A</t>
        </is>
      </c>
      <c r="K48" s="15" t="n">
        <v>2562.78</v>
      </c>
      <c r="L48" s="15" t="n">
        <v>2843.23</v>
      </c>
      <c r="M48" s="15" t="n">
        <v>2756.2</v>
      </c>
      <c r="N48" s="15" t="n">
        <v>209.535</v>
      </c>
      <c r="O48" s="15" t="n">
        <v>1680.31</v>
      </c>
      <c r="P48" s="15" t="n">
        <v>400.37</v>
      </c>
      <c r="Q48" s="15" t="n">
        <v>145.06</v>
      </c>
      <c r="R48" s="15" t="n">
        <v>14.51</v>
      </c>
      <c r="S48" s="15" t="n">
        <v>628.61</v>
      </c>
      <c r="T48" s="15" t="n">
        <v>0</v>
      </c>
      <c r="U48" s="15" t="n">
        <v>0</v>
      </c>
      <c r="V48" s="15" t="n">
        <v>0</v>
      </c>
      <c r="W48" s="15" t="n">
        <v>0</v>
      </c>
      <c r="X48" s="15" t="n">
        <v>0</v>
      </c>
      <c r="Y48" s="15" t="n">
        <v>0</v>
      </c>
      <c r="Z48" s="15" t="n">
        <v>0</v>
      </c>
      <c r="AA48" s="15" t="n">
        <v>0</v>
      </c>
      <c r="AB48" s="15" t="n">
        <v>0</v>
      </c>
      <c r="AC48" s="15" t="n">
        <v>0</v>
      </c>
      <c r="AD48" s="15" t="n">
        <v>0</v>
      </c>
      <c r="AE48" s="11" t="inlineStr">
        <is>
          <t>P73624</t>
        </is>
      </c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  <c r="AO48" s="2" t="n"/>
      <c r="AP48" s="2" t="n"/>
      <c r="AQ48" s="2" t="n"/>
      <c r="AR48" s="2" t="n"/>
      <c r="AS48" s="2" t="n"/>
    </row>
    <row r="49">
      <c r="A49" s="11" t="n">
        <v>35</v>
      </c>
      <c r="B49" s="11" t="inlineStr">
        <is>
          <t>Surname847</t>
        </is>
      </c>
      <c r="C49" s="11" t="inlineStr">
        <is>
          <t>Forename847</t>
        </is>
      </c>
      <c r="D49" s="11" t="inlineStr">
        <is>
          <t>Kings Road Dental Practice</t>
        </is>
      </c>
      <c r="E49" s="11" t="inlineStr">
        <is>
          <t>Support</t>
        </is>
      </c>
      <c r="F49" s="11" t="inlineStr">
        <is>
          <t>CC-KIN</t>
        </is>
      </c>
      <c r="G49" s="11" t="inlineStr">
        <is>
          <t>July 2026</t>
        </is>
      </c>
      <c r="H49" s="11" t="inlineStr">
        <is>
          <t>Monthly</t>
        </is>
      </c>
      <c r="I49" s="11" t="inlineStr">
        <is>
          <t>1257L</t>
        </is>
      </c>
      <c r="J49" s="11" t="inlineStr">
        <is>
          <t>A</t>
        </is>
      </c>
      <c r="K49" s="15" t="n">
        <v>7078.81</v>
      </c>
      <c r="L49" s="15" t="n">
        <v>4002.25</v>
      </c>
      <c r="M49" s="15" t="n">
        <v>3879.73</v>
      </c>
      <c r="N49" s="15" t="n">
        <v>294.95</v>
      </c>
      <c r="O49" s="15" t="n">
        <v>4968.78</v>
      </c>
      <c r="P49" s="15" t="n">
        <v>563.58</v>
      </c>
      <c r="Q49" s="15" t="n">
        <v>204.2</v>
      </c>
      <c r="R49" s="15" t="n">
        <v>20.42</v>
      </c>
      <c r="S49" s="15" t="n">
        <v>3539.4</v>
      </c>
      <c r="T49" s="15" t="n">
        <v>0</v>
      </c>
      <c r="U49" s="15" t="n">
        <v>0</v>
      </c>
      <c r="V49" s="15" t="n">
        <v>3403.27</v>
      </c>
      <c r="W49" s="15" t="n">
        <v>0</v>
      </c>
      <c r="X49" s="15" t="n">
        <v>0</v>
      </c>
      <c r="Y49" s="15" t="n">
        <v>0</v>
      </c>
      <c r="Z49" s="15" t="n">
        <v>0</v>
      </c>
      <c r="AA49" s="15" t="n">
        <v>0</v>
      </c>
      <c r="AB49" s="15" t="n">
        <v>0</v>
      </c>
      <c r="AC49" s="15" t="n">
        <v>0</v>
      </c>
      <c r="AD49" s="15" t="n">
        <v>0</v>
      </c>
      <c r="AE49" s="11" t="inlineStr">
        <is>
          <t>P84847</t>
        </is>
      </c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  <c r="AO49" s="2" t="n"/>
      <c r="AP49" s="2" t="n"/>
      <c r="AQ49" s="2" t="n"/>
      <c r="AR49" s="2" t="n"/>
      <c r="AS49" s="2" t="n"/>
    </row>
    <row r="50">
      <c r="A50" s="11" t="n">
        <v>36</v>
      </c>
      <c r="B50" s="11" t="inlineStr">
        <is>
          <t>Surname993</t>
        </is>
      </c>
      <c r="C50" s="11" t="inlineStr">
        <is>
          <t>Forename993</t>
        </is>
      </c>
      <c r="D50" s="11" t="inlineStr">
        <is>
          <t>Hakim Group Head Office</t>
        </is>
      </c>
      <c r="E50" s="11" t="inlineStr">
        <is>
          <t>Support</t>
        </is>
      </c>
      <c r="F50" s="11" t="inlineStr">
        <is>
          <t>CC-HAK</t>
        </is>
      </c>
      <c r="G50" s="11" t="inlineStr">
        <is>
          <t>July 2026</t>
        </is>
      </c>
      <c r="H50" s="11" t="inlineStr">
        <is>
          <t>Monthly</t>
        </is>
      </c>
      <c r="I50" s="11" t="inlineStr">
        <is>
          <t>1257L</t>
        </is>
      </c>
      <c r="J50" s="11" t="inlineStr">
        <is>
          <t>A</t>
        </is>
      </c>
      <c r="K50" s="15" t="n">
        <v>2837.4</v>
      </c>
      <c r="L50" s="15" t="n">
        <v>2780.65</v>
      </c>
      <c r="M50" s="15" t="n">
        <v>2695.53</v>
      </c>
      <c r="N50" s="15" t="n">
        <v>204.9233333333333</v>
      </c>
      <c r="O50" s="15" t="n">
        <v>1891.6</v>
      </c>
      <c r="P50" s="15" t="n">
        <v>391.56</v>
      </c>
      <c r="Q50" s="15" t="n">
        <v>141.87</v>
      </c>
      <c r="R50" s="15" t="n">
        <v>14.19</v>
      </c>
      <c r="S50" s="15" t="n">
        <v>2459.08</v>
      </c>
      <c r="T50" s="15" t="n">
        <v>0</v>
      </c>
      <c r="U50" s="15" t="n">
        <v>0</v>
      </c>
      <c r="V50" s="15" t="n">
        <v>0</v>
      </c>
      <c r="W50" s="15" t="n">
        <v>0</v>
      </c>
      <c r="X50" s="15" t="n">
        <v>0</v>
      </c>
      <c r="Y50" s="15" t="n">
        <v>283.74</v>
      </c>
      <c r="Z50" s="15" t="n">
        <v>0</v>
      </c>
      <c r="AA50" s="15" t="n">
        <v>0</v>
      </c>
      <c r="AB50" s="15" t="n">
        <v>0</v>
      </c>
      <c r="AC50" s="15" t="n">
        <v>0</v>
      </c>
      <c r="AD50" s="15" t="n">
        <v>0</v>
      </c>
      <c r="AE50" s="11" t="inlineStr">
        <is>
          <t>P71993</t>
        </is>
      </c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  <c r="AO50" s="2" t="n"/>
      <c r="AP50" s="2" t="n"/>
      <c r="AQ50" s="2" t="n"/>
      <c r="AR50" s="2" t="n"/>
      <c r="AS50" s="2" t="n"/>
    </row>
    <row r="51">
      <c r="A51" s="11" t="n">
        <v>37</v>
      </c>
      <c r="B51" s="11" t="inlineStr">
        <is>
          <t>Surname438</t>
        </is>
      </c>
      <c r="C51" s="11" t="inlineStr">
        <is>
          <t>Forename438</t>
        </is>
      </c>
      <c r="D51" s="11" t="inlineStr">
        <is>
          <t>Oakfield Dental Practice</t>
        </is>
      </c>
      <c r="E51" s="11" t="inlineStr">
        <is>
          <t>Clinical</t>
        </is>
      </c>
      <c r="F51" s="11" t="inlineStr">
        <is>
          <t>CC-OAK</t>
        </is>
      </c>
      <c r="G51" s="11" t="inlineStr">
        <is>
          <t>July 2026</t>
        </is>
      </c>
      <c r="H51" s="11" t="inlineStr">
        <is>
          <t>Monthly</t>
        </is>
      </c>
      <c r="I51" s="11" t="inlineStr">
        <is>
          <t>1257L</t>
        </is>
      </c>
      <c r="J51" s="11" t="inlineStr">
        <is>
          <t>A</t>
        </is>
      </c>
      <c r="K51" s="15" t="n">
        <v>4422.94</v>
      </c>
      <c r="L51" s="15" t="n">
        <v>3514.45</v>
      </c>
      <c r="M51" s="15" t="n">
        <v>3406.86</v>
      </c>
      <c r="N51" s="15" t="n">
        <v>259.0008333333333</v>
      </c>
      <c r="O51" s="15" t="n">
        <v>3018.36</v>
      </c>
      <c r="P51" s="15" t="n">
        <v>494.89</v>
      </c>
      <c r="Q51" s="15" t="n">
        <v>179.31</v>
      </c>
      <c r="R51" s="15" t="n">
        <v>17.93</v>
      </c>
      <c r="S51" s="15" t="n">
        <v>3108.01</v>
      </c>
      <c r="T51" s="15" t="n">
        <v>0</v>
      </c>
      <c r="U51" s="15" t="n">
        <v>0</v>
      </c>
      <c r="V51" s="15" t="n">
        <v>0</v>
      </c>
      <c r="W51" s="15" t="n">
        <v>0</v>
      </c>
      <c r="X51" s="15" t="n">
        <v>0</v>
      </c>
      <c r="Y51" s="15" t="n">
        <v>0</v>
      </c>
      <c r="Z51" s="15" t="n">
        <v>0</v>
      </c>
      <c r="AA51" s="15" t="n">
        <v>0</v>
      </c>
      <c r="AB51" s="15" t="n">
        <v>0</v>
      </c>
      <c r="AC51" s="15" t="n">
        <v>0</v>
      </c>
      <c r="AD51" s="15" t="n">
        <v>1195.39</v>
      </c>
      <c r="AE51" s="11" t="inlineStr">
        <is>
          <t>P56438</t>
        </is>
      </c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  <c r="AO51" s="2" t="n"/>
      <c r="AP51" s="2" t="n"/>
      <c r="AQ51" s="2" t="n"/>
      <c r="AR51" s="2" t="n"/>
      <c r="AS51" s="2" t="n"/>
    </row>
    <row r="52">
      <c r="A52" s="11" t="n">
        <v>38</v>
      </c>
      <c r="B52" s="11" t="inlineStr">
        <is>
          <t>Surname696</t>
        </is>
      </c>
      <c r="C52" s="11" t="inlineStr">
        <is>
          <t>Forename696</t>
        </is>
      </c>
      <c r="D52" s="11" t="inlineStr">
        <is>
          <t>Oakfield Dental Practice</t>
        </is>
      </c>
      <c r="E52" s="11" t="inlineStr">
        <is>
          <t>Clinical</t>
        </is>
      </c>
      <c r="F52" s="11" t="inlineStr">
        <is>
          <t>CC-OAK</t>
        </is>
      </c>
      <c r="G52" s="11" t="inlineStr">
        <is>
          <t>July 2026</t>
        </is>
      </c>
      <c r="H52" s="11" t="inlineStr">
        <is>
          <t>Monthly</t>
        </is>
      </c>
      <c r="I52" s="11" t="inlineStr">
        <is>
          <t>1257L</t>
        </is>
      </c>
      <c r="J52" s="11" t="inlineStr">
        <is>
          <t>A</t>
        </is>
      </c>
      <c r="K52" s="15" t="n">
        <v>5056.88</v>
      </c>
      <c r="L52" s="15" t="n">
        <v>3539.82</v>
      </c>
      <c r="M52" s="15" t="n">
        <v>3431.46</v>
      </c>
      <c r="N52" s="15" t="n">
        <v>260.8708333333333</v>
      </c>
      <c r="O52" s="15" t="n">
        <v>3491.66</v>
      </c>
      <c r="P52" s="15" t="n">
        <v>498.46</v>
      </c>
      <c r="Q52" s="15" t="n">
        <v>180.6</v>
      </c>
      <c r="R52" s="15" t="n">
        <v>18.06</v>
      </c>
      <c r="S52" s="15" t="n">
        <v>3130.45</v>
      </c>
      <c r="T52" s="15" t="n">
        <v>0</v>
      </c>
      <c r="U52" s="15" t="n">
        <v>0</v>
      </c>
      <c r="V52" s="15" t="n">
        <v>0</v>
      </c>
      <c r="W52" s="15" t="n">
        <v>0</v>
      </c>
      <c r="X52" s="15" t="n">
        <v>0</v>
      </c>
      <c r="Y52" s="15" t="n">
        <v>0</v>
      </c>
      <c r="Z52" s="15" t="n">
        <v>0</v>
      </c>
      <c r="AA52" s="15" t="n">
        <v>0</v>
      </c>
      <c r="AB52" s="15" t="n">
        <v>0</v>
      </c>
      <c r="AC52" s="15" t="n">
        <v>1806.03</v>
      </c>
      <c r="AD52" s="15" t="n">
        <v>0</v>
      </c>
      <c r="AE52" s="11" t="inlineStr">
        <is>
          <t>P94696</t>
        </is>
      </c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  <c r="AO52" s="2" t="n"/>
      <c r="AP52" s="2" t="n"/>
      <c r="AQ52" s="2" t="n"/>
      <c r="AR52" s="2" t="n"/>
      <c r="AS52" s="2" t="n"/>
    </row>
    <row r="53">
      <c r="A53" s="11" t="n">
        <v>39</v>
      </c>
      <c r="B53" s="11" t="inlineStr">
        <is>
          <t>Surname322</t>
        </is>
      </c>
      <c r="C53" s="11" t="inlineStr">
        <is>
          <t>Forename322</t>
        </is>
      </c>
      <c r="D53" s="11" t="inlineStr">
        <is>
          <t>Riverside Dental Practice</t>
        </is>
      </c>
      <c r="E53" s="11" t="inlineStr">
        <is>
          <t>Clinical</t>
        </is>
      </c>
      <c r="F53" s="11" t="inlineStr">
        <is>
          <t>CC-RIV</t>
        </is>
      </c>
      <c r="G53" s="11" t="inlineStr">
        <is>
          <t>July 2026</t>
        </is>
      </c>
      <c r="H53" s="11" t="inlineStr">
        <is>
          <t>Monthly</t>
        </is>
      </c>
      <c r="I53" s="11" t="inlineStr">
        <is>
          <t>1257L</t>
        </is>
      </c>
      <c r="J53" s="11" t="inlineStr">
        <is>
          <t>A</t>
        </is>
      </c>
      <c r="K53" s="15" t="n">
        <v>4097.13</v>
      </c>
      <c r="L53" s="15" t="n">
        <v>3764.25</v>
      </c>
      <c r="M53" s="15" t="n">
        <v>3649.02</v>
      </c>
      <c r="N53" s="15" t="n">
        <v>277.41</v>
      </c>
      <c r="O53" s="15" t="n">
        <v>2752.76</v>
      </c>
      <c r="P53" s="15" t="n">
        <v>530.0700000000001</v>
      </c>
      <c r="Q53" s="15" t="n">
        <v>192.05</v>
      </c>
      <c r="R53" s="15" t="n">
        <v>19.21</v>
      </c>
      <c r="S53" s="15" t="n">
        <v>3328.92</v>
      </c>
      <c r="T53" s="15" t="n">
        <v>0</v>
      </c>
      <c r="U53" s="15" t="n">
        <v>640.1799999999999</v>
      </c>
      <c r="V53" s="15" t="n">
        <v>0</v>
      </c>
      <c r="W53" s="15" t="n">
        <v>0</v>
      </c>
      <c r="X53" s="15" t="n">
        <v>0</v>
      </c>
      <c r="Y53" s="15" t="n">
        <v>0</v>
      </c>
      <c r="Z53" s="15" t="n">
        <v>0</v>
      </c>
      <c r="AA53" s="15" t="n">
        <v>0</v>
      </c>
      <c r="AB53" s="15" t="n">
        <v>0</v>
      </c>
      <c r="AC53" s="15" t="n">
        <v>0</v>
      </c>
      <c r="AD53" s="15" t="n">
        <v>0</v>
      </c>
      <c r="AE53" s="11" t="inlineStr">
        <is>
          <t>P24322</t>
        </is>
      </c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  <c r="AO53" s="2" t="n"/>
      <c r="AP53" s="2" t="n"/>
      <c r="AQ53" s="2" t="n"/>
      <c r="AR53" s="2" t="n"/>
      <c r="AS53" s="2" t="n"/>
    </row>
    <row r="54">
      <c r="A54" s="11" t="n">
        <v>40</v>
      </c>
      <c r="B54" s="11" t="inlineStr">
        <is>
          <t>Surname050</t>
        </is>
      </c>
      <c r="C54" s="11" t="inlineStr">
        <is>
          <t>Forename050</t>
        </is>
      </c>
      <c r="D54" s="11" t="inlineStr">
        <is>
          <t>Kings Road Dental Practice</t>
        </is>
      </c>
      <c r="E54" s="11" t="inlineStr">
        <is>
          <t>Clinical</t>
        </is>
      </c>
      <c r="F54" s="11" t="inlineStr">
        <is>
          <t>CC-KIN</t>
        </is>
      </c>
      <c r="G54" s="11" t="inlineStr">
        <is>
          <t>July 2026</t>
        </is>
      </c>
      <c r="H54" s="11" t="inlineStr">
        <is>
          <t>Monthly</t>
        </is>
      </c>
      <c r="I54" s="11" t="inlineStr">
        <is>
          <t>1257L</t>
        </is>
      </c>
      <c r="J54" s="11" t="inlineStr">
        <is>
          <t>A</t>
        </is>
      </c>
      <c r="K54" s="15" t="n">
        <v>2970.61</v>
      </c>
      <c r="L54" s="15" t="n">
        <v>2599.28</v>
      </c>
      <c r="M54" s="15" t="n">
        <v>2519.71</v>
      </c>
      <c r="N54" s="15" t="n">
        <v>191.5566666666666</v>
      </c>
      <c r="O54" s="15" t="n">
        <v>2006.93</v>
      </c>
      <c r="P54" s="15" t="n">
        <v>366.02</v>
      </c>
      <c r="Q54" s="15" t="n">
        <v>132.62</v>
      </c>
      <c r="R54" s="15" t="n">
        <v>13.26</v>
      </c>
      <c r="S54" s="15" t="n">
        <v>583.51</v>
      </c>
      <c r="T54" s="15" t="n">
        <v>0</v>
      </c>
      <c r="U54" s="15" t="n">
        <v>0</v>
      </c>
      <c r="V54" s="15" t="n">
        <v>0</v>
      </c>
      <c r="W54" s="15" t="n">
        <v>0</v>
      </c>
      <c r="X54" s="15" t="n">
        <v>0</v>
      </c>
      <c r="Y54" s="15" t="n">
        <v>0</v>
      </c>
      <c r="Z54" s="15" t="n">
        <v>0</v>
      </c>
      <c r="AA54" s="15" t="n">
        <v>0</v>
      </c>
      <c r="AB54" s="15" t="n">
        <v>0</v>
      </c>
      <c r="AC54" s="15" t="n">
        <v>0</v>
      </c>
      <c r="AD54" s="15" t="n">
        <v>0</v>
      </c>
      <c r="AE54" s="11" t="inlineStr">
        <is>
          <t>P34050</t>
        </is>
      </c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  <c r="AO54" s="2" t="n"/>
      <c r="AP54" s="2" t="n"/>
      <c r="AQ54" s="2" t="n"/>
      <c r="AR54" s="2" t="n"/>
      <c r="AS54" s="2" t="n"/>
    </row>
    <row r="55">
      <c r="A55" s="11" t="n">
        <v>41</v>
      </c>
      <c r="B55" s="11" t="inlineStr">
        <is>
          <t>Surname630</t>
        </is>
      </c>
      <c r="C55" s="11" t="inlineStr">
        <is>
          <t>Forename630</t>
        </is>
      </c>
      <c r="D55" s="11" t="inlineStr">
        <is>
          <t>Hakim Group Head Office</t>
        </is>
      </c>
      <c r="E55" s="11" t="inlineStr">
        <is>
          <t>Support</t>
        </is>
      </c>
      <c r="F55" s="11" t="inlineStr">
        <is>
          <t>CC-HAK</t>
        </is>
      </c>
      <c r="G55" s="11" t="inlineStr">
        <is>
          <t>July 2026</t>
        </is>
      </c>
      <c r="H55" s="11" t="inlineStr">
        <is>
          <t>Monthly</t>
        </is>
      </c>
      <c r="I55" s="11" t="inlineStr">
        <is>
          <t>1257L</t>
        </is>
      </c>
      <c r="J55" s="11" t="inlineStr">
        <is>
          <t>A</t>
        </is>
      </c>
      <c r="K55" s="15" t="n">
        <v>2709.6</v>
      </c>
      <c r="L55" s="15" t="n">
        <v>2655.41</v>
      </c>
      <c r="M55" s="15" t="n">
        <v>2574.12</v>
      </c>
      <c r="N55" s="15" t="n">
        <v>195.6933333333334</v>
      </c>
      <c r="O55" s="15" t="n">
        <v>1806.4</v>
      </c>
      <c r="P55" s="15" t="n">
        <v>373.92</v>
      </c>
      <c r="Q55" s="15" t="n">
        <v>135.48</v>
      </c>
      <c r="R55" s="15" t="n">
        <v>13.55</v>
      </c>
      <c r="S55" s="15" t="n">
        <v>2348.32</v>
      </c>
      <c r="T55" s="15" t="n">
        <v>0</v>
      </c>
      <c r="U55" s="15" t="n">
        <v>0</v>
      </c>
      <c r="V55" s="15" t="n">
        <v>0</v>
      </c>
      <c r="W55" s="15" t="n">
        <v>0</v>
      </c>
      <c r="X55" s="15" t="n">
        <v>0</v>
      </c>
      <c r="Y55" s="15" t="n">
        <v>0</v>
      </c>
      <c r="Z55" s="15" t="n">
        <v>0</v>
      </c>
      <c r="AA55" s="15" t="n">
        <v>0</v>
      </c>
      <c r="AB55" s="15" t="n">
        <v>0</v>
      </c>
      <c r="AC55" s="15" t="n">
        <v>0</v>
      </c>
      <c r="AD55" s="15" t="n">
        <v>0</v>
      </c>
      <c r="AE55" s="11" t="inlineStr">
        <is>
          <t>P16630</t>
        </is>
      </c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  <c r="AO55" s="2" t="n"/>
      <c r="AP55" s="2" t="n"/>
      <c r="AQ55" s="2" t="n"/>
      <c r="AR55" s="2" t="n"/>
      <c r="AS55" s="2" t="n"/>
    </row>
    <row r="56">
      <c r="A56" s="11" t="n">
        <v>42</v>
      </c>
      <c r="B56" s="11" t="inlineStr">
        <is>
          <t>Surname224</t>
        </is>
      </c>
      <c r="C56" s="11" t="inlineStr">
        <is>
          <t>Forename224</t>
        </is>
      </c>
      <c r="D56" s="11" t="inlineStr">
        <is>
          <t>Hakim Group Head Office</t>
        </is>
      </c>
      <c r="E56" s="11" t="inlineStr">
        <is>
          <t>Support</t>
        </is>
      </c>
      <c r="F56" s="11" t="inlineStr">
        <is>
          <t>CC-HAK</t>
        </is>
      </c>
      <c r="G56" s="11" t="inlineStr">
        <is>
          <t>July 2026</t>
        </is>
      </c>
      <c r="H56" s="11" t="inlineStr">
        <is>
          <t>Monthly</t>
        </is>
      </c>
      <c r="I56" s="11" t="inlineStr">
        <is>
          <t>1257L</t>
        </is>
      </c>
      <c r="J56" s="11" t="inlineStr">
        <is>
          <t>A</t>
        </is>
      </c>
      <c r="K56" s="15" t="n">
        <v>2662.18</v>
      </c>
      <c r="L56" s="15" t="n">
        <v>2608.94</v>
      </c>
      <c r="M56" s="15" t="n">
        <v>2529.07</v>
      </c>
      <c r="N56" s="15" t="n">
        <v>192.2683333333333</v>
      </c>
      <c r="O56" s="15" t="n">
        <v>1774.79</v>
      </c>
      <c r="P56" s="15" t="n">
        <v>367.38</v>
      </c>
      <c r="Q56" s="15" t="n">
        <v>133.11</v>
      </c>
      <c r="R56" s="15" t="n">
        <v>13.31</v>
      </c>
      <c r="S56" s="15" t="n">
        <v>2307.22</v>
      </c>
      <c r="T56" s="15" t="n">
        <v>0</v>
      </c>
      <c r="U56" s="15" t="n">
        <v>0</v>
      </c>
      <c r="V56" s="15" t="n">
        <v>0</v>
      </c>
      <c r="W56" s="15" t="n">
        <v>0</v>
      </c>
      <c r="X56" s="15" t="n">
        <v>0</v>
      </c>
      <c r="Y56" s="15" t="n">
        <v>0</v>
      </c>
      <c r="Z56" s="15" t="n">
        <v>0</v>
      </c>
      <c r="AA56" s="15" t="n">
        <v>0</v>
      </c>
      <c r="AB56" s="15" t="n">
        <v>0</v>
      </c>
      <c r="AC56" s="15" t="n">
        <v>0</v>
      </c>
      <c r="AD56" s="15" t="n">
        <v>0</v>
      </c>
      <c r="AE56" s="11" t="inlineStr">
        <is>
          <t>P22224</t>
        </is>
      </c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  <c r="AO56" s="2" t="n"/>
      <c r="AP56" s="2" t="n"/>
      <c r="AQ56" s="2" t="n"/>
      <c r="AR56" s="2" t="n"/>
      <c r="AS56" s="2" t="n"/>
    </row>
    <row r="57">
      <c r="A57" s="11" t="n">
        <v>43</v>
      </c>
      <c r="B57" s="11" t="inlineStr">
        <is>
          <t>Surname092</t>
        </is>
      </c>
      <c r="C57" s="11" t="inlineStr">
        <is>
          <t>Forename092</t>
        </is>
      </c>
      <c r="D57" s="11" t="inlineStr">
        <is>
          <t>Kings Road Dental Practice</t>
        </is>
      </c>
      <c r="E57" s="11" t="inlineStr">
        <is>
          <t>Clinical</t>
        </is>
      </c>
      <c r="F57" s="11" t="inlineStr">
        <is>
          <t>CC-KIN</t>
        </is>
      </c>
      <c r="G57" s="11" t="inlineStr">
        <is>
          <t>July 2026</t>
        </is>
      </c>
      <c r="H57" s="11" t="inlineStr">
        <is>
          <t>Monthly</t>
        </is>
      </c>
      <c r="I57" s="11" t="inlineStr">
        <is>
          <t>1257L</t>
        </is>
      </c>
      <c r="J57" s="11" t="inlineStr">
        <is>
          <t>A</t>
        </is>
      </c>
      <c r="K57" s="15" t="n">
        <v>3773.39</v>
      </c>
      <c r="L57" s="15" t="n">
        <v>3697.92</v>
      </c>
      <c r="M57" s="15" t="n">
        <v>3584.72</v>
      </c>
      <c r="N57" s="15" t="n">
        <v>272.5225</v>
      </c>
      <c r="O57" s="15" t="n">
        <v>2515.59</v>
      </c>
      <c r="P57" s="15" t="n">
        <v>520.73</v>
      </c>
      <c r="Q57" s="15" t="n">
        <v>188.67</v>
      </c>
      <c r="R57" s="15" t="n">
        <v>18.87</v>
      </c>
      <c r="S57" s="15" t="n">
        <v>3270.27</v>
      </c>
      <c r="T57" s="15" t="n">
        <v>0</v>
      </c>
      <c r="U57" s="15" t="n">
        <v>0</v>
      </c>
      <c r="V57" s="15" t="n">
        <v>0</v>
      </c>
      <c r="W57" s="15" t="n">
        <v>0</v>
      </c>
      <c r="X57" s="15" t="n">
        <v>0</v>
      </c>
      <c r="Y57" s="15" t="n">
        <v>0</v>
      </c>
      <c r="Z57" s="15" t="n">
        <v>0</v>
      </c>
      <c r="AA57" s="15" t="n">
        <v>0</v>
      </c>
      <c r="AB57" s="15" t="n">
        <v>0</v>
      </c>
      <c r="AC57" s="15" t="n">
        <v>0</v>
      </c>
      <c r="AD57" s="15" t="n">
        <v>0</v>
      </c>
      <c r="AE57" s="11" t="inlineStr">
        <is>
          <t>P73092</t>
        </is>
      </c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  <c r="AO57" s="2" t="n"/>
      <c r="AP57" s="2" t="n"/>
      <c r="AQ57" s="2" t="n"/>
      <c r="AR57" s="2" t="n"/>
      <c r="AS57" s="2" t="n"/>
    </row>
    <row r="58">
      <c r="A58" s="11" t="n">
        <v>44</v>
      </c>
      <c r="B58" s="11" t="inlineStr">
        <is>
          <t>Surname579</t>
        </is>
      </c>
      <c r="C58" s="11" t="inlineStr">
        <is>
          <t>Forename579</t>
        </is>
      </c>
      <c r="D58" s="11" t="inlineStr">
        <is>
          <t>Kings Road Dental Practice</t>
        </is>
      </c>
      <c r="E58" s="11" t="inlineStr">
        <is>
          <t>Support</t>
        </is>
      </c>
      <c r="F58" s="11" t="inlineStr">
        <is>
          <t>CC-KIN</t>
        </is>
      </c>
      <c r="G58" s="11" t="inlineStr">
        <is>
          <t>July 2026</t>
        </is>
      </c>
      <c r="H58" s="11" t="inlineStr">
        <is>
          <t>Monthly</t>
        </is>
      </c>
      <c r="I58" s="11" t="inlineStr">
        <is>
          <t>1257L</t>
        </is>
      </c>
      <c r="J58" s="11" t="inlineStr">
        <is>
          <t>A</t>
        </is>
      </c>
      <c r="K58" s="15" t="n">
        <v>1382.35</v>
      </c>
      <c r="L58" s="15" t="n">
        <v>1354.7</v>
      </c>
      <c r="M58" s="15" t="n">
        <v>1313.23</v>
      </c>
      <c r="N58" s="15" t="n">
        <v>99.83583333333333</v>
      </c>
      <c r="O58" s="15" t="n">
        <v>921.5700000000001</v>
      </c>
      <c r="P58" s="15" t="n">
        <v>190.76</v>
      </c>
      <c r="Q58" s="15" t="n">
        <v>69.12</v>
      </c>
      <c r="R58" s="15" t="n">
        <v>6.91</v>
      </c>
      <c r="S58" s="15" t="n">
        <v>1198.03</v>
      </c>
      <c r="T58" s="15" t="n">
        <v>0</v>
      </c>
      <c r="U58" s="15" t="n">
        <v>0</v>
      </c>
      <c r="V58" s="15" t="n">
        <v>0</v>
      </c>
      <c r="W58" s="15" t="n">
        <v>0</v>
      </c>
      <c r="X58" s="15" t="n">
        <v>0</v>
      </c>
      <c r="Y58" s="15" t="n">
        <v>0</v>
      </c>
      <c r="Z58" s="15" t="n">
        <v>0</v>
      </c>
      <c r="AA58" s="15" t="n">
        <v>0</v>
      </c>
      <c r="AB58" s="15" t="n">
        <v>0</v>
      </c>
      <c r="AC58" s="15" t="n">
        <v>0</v>
      </c>
      <c r="AD58" s="15" t="n">
        <v>0</v>
      </c>
      <c r="AE58" s="11" t="inlineStr">
        <is>
          <t>P31579</t>
        </is>
      </c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  <c r="AO58" s="2" t="n"/>
      <c r="AP58" s="2" t="n"/>
      <c r="AQ58" s="2" t="n"/>
      <c r="AR58" s="2" t="n"/>
      <c r="AS58" s="2" t="n"/>
    </row>
    <row r="59">
      <c r="A59" s="11" t="n">
        <v>45</v>
      </c>
      <c r="B59" s="11" t="inlineStr">
        <is>
          <t>Surname356</t>
        </is>
      </c>
      <c r="C59" s="11" t="inlineStr">
        <is>
          <t>Forename356</t>
        </is>
      </c>
      <c r="D59" s="11" t="inlineStr">
        <is>
          <t>Kings Road Dental Practice</t>
        </is>
      </c>
      <c r="E59" s="11" t="inlineStr">
        <is>
          <t>Support</t>
        </is>
      </c>
      <c r="F59" s="11" t="inlineStr">
        <is>
          <t>CC-KIN</t>
        </is>
      </c>
      <c r="G59" s="11" t="inlineStr">
        <is>
          <t>July 2026</t>
        </is>
      </c>
      <c r="H59" s="11" t="inlineStr">
        <is>
          <t>Monthly</t>
        </is>
      </c>
      <c r="I59" s="11" t="inlineStr">
        <is>
          <t>1257L</t>
        </is>
      </c>
      <c r="J59" s="11" t="inlineStr">
        <is>
          <t>A</t>
        </is>
      </c>
      <c r="K59" s="15" t="n">
        <v>221.14</v>
      </c>
      <c r="L59" s="15" t="n">
        <v>216.72</v>
      </c>
      <c r="M59" s="15" t="n">
        <v>210.08</v>
      </c>
      <c r="N59" s="15" t="n">
        <v>17.55083333333333</v>
      </c>
      <c r="O59" s="15" t="n">
        <v>210.61</v>
      </c>
      <c r="P59" s="15" t="n">
        <v>30.52</v>
      </c>
      <c r="Q59" s="15" t="n">
        <v>11.06</v>
      </c>
      <c r="R59" s="15" t="n">
        <v>1.11</v>
      </c>
      <c r="S59" s="15" t="n">
        <v>210.61</v>
      </c>
      <c r="T59" s="15" t="n">
        <v>0</v>
      </c>
      <c r="U59" s="15" t="n">
        <v>0</v>
      </c>
      <c r="V59" s="15" t="n">
        <v>0</v>
      </c>
      <c r="W59" s="15" t="n">
        <v>0</v>
      </c>
      <c r="X59" s="15" t="n">
        <v>0</v>
      </c>
      <c r="Y59" s="15" t="n">
        <v>0</v>
      </c>
      <c r="Z59" s="15" t="n">
        <v>0</v>
      </c>
      <c r="AA59" s="15" t="n">
        <v>0</v>
      </c>
      <c r="AB59" s="15" t="n">
        <v>0</v>
      </c>
      <c r="AC59" s="15" t="n">
        <v>0</v>
      </c>
      <c r="AD59" s="15" t="n">
        <v>0</v>
      </c>
      <c r="AE59" s="11" t="inlineStr">
        <is>
          <t>P34356</t>
        </is>
      </c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  <c r="AO59" s="2" t="n"/>
      <c r="AP59" s="2" t="n"/>
      <c r="AQ59" s="2" t="n"/>
      <c r="AR59" s="2" t="n"/>
      <c r="AS59" s="2" t="n"/>
    </row>
    <row r="60">
      <c r="A60" s="11" t="n">
        <v>46</v>
      </c>
      <c r="B60" s="11" t="inlineStr">
        <is>
          <t>Surname828</t>
        </is>
      </c>
      <c r="C60" s="11" t="inlineStr">
        <is>
          <t>Forename828</t>
        </is>
      </c>
      <c r="D60" s="11" t="inlineStr">
        <is>
          <t>Riverside Dental Practice</t>
        </is>
      </c>
      <c r="E60" s="11" t="inlineStr">
        <is>
          <t>Support</t>
        </is>
      </c>
      <c r="F60" s="11" t="inlineStr">
        <is>
          <t>CC-RIV</t>
        </is>
      </c>
      <c r="G60" s="11" t="inlineStr">
        <is>
          <t>July 2026</t>
        </is>
      </c>
      <c r="H60" s="11" t="inlineStr">
        <is>
          <t>Monthly</t>
        </is>
      </c>
      <c r="I60" s="11" t="inlineStr">
        <is>
          <t>1257L</t>
        </is>
      </c>
      <c r="J60" s="11" t="inlineStr">
        <is>
          <t>A</t>
        </is>
      </c>
      <c r="K60" s="15" t="n">
        <v>708.01</v>
      </c>
      <c r="L60" s="15" t="n">
        <v>693.85</v>
      </c>
      <c r="M60" s="15" t="n">
        <v>672.61</v>
      </c>
      <c r="N60" s="15" t="n">
        <v>56.19166666666666</v>
      </c>
      <c r="O60" s="15" t="n">
        <v>674.3</v>
      </c>
      <c r="P60" s="15" t="n">
        <v>97.70999999999999</v>
      </c>
      <c r="Q60" s="15" t="n">
        <v>35.4</v>
      </c>
      <c r="R60" s="15" t="n">
        <v>3.54</v>
      </c>
      <c r="S60" s="15" t="n">
        <v>674.3</v>
      </c>
      <c r="T60" s="15" t="n">
        <v>0</v>
      </c>
      <c r="U60" s="15" t="n">
        <v>0</v>
      </c>
      <c r="V60" s="15" t="n">
        <v>0</v>
      </c>
      <c r="W60" s="15" t="n">
        <v>0</v>
      </c>
      <c r="X60" s="15" t="n">
        <v>0</v>
      </c>
      <c r="Y60" s="15" t="n">
        <v>0</v>
      </c>
      <c r="Z60" s="15" t="n">
        <v>0</v>
      </c>
      <c r="AA60" s="15" t="n">
        <v>0</v>
      </c>
      <c r="AB60" s="15" t="n">
        <v>0</v>
      </c>
      <c r="AC60" s="15" t="n">
        <v>0</v>
      </c>
      <c r="AD60" s="15" t="n">
        <v>0</v>
      </c>
      <c r="AE60" s="11" t="inlineStr">
        <is>
          <t>P40828</t>
        </is>
      </c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  <c r="AO60" s="2" t="n"/>
      <c r="AP60" s="2" t="n"/>
      <c r="AQ60" s="2" t="n"/>
      <c r="AR60" s="2" t="n"/>
      <c r="AS60" s="2" t="n"/>
    </row>
    <row r="61">
      <c r="A61" s="11" t="n">
        <v>47</v>
      </c>
      <c r="B61" s="11" t="inlineStr">
        <is>
          <t>Surname271</t>
        </is>
      </c>
      <c r="C61" s="11" t="inlineStr">
        <is>
          <t>Forename271</t>
        </is>
      </c>
      <c r="D61" s="11" t="inlineStr">
        <is>
          <t>Oakfield Dental Practice</t>
        </is>
      </c>
      <c r="E61" s="11" t="inlineStr">
        <is>
          <t>Support</t>
        </is>
      </c>
      <c r="F61" s="11" t="inlineStr">
        <is>
          <t>CC-OAK</t>
        </is>
      </c>
      <c r="G61" s="11" t="inlineStr">
        <is>
          <t>July 2026</t>
        </is>
      </c>
      <c r="H61" s="11" t="inlineStr">
        <is>
          <t>Monthly</t>
        </is>
      </c>
      <c r="I61" s="11" t="inlineStr">
        <is>
          <t>1257L</t>
        </is>
      </c>
      <c r="J61" s="11" t="inlineStr">
        <is>
          <t>A</t>
        </is>
      </c>
      <c r="K61" s="15" t="n">
        <v>393.48</v>
      </c>
      <c r="L61" s="15" t="n">
        <v>385.61</v>
      </c>
      <c r="M61" s="15" t="n">
        <v>373.81</v>
      </c>
      <c r="N61" s="15" t="n">
        <v>31.22833333333334</v>
      </c>
      <c r="O61" s="15" t="n">
        <v>374.74</v>
      </c>
      <c r="P61" s="15" t="n">
        <v>54.3</v>
      </c>
      <c r="Q61" s="15" t="n">
        <v>19.67</v>
      </c>
      <c r="R61" s="15" t="n">
        <v>1.97</v>
      </c>
      <c r="S61" s="15" t="n">
        <v>374.74</v>
      </c>
      <c r="T61" s="15" t="n">
        <v>0</v>
      </c>
      <c r="U61" s="15" t="n">
        <v>0</v>
      </c>
      <c r="V61" s="15" t="n">
        <v>0</v>
      </c>
      <c r="W61" s="15" t="n">
        <v>0</v>
      </c>
      <c r="X61" s="15" t="n">
        <v>0</v>
      </c>
      <c r="Y61" s="15" t="n">
        <v>0</v>
      </c>
      <c r="Z61" s="15" t="n">
        <v>0</v>
      </c>
      <c r="AA61" s="15" t="n">
        <v>0</v>
      </c>
      <c r="AB61" s="15" t="n">
        <v>0</v>
      </c>
      <c r="AC61" s="15" t="n">
        <v>0</v>
      </c>
      <c r="AD61" s="15" t="n">
        <v>0</v>
      </c>
      <c r="AE61" s="11" t="inlineStr">
        <is>
          <t>P42271</t>
        </is>
      </c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  <c r="AO61" s="2" t="n"/>
      <c r="AP61" s="2" t="n"/>
      <c r="AQ61" s="2" t="n"/>
      <c r="AR61" s="2" t="n"/>
      <c r="AS61" s="2" t="n"/>
    </row>
    <row r="62">
      <c r="A62" s="11" t="n">
        <v>48</v>
      </c>
      <c r="B62" s="11" t="inlineStr">
        <is>
          <t>Surname503</t>
        </is>
      </c>
      <c r="C62" s="11" t="inlineStr">
        <is>
          <t>Forename503</t>
        </is>
      </c>
      <c r="D62" s="11" t="inlineStr">
        <is>
          <t>Riverside Dental Practice</t>
        </is>
      </c>
      <c r="E62" s="11" t="inlineStr">
        <is>
          <t>Support</t>
        </is>
      </c>
      <c r="F62" s="11" t="inlineStr">
        <is>
          <t>CC-RIV</t>
        </is>
      </c>
      <c r="G62" s="11" t="inlineStr">
        <is>
          <t>July 2026</t>
        </is>
      </c>
      <c r="H62" s="11" t="inlineStr">
        <is>
          <t>Monthly</t>
        </is>
      </c>
      <c r="I62" s="11" t="inlineStr">
        <is>
          <t>1257L</t>
        </is>
      </c>
      <c r="J62" s="11" t="inlineStr">
        <is>
          <t>A</t>
        </is>
      </c>
      <c r="K62" s="15" t="n">
        <v>530.05</v>
      </c>
      <c r="L62" s="15" t="n">
        <v>519.45</v>
      </c>
      <c r="M62" s="15" t="n">
        <v>503.55</v>
      </c>
      <c r="N62" s="15" t="n">
        <v>42.0675</v>
      </c>
      <c r="O62" s="15" t="n">
        <v>504.81</v>
      </c>
      <c r="P62" s="15" t="n">
        <v>73.15000000000001</v>
      </c>
      <c r="Q62" s="15" t="n">
        <v>26.5</v>
      </c>
      <c r="R62" s="15" t="n">
        <v>2.65</v>
      </c>
      <c r="S62" s="15" t="n">
        <v>504.81</v>
      </c>
      <c r="T62" s="15" t="n">
        <v>0</v>
      </c>
      <c r="U62" s="15" t="n">
        <v>0</v>
      </c>
      <c r="V62" s="15" t="n">
        <v>0</v>
      </c>
      <c r="W62" s="15" t="n">
        <v>0</v>
      </c>
      <c r="X62" s="15" t="n">
        <v>0</v>
      </c>
      <c r="Y62" s="15" t="n">
        <v>0</v>
      </c>
      <c r="Z62" s="15" t="n">
        <v>0</v>
      </c>
      <c r="AA62" s="15" t="n">
        <v>0</v>
      </c>
      <c r="AB62" s="15" t="n">
        <v>0</v>
      </c>
      <c r="AC62" s="15" t="n">
        <v>0</v>
      </c>
      <c r="AD62" s="15" t="n">
        <v>0</v>
      </c>
      <c r="AE62" s="11" t="inlineStr">
        <is>
          <t>P86503</t>
        </is>
      </c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  <c r="AO62" s="2" t="n"/>
      <c r="AP62" s="2" t="n"/>
      <c r="AQ62" s="2" t="n"/>
      <c r="AR62" s="2" t="n"/>
      <c r="AS62" s="2" t="n"/>
    </row>
    <row r="63">
      <c r="A63" s="11" t="n">
        <v>49</v>
      </c>
      <c r="B63" s="11" t="inlineStr">
        <is>
          <t>Surname814</t>
        </is>
      </c>
      <c r="C63" s="11" t="inlineStr">
        <is>
          <t>Forename814</t>
        </is>
      </c>
      <c r="D63" s="11" t="inlineStr">
        <is>
          <t>Elm Park Dental Practice</t>
        </is>
      </c>
      <c r="E63" s="11" t="inlineStr">
        <is>
          <t>Support</t>
        </is>
      </c>
      <c r="F63" s="11" t="inlineStr">
        <is>
          <t>CC-ELM</t>
        </is>
      </c>
      <c r="G63" s="11" t="inlineStr">
        <is>
          <t>July 2026</t>
        </is>
      </c>
      <c r="H63" s="11" t="inlineStr">
        <is>
          <t>Monthly</t>
        </is>
      </c>
      <c r="I63" s="11" t="inlineStr">
        <is>
          <t>1257L</t>
        </is>
      </c>
      <c r="J63" s="11" t="inlineStr">
        <is>
          <t>A</t>
        </is>
      </c>
      <c r="K63" s="15" t="n">
        <v>3471.59</v>
      </c>
      <c r="L63" s="15" t="n">
        <v>3402.16</v>
      </c>
      <c r="M63" s="15" t="n">
        <v>3298.01</v>
      </c>
      <c r="N63" s="15" t="n">
        <v>250.7258333333333</v>
      </c>
      <c r="O63" s="15" t="n">
        <v>2314.39</v>
      </c>
      <c r="P63" s="15" t="n">
        <v>479.08</v>
      </c>
      <c r="Q63" s="15" t="n">
        <v>173.58</v>
      </c>
      <c r="R63" s="15" t="n">
        <v>17.36</v>
      </c>
      <c r="S63" s="15" t="n">
        <v>3008.71</v>
      </c>
      <c r="T63" s="15" t="n">
        <v>0</v>
      </c>
      <c r="U63" s="15" t="n">
        <v>0</v>
      </c>
      <c r="V63" s="15" t="n">
        <v>0</v>
      </c>
      <c r="W63" s="15" t="n">
        <v>0</v>
      </c>
      <c r="X63" s="15" t="n">
        <v>0</v>
      </c>
      <c r="Y63" s="15" t="n">
        <v>0</v>
      </c>
      <c r="Z63" s="15" t="n">
        <v>0</v>
      </c>
      <c r="AA63" s="15" t="n">
        <v>0</v>
      </c>
      <c r="AB63" s="15" t="n">
        <v>0</v>
      </c>
      <c r="AC63" s="15" t="n">
        <v>0</v>
      </c>
      <c r="AD63" s="15" t="n">
        <v>0</v>
      </c>
      <c r="AE63" s="11" t="inlineStr">
        <is>
          <t>P44814</t>
        </is>
      </c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  <c r="AO63" s="2" t="n"/>
      <c r="AP63" s="2" t="n"/>
      <c r="AQ63" s="2" t="n"/>
      <c r="AR63" s="2" t="n"/>
      <c r="AS63" s="2" t="n"/>
    </row>
    <row r="64">
      <c r="A64" s="11" t="n">
        <v>50</v>
      </c>
      <c r="B64" s="11" t="inlineStr">
        <is>
          <t>Surname508</t>
        </is>
      </c>
      <c r="C64" s="11" t="inlineStr">
        <is>
          <t>Forename508</t>
        </is>
      </c>
      <c r="D64" s="11" t="inlineStr">
        <is>
          <t>Oakfield Dental Practice</t>
        </is>
      </c>
      <c r="E64" s="11" t="inlineStr">
        <is>
          <t>Clinical</t>
        </is>
      </c>
      <c r="F64" s="11" t="inlineStr">
        <is>
          <t>CC-OAK</t>
        </is>
      </c>
      <c r="G64" s="11" t="inlineStr">
        <is>
          <t>July 2026</t>
        </is>
      </c>
      <c r="H64" s="11" t="inlineStr">
        <is>
          <t>Monthly</t>
        </is>
      </c>
      <c r="I64" s="11" t="inlineStr">
        <is>
          <t>1257L</t>
        </is>
      </c>
      <c r="J64" s="11" t="inlineStr">
        <is>
          <t>A</t>
        </is>
      </c>
      <c r="K64" s="15" t="n">
        <v>3478.59</v>
      </c>
      <c r="L64" s="15" t="n">
        <v>3409.02</v>
      </c>
      <c r="M64" s="15" t="n">
        <v>3304.66</v>
      </c>
      <c r="N64" s="15" t="n">
        <v>251.2316666666667</v>
      </c>
      <c r="O64" s="15" t="n">
        <v>2319.06</v>
      </c>
      <c r="P64" s="15" t="n">
        <v>480.05</v>
      </c>
      <c r="Q64" s="15" t="n">
        <v>173.93</v>
      </c>
      <c r="R64" s="15" t="n">
        <v>17.39</v>
      </c>
      <c r="S64" s="15" t="n">
        <v>3014.78</v>
      </c>
      <c r="T64" s="15" t="n">
        <v>0</v>
      </c>
      <c r="U64" s="15" t="n">
        <v>0</v>
      </c>
      <c r="V64" s="15" t="n">
        <v>0</v>
      </c>
      <c r="W64" s="15" t="n">
        <v>0</v>
      </c>
      <c r="X64" s="15" t="n">
        <v>0</v>
      </c>
      <c r="Y64" s="15" t="n">
        <v>0</v>
      </c>
      <c r="Z64" s="15" t="n">
        <v>0</v>
      </c>
      <c r="AA64" s="15" t="n">
        <v>0</v>
      </c>
      <c r="AB64" s="15" t="n">
        <v>0</v>
      </c>
      <c r="AC64" s="15" t="n">
        <v>0</v>
      </c>
      <c r="AD64" s="15" t="n">
        <v>0</v>
      </c>
      <c r="AE64" s="11" t="inlineStr">
        <is>
          <t>P19508</t>
        </is>
      </c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  <c r="AO64" s="2" t="n"/>
      <c r="AP64" s="2" t="n"/>
      <c r="AQ64" s="2" t="n"/>
      <c r="AR64" s="2" t="n"/>
      <c r="AS64" s="2" t="n"/>
    </row>
    <row r="65">
      <c r="A65" s="11" t="n">
        <v>51</v>
      </c>
      <c r="B65" s="11" t="inlineStr">
        <is>
          <t>Surname468</t>
        </is>
      </c>
      <c r="C65" s="11" t="inlineStr">
        <is>
          <t>Forename468</t>
        </is>
      </c>
      <c r="D65" s="11" t="inlineStr">
        <is>
          <t>Oakfield Dental Practice</t>
        </is>
      </c>
      <c r="E65" s="11" t="inlineStr">
        <is>
          <t>Support</t>
        </is>
      </c>
      <c r="F65" s="11" t="inlineStr">
        <is>
          <t>CC-OAK</t>
        </is>
      </c>
      <c r="G65" s="11" t="inlineStr">
        <is>
          <t>July 2026</t>
        </is>
      </c>
      <c r="H65" s="11" t="inlineStr">
        <is>
          <t>Monthly</t>
        </is>
      </c>
      <c r="I65" s="11" t="inlineStr">
        <is>
          <t>1257L</t>
        </is>
      </c>
      <c r="J65" s="11" t="inlineStr">
        <is>
          <t>A</t>
        </is>
      </c>
      <c r="K65" s="15" t="n">
        <v>3895.32</v>
      </c>
      <c r="L65" s="15" t="n">
        <v>3817.41</v>
      </c>
      <c r="M65" s="15" t="n">
        <v>3700.55</v>
      </c>
      <c r="N65" s="15" t="n">
        <v>281.3283333333333</v>
      </c>
      <c r="O65" s="15" t="n">
        <v>2596.88</v>
      </c>
      <c r="P65" s="15" t="n">
        <v>537.55</v>
      </c>
      <c r="Q65" s="15" t="n">
        <v>194.77</v>
      </c>
      <c r="R65" s="15" t="n">
        <v>19.48</v>
      </c>
      <c r="S65" s="15" t="n">
        <v>3375.94</v>
      </c>
      <c r="T65" s="15" t="n">
        <v>0</v>
      </c>
      <c r="U65" s="15" t="n">
        <v>0</v>
      </c>
      <c r="V65" s="15" t="n">
        <v>0</v>
      </c>
      <c r="W65" s="15" t="n">
        <v>0</v>
      </c>
      <c r="X65" s="15" t="n">
        <v>0</v>
      </c>
      <c r="Y65" s="15" t="n">
        <v>0</v>
      </c>
      <c r="Z65" s="15" t="n">
        <v>0</v>
      </c>
      <c r="AA65" s="15" t="n">
        <v>0</v>
      </c>
      <c r="AB65" s="15" t="n">
        <v>0</v>
      </c>
      <c r="AC65" s="15" t="n">
        <v>0</v>
      </c>
      <c r="AD65" s="15" t="n">
        <v>0</v>
      </c>
      <c r="AE65" s="11" t="inlineStr">
        <is>
          <t>P80468</t>
        </is>
      </c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  <c r="AO65" s="2" t="n"/>
      <c r="AP65" s="2" t="n"/>
      <c r="AQ65" s="2" t="n"/>
      <c r="AR65" s="2" t="n"/>
      <c r="AS65" s="2" t="n"/>
    </row>
    <row r="66">
      <c r="A66" s="11" t="n">
        <v>52</v>
      </c>
      <c r="B66" s="11" t="inlineStr">
        <is>
          <t>Surname016</t>
        </is>
      </c>
      <c r="C66" s="11" t="inlineStr">
        <is>
          <t>Forename016</t>
        </is>
      </c>
      <c r="D66" s="11" t="inlineStr">
        <is>
          <t>Hakim Group Head Office</t>
        </is>
      </c>
      <c r="E66" s="11" t="inlineStr">
        <is>
          <t>Support</t>
        </is>
      </c>
      <c r="F66" s="11" t="inlineStr">
        <is>
          <t>CC-HAK</t>
        </is>
      </c>
      <c r="G66" s="11" t="inlineStr">
        <is>
          <t>July 2026</t>
        </is>
      </c>
      <c r="H66" s="11" t="inlineStr">
        <is>
          <t>Monthly</t>
        </is>
      </c>
      <c r="I66" s="11" t="inlineStr">
        <is>
          <t>1257L</t>
        </is>
      </c>
      <c r="J66" s="11" t="inlineStr">
        <is>
          <t>A</t>
        </is>
      </c>
      <c r="K66" s="15" t="n">
        <v>2858.95</v>
      </c>
      <c r="L66" s="15" t="n">
        <v>2801.77</v>
      </c>
      <c r="M66" s="15" t="n">
        <v>2716</v>
      </c>
      <c r="N66" s="15" t="n">
        <v>206.4791666666667</v>
      </c>
      <c r="O66" s="15" t="n">
        <v>1905.97</v>
      </c>
      <c r="P66" s="15" t="n">
        <v>394.54</v>
      </c>
      <c r="Q66" s="15" t="n">
        <v>142.95</v>
      </c>
      <c r="R66" s="15" t="n">
        <v>14.29</v>
      </c>
      <c r="S66" s="15" t="n">
        <v>2477.75</v>
      </c>
      <c r="T66" s="15" t="n">
        <v>0</v>
      </c>
      <c r="U66" s="15" t="n">
        <v>0</v>
      </c>
      <c r="V66" s="15" t="n">
        <v>0</v>
      </c>
      <c r="W66" s="15" t="n">
        <v>0</v>
      </c>
      <c r="X66" s="15" t="n">
        <v>0</v>
      </c>
      <c r="Y66" s="15" t="n">
        <v>0</v>
      </c>
      <c r="Z66" s="15" t="n">
        <v>0</v>
      </c>
      <c r="AA66" s="15" t="n">
        <v>0</v>
      </c>
      <c r="AB66" s="15" t="n">
        <v>0</v>
      </c>
      <c r="AC66" s="15" t="n">
        <v>0</v>
      </c>
      <c r="AD66" s="15" t="n">
        <v>0</v>
      </c>
      <c r="AE66" s="11" t="inlineStr">
        <is>
          <t>P19016</t>
        </is>
      </c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  <c r="AO66" s="2" t="n"/>
      <c r="AP66" s="2" t="n"/>
      <c r="AQ66" s="2" t="n"/>
      <c r="AR66" s="2" t="n"/>
      <c r="AS66" s="2" t="n"/>
    </row>
    <row r="67">
      <c r="A67" s="11" t="n">
        <v>53</v>
      </c>
      <c r="B67" s="11" t="inlineStr">
        <is>
          <t>Surname200</t>
        </is>
      </c>
      <c r="C67" s="11" t="inlineStr">
        <is>
          <t>Forename200</t>
        </is>
      </c>
      <c r="D67" s="11" t="inlineStr">
        <is>
          <t>Kings Road Dental Practice</t>
        </is>
      </c>
      <c r="E67" s="11" t="inlineStr">
        <is>
          <t>Clinical</t>
        </is>
      </c>
      <c r="F67" s="11" t="inlineStr">
        <is>
          <t>CC-KIN</t>
        </is>
      </c>
      <c r="G67" s="11" t="inlineStr">
        <is>
          <t>July 2026</t>
        </is>
      </c>
      <c r="H67" s="11" t="inlineStr">
        <is>
          <t>Monthly</t>
        </is>
      </c>
      <c r="I67" s="11" t="inlineStr">
        <is>
          <t>1257L</t>
        </is>
      </c>
      <c r="J67" s="11" t="inlineStr">
        <is>
          <t>A</t>
        </is>
      </c>
      <c r="K67" s="15" t="n">
        <v>0</v>
      </c>
      <c r="L67" s="15" t="n">
        <v>0</v>
      </c>
      <c r="M67" s="15" t="n">
        <v>0</v>
      </c>
      <c r="N67" s="15" t="n">
        <v>0</v>
      </c>
      <c r="O67" s="15" t="n">
        <v>0</v>
      </c>
      <c r="P67" s="15" t="n">
        <v>0</v>
      </c>
      <c r="Q67" s="15" t="n">
        <v>0</v>
      </c>
      <c r="R67" s="15" t="n">
        <v>0</v>
      </c>
      <c r="S67" s="15" t="n">
        <v>0</v>
      </c>
      <c r="T67" s="15" t="n">
        <v>0</v>
      </c>
      <c r="U67" s="15" t="n">
        <v>0</v>
      </c>
      <c r="V67" s="15" t="n">
        <v>0</v>
      </c>
      <c r="W67" s="15" t="n">
        <v>0</v>
      </c>
      <c r="X67" s="15" t="n">
        <v>0</v>
      </c>
      <c r="Y67" s="15" t="n">
        <v>0</v>
      </c>
      <c r="Z67" s="15" t="n">
        <v>0</v>
      </c>
      <c r="AA67" s="15" t="n">
        <v>0</v>
      </c>
      <c r="AB67" s="15" t="n">
        <v>0</v>
      </c>
      <c r="AC67" s="15" t="n">
        <v>0</v>
      </c>
      <c r="AD67" s="15" t="n">
        <v>0</v>
      </c>
      <c r="AE67" s="11" t="inlineStr">
        <is>
          <t>P81200</t>
        </is>
      </c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  <c r="AO67" s="2" t="n"/>
      <c r="AP67" s="2" t="n"/>
      <c r="AQ67" s="2" t="n"/>
      <c r="AR67" s="2" t="n"/>
      <c r="AS67" s="2" t="n"/>
    </row>
    <row r="68">
      <c r="A68" s="11" t="n">
        <v>54</v>
      </c>
      <c r="B68" s="11" t="inlineStr">
        <is>
          <t>Surname538</t>
        </is>
      </c>
      <c r="C68" s="11" t="inlineStr">
        <is>
          <t>Forename538</t>
        </is>
      </c>
      <c r="D68" s="11" t="inlineStr">
        <is>
          <t>Elm Park Dental Practice</t>
        </is>
      </c>
      <c r="E68" s="11" t="inlineStr">
        <is>
          <t>Support</t>
        </is>
      </c>
      <c r="F68" s="11" t="inlineStr">
        <is>
          <t>CC-ELM</t>
        </is>
      </c>
      <c r="G68" s="11" t="inlineStr">
        <is>
          <t>July 2026</t>
        </is>
      </c>
      <c r="H68" s="11" t="inlineStr">
        <is>
          <t>Monthly</t>
        </is>
      </c>
      <c r="I68" s="11" t="inlineStr">
        <is>
          <t>1257L</t>
        </is>
      </c>
      <c r="J68" s="11" t="inlineStr">
        <is>
          <t>A</t>
        </is>
      </c>
      <c r="K68" s="15" t="n">
        <v>0</v>
      </c>
      <c r="L68" s="15" t="n">
        <v>0</v>
      </c>
      <c r="M68" s="15" t="n">
        <v>0</v>
      </c>
      <c r="N68" s="15" t="n">
        <v>0</v>
      </c>
      <c r="O68" s="15" t="n">
        <v>0</v>
      </c>
      <c r="P68" s="15" t="n">
        <v>0</v>
      </c>
      <c r="Q68" s="15" t="n">
        <v>0</v>
      </c>
      <c r="R68" s="15" t="n">
        <v>0</v>
      </c>
      <c r="S68" s="15" t="n">
        <v>0</v>
      </c>
      <c r="T68" s="15" t="n">
        <v>0</v>
      </c>
      <c r="U68" s="15" t="n">
        <v>0</v>
      </c>
      <c r="V68" s="15" t="n">
        <v>0</v>
      </c>
      <c r="W68" s="15" t="n">
        <v>0</v>
      </c>
      <c r="X68" s="15" t="n">
        <v>0</v>
      </c>
      <c r="Y68" s="15" t="n">
        <v>0</v>
      </c>
      <c r="Z68" s="15" t="n">
        <v>0</v>
      </c>
      <c r="AA68" s="15" t="n">
        <v>0</v>
      </c>
      <c r="AB68" s="15" t="n">
        <v>0</v>
      </c>
      <c r="AC68" s="15" t="n">
        <v>0</v>
      </c>
      <c r="AD68" s="15" t="n">
        <v>0</v>
      </c>
      <c r="AE68" s="11" t="inlineStr">
        <is>
          <t>P97538</t>
        </is>
      </c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  <c r="AO68" s="2" t="n"/>
      <c r="AP68" s="2" t="n"/>
      <c r="AQ68" s="2" t="n"/>
      <c r="AR68" s="2" t="n"/>
      <c r="AS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  <c r="AO69" s="2" t="n"/>
      <c r="AP69" s="2" t="n"/>
      <c r="AQ69" s="2" t="n"/>
      <c r="AR69" s="2" t="n"/>
      <c r="AS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  <c r="AO70" s="2" t="n"/>
      <c r="AP70" s="2" t="n"/>
      <c r="AQ70" s="2" t="n"/>
      <c r="AR70" s="2" t="n"/>
      <c r="AS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  <c r="AO71" s="2" t="n"/>
      <c r="AP71" s="2" t="n"/>
      <c r="AQ71" s="2" t="n"/>
      <c r="AR71" s="2" t="n"/>
      <c r="AS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  <c r="AO72" s="2" t="n"/>
      <c r="AP72" s="2" t="n"/>
      <c r="AQ72" s="2" t="n"/>
      <c r="AR72" s="2" t="n"/>
      <c r="AS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  <c r="AO73" s="2" t="n"/>
      <c r="AP73" s="2" t="n"/>
      <c r="AQ73" s="2" t="n"/>
      <c r="AR73" s="2" t="n"/>
      <c r="AS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  <c r="AO74" s="2" t="n"/>
      <c r="AP74" s="2" t="n"/>
      <c r="AQ74" s="2" t="n"/>
      <c r="AR74" s="2" t="n"/>
      <c r="AS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  <c r="AO75" s="2" t="n"/>
      <c r="AP75" s="2" t="n"/>
      <c r="AQ75" s="2" t="n"/>
      <c r="AR75" s="2" t="n"/>
      <c r="AS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  <c r="AO76" s="2" t="n"/>
      <c r="AP76" s="2" t="n"/>
      <c r="AQ76" s="2" t="n"/>
      <c r="AR76" s="2" t="n"/>
      <c r="AS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  <c r="AO77" s="2" t="n"/>
      <c r="AP77" s="2" t="n"/>
      <c r="AQ77" s="2" t="n"/>
      <c r="AR77" s="2" t="n"/>
      <c r="AS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  <c r="AO78" s="2" t="n"/>
      <c r="AP78" s="2" t="n"/>
      <c r="AQ78" s="2" t="n"/>
      <c r="AR78" s="2" t="n"/>
      <c r="AS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  <c r="AO79" s="2" t="n"/>
      <c r="AP79" s="2" t="n"/>
      <c r="AQ79" s="2" t="n"/>
      <c r="AR79" s="2" t="n"/>
      <c r="AS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  <c r="AO80" s="2" t="n"/>
      <c r="AP80" s="2" t="n"/>
      <c r="AQ80" s="2" t="n"/>
      <c r="AR80" s="2" t="n"/>
      <c r="AS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  <c r="AO81" s="2" t="n"/>
      <c r="AP81" s="2" t="n"/>
      <c r="AQ81" s="2" t="n"/>
      <c r="AR81" s="2" t="n"/>
      <c r="AS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  <c r="AO82" s="2" t="n"/>
      <c r="AP82" s="2" t="n"/>
      <c r="AQ82" s="2" t="n"/>
      <c r="AR82" s="2" t="n"/>
      <c r="AS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  <c r="AO83" s="2" t="n"/>
      <c r="AP83" s="2" t="n"/>
      <c r="AQ83" s="2" t="n"/>
      <c r="AR83" s="2" t="n"/>
      <c r="AS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  <c r="AO84" s="2" t="n"/>
      <c r="AP84" s="2" t="n"/>
      <c r="AQ84" s="2" t="n"/>
      <c r="AR84" s="2" t="n"/>
      <c r="AS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  <c r="AO85" s="2" t="n"/>
      <c r="AP85" s="2" t="n"/>
      <c r="AQ85" s="2" t="n"/>
      <c r="AR85" s="2" t="n"/>
      <c r="AS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  <c r="AO86" s="2" t="n"/>
      <c r="AP86" s="2" t="n"/>
      <c r="AQ86" s="2" t="n"/>
      <c r="AR86" s="2" t="n"/>
      <c r="AS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  <c r="AO87" s="2" t="n"/>
      <c r="AP87" s="2" t="n"/>
      <c r="AQ87" s="2" t="n"/>
      <c r="AR87" s="2" t="n"/>
      <c r="AS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  <c r="AO88" s="2" t="n"/>
      <c r="AP88" s="2" t="n"/>
      <c r="AQ88" s="2" t="n"/>
      <c r="AR88" s="2" t="n"/>
      <c r="AS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  <c r="AO89" s="2" t="n"/>
      <c r="AP89" s="2" t="n"/>
      <c r="AQ89" s="2" t="n"/>
      <c r="AR89" s="2" t="n"/>
      <c r="AS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  <c r="AO90" s="2" t="n"/>
      <c r="AP90" s="2" t="n"/>
      <c r="AQ90" s="2" t="n"/>
      <c r="AR90" s="2" t="n"/>
      <c r="AS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  <c r="AO91" s="2" t="n"/>
      <c r="AP91" s="2" t="n"/>
      <c r="AQ91" s="2" t="n"/>
      <c r="AR91" s="2" t="n"/>
      <c r="AS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  <c r="AO92" s="2" t="n"/>
      <c r="AP92" s="2" t="n"/>
      <c r="AQ92" s="2" t="n"/>
      <c r="AR92" s="2" t="n"/>
      <c r="AS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  <c r="AO93" s="2" t="n"/>
      <c r="AP93" s="2" t="n"/>
      <c r="AQ93" s="2" t="n"/>
      <c r="AR93" s="2" t="n"/>
      <c r="AS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  <c r="AO94" s="2" t="n"/>
      <c r="AP94" s="2" t="n"/>
      <c r="AQ94" s="2" t="n"/>
      <c r="AR94" s="2" t="n"/>
      <c r="AS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  <c r="AO95" s="2" t="n"/>
      <c r="AP95" s="2" t="n"/>
      <c r="AQ95" s="2" t="n"/>
      <c r="AR95" s="2" t="n"/>
      <c r="AS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  <c r="AO96" s="2" t="n"/>
      <c r="AP96" s="2" t="n"/>
      <c r="AQ96" s="2" t="n"/>
      <c r="AR96" s="2" t="n"/>
      <c r="AS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  <c r="AO97" s="2" t="n"/>
      <c r="AP97" s="2" t="n"/>
      <c r="AQ97" s="2" t="n"/>
      <c r="AR97" s="2" t="n"/>
      <c r="AS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  <c r="AO98" s="2" t="n"/>
      <c r="AP98" s="2" t="n"/>
      <c r="AQ98" s="2" t="n"/>
      <c r="AR98" s="2" t="n"/>
      <c r="AS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  <c r="AO99" s="2" t="n"/>
      <c r="AP99" s="2" t="n"/>
      <c r="AQ99" s="2" t="n"/>
      <c r="AR99" s="2" t="n"/>
      <c r="AS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  <c r="AO100" s="2" t="n"/>
      <c r="AP100" s="2" t="n"/>
      <c r="AQ100" s="2" t="n"/>
      <c r="AR100" s="2" t="n"/>
      <c r="AS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  <c r="AO101" s="2" t="n"/>
      <c r="AP101" s="2" t="n"/>
      <c r="AQ101" s="2" t="n"/>
      <c r="AR101" s="2" t="n"/>
      <c r="AS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  <c r="AO102" s="2" t="n"/>
      <c r="AP102" s="2" t="n"/>
      <c r="AQ102" s="2" t="n"/>
      <c r="AR102" s="2" t="n"/>
      <c r="AS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  <c r="AO103" s="2" t="n"/>
      <c r="AP103" s="2" t="n"/>
      <c r="AQ103" s="2" t="n"/>
      <c r="AR103" s="2" t="n"/>
      <c r="AS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  <c r="AO104" s="2" t="n"/>
      <c r="AP104" s="2" t="n"/>
      <c r="AQ104" s="2" t="n"/>
      <c r="AR104" s="2" t="n"/>
      <c r="AS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  <c r="AO105" s="2" t="n"/>
      <c r="AP105" s="2" t="n"/>
      <c r="AQ105" s="2" t="n"/>
      <c r="AR105" s="2" t="n"/>
      <c r="AS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  <c r="AO106" s="2" t="n"/>
      <c r="AP106" s="2" t="n"/>
      <c r="AQ106" s="2" t="n"/>
      <c r="AR106" s="2" t="n"/>
      <c r="AS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  <c r="AO107" s="2" t="n"/>
      <c r="AP107" s="2" t="n"/>
      <c r="AQ107" s="2" t="n"/>
      <c r="AR107" s="2" t="n"/>
      <c r="AS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  <c r="AO108" s="2" t="n"/>
      <c r="AP108" s="2" t="n"/>
      <c r="AQ108" s="2" t="n"/>
      <c r="AR108" s="2" t="n"/>
      <c r="AS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  <c r="AO109" s="2" t="n"/>
      <c r="AP109" s="2" t="n"/>
      <c r="AQ109" s="2" t="n"/>
      <c r="AR109" s="2" t="n"/>
      <c r="AS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  <c r="AO110" s="2" t="n"/>
      <c r="AP110" s="2" t="n"/>
      <c r="AQ110" s="2" t="n"/>
      <c r="AR110" s="2" t="n"/>
      <c r="AS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  <c r="AO111" s="2" t="n"/>
      <c r="AP111" s="2" t="n"/>
      <c r="AQ111" s="2" t="n"/>
      <c r="AR111" s="2" t="n"/>
      <c r="AS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  <c r="AO112" s="2" t="n"/>
      <c r="AP112" s="2" t="n"/>
      <c r="AQ112" s="2" t="n"/>
      <c r="AR112" s="2" t="n"/>
      <c r="AS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  <c r="AO113" s="2" t="n"/>
      <c r="AP113" s="2" t="n"/>
      <c r="AQ113" s="2" t="n"/>
      <c r="AR113" s="2" t="n"/>
      <c r="AS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  <c r="AO114" s="2" t="n"/>
      <c r="AP114" s="2" t="n"/>
      <c r="AQ114" s="2" t="n"/>
      <c r="AR114" s="2" t="n"/>
      <c r="AS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  <c r="AO115" s="2" t="n"/>
      <c r="AP115" s="2" t="n"/>
      <c r="AQ115" s="2" t="n"/>
      <c r="AR115" s="2" t="n"/>
      <c r="AS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  <c r="AO116" s="2" t="n"/>
      <c r="AP116" s="2" t="n"/>
      <c r="AQ116" s="2" t="n"/>
      <c r="AR116" s="2" t="n"/>
      <c r="AS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  <c r="AO117" s="2" t="n"/>
      <c r="AP117" s="2" t="n"/>
      <c r="AQ117" s="2" t="n"/>
      <c r="AR117" s="2" t="n"/>
      <c r="AS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  <c r="AO118" s="2" t="n"/>
      <c r="AP118" s="2" t="n"/>
      <c r="AQ118" s="2" t="n"/>
      <c r="AR118" s="2" t="n"/>
      <c r="AS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  <c r="AO119" s="2" t="n"/>
      <c r="AP119" s="2" t="n"/>
      <c r="AQ119" s="2" t="n"/>
      <c r="AR119" s="2" t="n"/>
      <c r="AS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  <c r="AO120" s="2" t="n"/>
      <c r="AP120" s="2" t="n"/>
      <c r="AQ120" s="2" t="n"/>
      <c r="AR120" s="2" t="n"/>
      <c r="AS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  <c r="AO121" s="2" t="n"/>
      <c r="AP121" s="2" t="n"/>
      <c r="AQ121" s="2" t="n"/>
      <c r="AR121" s="2" t="n"/>
      <c r="AS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  <c r="AO122" s="2" t="n"/>
      <c r="AP122" s="2" t="n"/>
      <c r="AQ122" s="2" t="n"/>
      <c r="AR122" s="2" t="n"/>
      <c r="AS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  <c r="AO123" s="2" t="n"/>
      <c r="AP123" s="2" t="n"/>
      <c r="AQ123" s="2" t="n"/>
      <c r="AR123" s="2" t="n"/>
      <c r="AS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  <c r="AO124" s="2" t="n"/>
      <c r="AP124" s="2" t="n"/>
      <c r="AQ124" s="2" t="n"/>
      <c r="AR124" s="2" t="n"/>
      <c r="AS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  <c r="AO125" s="2" t="n"/>
      <c r="AP125" s="2" t="n"/>
      <c r="AQ125" s="2" t="n"/>
      <c r="AR125" s="2" t="n"/>
      <c r="AS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  <c r="AO126" s="2" t="n"/>
      <c r="AP126" s="2" t="n"/>
      <c r="AQ126" s="2" t="n"/>
      <c r="AR126" s="2" t="n"/>
      <c r="AS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  <c r="AO127" s="2" t="n"/>
      <c r="AP127" s="2" t="n"/>
      <c r="AQ127" s="2" t="n"/>
      <c r="AR127" s="2" t="n"/>
      <c r="AS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  <c r="AO128" s="2" t="n"/>
      <c r="AP128" s="2" t="n"/>
      <c r="AQ128" s="2" t="n"/>
      <c r="AR128" s="2" t="n"/>
      <c r="AS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  <c r="AO129" s="2" t="n"/>
      <c r="AP129" s="2" t="n"/>
      <c r="AQ129" s="2" t="n"/>
      <c r="AR129" s="2" t="n"/>
      <c r="AS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  <c r="AO130" s="2" t="n"/>
      <c r="AP130" s="2" t="n"/>
      <c r="AQ130" s="2" t="n"/>
      <c r="AR130" s="2" t="n"/>
      <c r="AS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  <c r="AO131" s="2" t="n"/>
      <c r="AP131" s="2" t="n"/>
      <c r="AQ131" s="2" t="n"/>
      <c r="AR131" s="2" t="n"/>
      <c r="AS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  <c r="AO132" s="2" t="n"/>
      <c r="AP132" s="2" t="n"/>
      <c r="AQ132" s="2" t="n"/>
      <c r="AR132" s="2" t="n"/>
      <c r="AS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  <c r="AO133" s="2" t="n"/>
      <c r="AP133" s="2" t="n"/>
      <c r="AQ133" s="2" t="n"/>
      <c r="AR133" s="2" t="n"/>
      <c r="AS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  <c r="AO134" s="2" t="n"/>
      <c r="AP134" s="2" t="n"/>
      <c r="AQ134" s="2" t="n"/>
      <c r="AR134" s="2" t="n"/>
      <c r="AS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  <c r="AO135" s="2" t="n"/>
      <c r="AP135" s="2" t="n"/>
      <c r="AQ135" s="2" t="n"/>
      <c r="AR135" s="2" t="n"/>
      <c r="AS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  <c r="AO136" s="2" t="n"/>
      <c r="AP136" s="2" t="n"/>
      <c r="AQ136" s="2" t="n"/>
      <c r="AR136" s="2" t="n"/>
      <c r="AS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  <c r="AO137" s="2" t="n"/>
      <c r="AP137" s="2" t="n"/>
      <c r="AQ137" s="2" t="n"/>
      <c r="AR137" s="2" t="n"/>
      <c r="AS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  <c r="AO138" s="2" t="n"/>
      <c r="AP138" s="2" t="n"/>
      <c r="AQ138" s="2" t="n"/>
      <c r="AR138" s="2" t="n"/>
      <c r="AS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  <c r="AO139" s="2" t="n"/>
      <c r="AP139" s="2" t="n"/>
      <c r="AQ139" s="2" t="n"/>
      <c r="AR139" s="2" t="n"/>
      <c r="AS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  <c r="AO140" s="2" t="n"/>
      <c r="AP140" s="2" t="n"/>
      <c r="AQ140" s="2" t="n"/>
      <c r="AR140" s="2" t="n"/>
      <c r="AS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  <c r="AO141" s="2" t="n"/>
      <c r="AP141" s="2" t="n"/>
      <c r="AQ141" s="2" t="n"/>
      <c r="AR141" s="2" t="n"/>
      <c r="AS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  <c r="AO142" s="2" t="n"/>
      <c r="AP142" s="2" t="n"/>
      <c r="AQ142" s="2" t="n"/>
      <c r="AR142" s="2" t="n"/>
      <c r="AS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  <c r="AO143" s="2" t="n"/>
      <c r="AP143" s="2" t="n"/>
      <c r="AQ143" s="2" t="n"/>
      <c r="AR143" s="2" t="n"/>
      <c r="AS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  <c r="AO144" s="2" t="n"/>
      <c r="AP144" s="2" t="n"/>
      <c r="AQ144" s="2" t="n"/>
      <c r="AR144" s="2" t="n"/>
      <c r="AS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  <c r="AO145" s="2" t="n"/>
      <c r="AP145" s="2" t="n"/>
      <c r="AQ145" s="2" t="n"/>
      <c r="AR145" s="2" t="n"/>
      <c r="AS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  <c r="AO146" s="2" t="n"/>
      <c r="AP146" s="2" t="n"/>
      <c r="AQ146" s="2" t="n"/>
      <c r="AR146" s="2" t="n"/>
      <c r="AS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  <c r="AO147" s="2" t="n"/>
      <c r="AP147" s="2" t="n"/>
      <c r="AQ147" s="2" t="n"/>
      <c r="AR147" s="2" t="n"/>
      <c r="AS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  <c r="AO148" s="2" t="n"/>
      <c r="AP148" s="2" t="n"/>
      <c r="AQ148" s="2" t="n"/>
      <c r="AR148" s="2" t="n"/>
      <c r="AS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  <c r="AO149" s="2" t="n"/>
      <c r="AP149" s="2" t="n"/>
      <c r="AQ149" s="2" t="n"/>
      <c r="AR149" s="2" t="n"/>
      <c r="AS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  <c r="AO150" s="2" t="n"/>
      <c r="AP150" s="2" t="n"/>
      <c r="AQ150" s="2" t="n"/>
      <c r="AR150" s="2" t="n"/>
      <c r="AS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  <c r="AO151" s="2" t="n"/>
      <c r="AP151" s="2" t="n"/>
      <c r="AQ151" s="2" t="n"/>
      <c r="AR151" s="2" t="n"/>
      <c r="AS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  <c r="AO152" s="2" t="n"/>
      <c r="AP152" s="2" t="n"/>
      <c r="AQ152" s="2" t="n"/>
      <c r="AR152" s="2" t="n"/>
      <c r="AS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  <c r="AO153" s="2" t="n"/>
      <c r="AP153" s="2" t="n"/>
      <c r="AQ153" s="2" t="n"/>
      <c r="AR153" s="2" t="n"/>
      <c r="AS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  <c r="AO154" s="2" t="n"/>
      <c r="AP154" s="2" t="n"/>
      <c r="AQ154" s="2" t="n"/>
      <c r="AR154" s="2" t="n"/>
      <c r="AS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  <c r="AO155" s="2" t="n"/>
      <c r="AP155" s="2" t="n"/>
      <c r="AQ155" s="2" t="n"/>
      <c r="AR155" s="2" t="n"/>
      <c r="AS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  <c r="AO156" s="2" t="n"/>
      <c r="AP156" s="2" t="n"/>
      <c r="AQ156" s="2" t="n"/>
      <c r="AR156" s="2" t="n"/>
      <c r="AS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  <c r="AO157" s="2" t="n"/>
      <c r="AP157" s="2" t="n"/>
      <c r="AQ157" s="2" t="n"/>
      <c r="AR157" s="2" t="n"/>
      <c r="AS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  <c r="AO158" s="2" t="n"/>
      <c r="AP158" s="2" t="n"/>
      <c r="AQ158" s="2" t="n"/>
      <c r="AR158" s="2" t="n"/>
      <c r="AS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  <c r="AO159" s="2" t="n"/>
      <c r="AP159" s="2" t="n"/>
      <c r="AQ159" s="2" t="n"/>
      <c r="AR159" s="2" t="n"/>
      <c r="AS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  <c r="AO160" s="2" t="n"/>
      <c r="AP160" s="2" t="n"/>
      <c r="AQ160" s="2" t="n"/>
      <c r="AR160" s="2" t="n"/>
      <c r="AS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  <c r="AO161" s="2" t="n"/>
      <c r="AP161" s="2" t="n"/>
      <c r="AQ161" s="2" t="n"/>
      <c r="AR161" s="2" t="n"/>
      <c r="AS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  <c r="AO162" s="2" t="n"/>
      <c r="AP162" s="2" t="n"/>
      <c r="AQ162" s="2" t="n"/>
      <c r="AR162" s="2" t="n"/>
      <c r="AS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  <c r="AO163" s="2" t="n"/>
      <c r="AP163" s="2" t="n"/>
      <c r="AQ163" s="2" t="n"/>
      <c r="AR163" s="2" t="n"/>
      <c r="AS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  <c r="AO164" s="2" t="n"/>
      <c r="AP164" s="2" t="n"/>
      <c r="AQ164" s="2" t="n"/>
      <c r="AR164" s="2" t="n"/>
      <c r="AS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  <c r="AO165" s="2" t="n"/>
      <c r="AP165" s="2" t="n"/>
      <c r="AQ165" s="2" t="n"/>
      <c r="AR165" s="2" t="n"/>
      <c r="AS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  <c r="AO166" s="2" t="n"/>
      <c r="AP166" s="2" t="n"/>
      <c r="AQ166" s="2" t="n"/>
      <c r="AR166" s="2" t="n"/>
      <c r="AS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  <c r="AO167" s="2" t="n"/>
      <c r="AP167" s="2" t="n"/>
      <c r="AQ167" s="2" t="n"/>
      <c r="AR167" s="2" t="n"/>
      <c r="AS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  <c r="AO168" s="2" t="n"/>
      <c r="AP168" s="2" t="n"/>
      <c r="AQ168" s="2" t="n"/>
      <c r="AR168" s="2" t="n"/>
      <c r="AS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  <c r="AO169" s="2" t="n"/>
      <c r="AP169" s="2" t="n"/>
      <c r="AQ169" s="2" t="n"/>
      <c r="AR169" s="2" t="n"/>
      <c r="AS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  <c r="AO170" s="2" t="n"/>
      <c r="AP170" s="2" t="n"/>
      <c r="AQ170" s="2" t="n"/>
      <c r="AR170" s="2" t="n"/>
      <c r="AS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  <c r="AO171" s="2" t="n"/>
      <c r="AP171" s="2" t="n"/>
      <c r="AQ171" s="2" t="n"/>
      <c r="AR171" s="2" t="n"/>
      <c r="AS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  <c r="AO172" s="2" t="n"/>
      <c r="AP172" s="2" t="n"/>
      <c r="AQ172" s="2" t="n"/>
      <c r="AR172" s="2" t="n"/>
      <c r="AS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  <c r="AO173" s="2" t="n"/>
      <c r="AP173" s="2" t="n"/>
      <c r="AQ173" s="2" t="n"/>
      <c r="AR173" s="2" t="n"/>
      <c r="AS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  <c r="AO174" s="2" t="n"/>
      <c r="AP174" s="2" t="n"/>
      <c r="AQ174" s="2" t="n"/>
      <c r="AR174" s="2" t="n"/>
      <c r="AS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  <c r="AO175" s="2" t="n"/>
      <c r="AP175" s="2" t="n"/>
      <c r="AQ175" s="2" t="n"/>
      <c r="AR175" s="2" t="n"/>
      <c r="AS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  <c r="AO176" s="2" t="n"/>
      <c r="AP176" s="2" t="n"/>
      <c r="AQ176" s="2" t="n"/>
      <c r="AR176" s="2" t="n"/>
      <c r="AS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  <c r="AO177" s="2" t="n"/>
      <c r="AP177" s="2" t="n"/>
      <c r="AQ177" s="2" t="n"/>
      <c r="AR177" s="2" t="n"/>
      <c r="AS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  <c r="AO178" s="2" t="n"/>
      <c r="AP178" s="2" t="n"/>
      <c r="AQ178" s="2" t="n"/>
      <c r="AR178" s="2" t="n"/>
      <c r="AS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  <c r="AO179" s="2" t="n"/>
      <c r="AP179" s="2" t="n"/>
      <c r="AQ179" s="2" t="n"/>
      <c r="AR179" s="2" t="n"/>
      <c r="AS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  <c r="AO180" s="2" t="n"/>
      <c r="AP180" s="2" t="n"/>
      <c r="AQ180" s="2" t="n"/>
      <c r="AR180" s="2" t="n"/>
      <c r="AS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  <c r="AO181" s="2" t="n"/>
      <c r="AP181" s="2" t="n"/>
      <c r="AQ181" s="2" t="n"/>
      <c r="AR181" s="2" t="n"/>
      <c r="AS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  <c r="AO182" s="2" t="n"/>
      <c r="AP182" s="2" t="n"/>
      <c r="AQ182" s="2" t="n"/>
      <c r="AR182" s="2" t="n"/>
      <c r="AS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  <c r="AO183" s="2" t="n"/>
      <c r="AP183" s="2" t="n"/>
      <c r="AQ183" s="2" t="n"/>
      <c r="AR183" s="2" t="n"/>
      <c r="AS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  <c r="AO184" s="2" t="n"/>
      <c r="AP184" s="2" t="n"/>
      <c r="AQ184" s="2" t="n"/>
      <c r="AR184" s="2" t="n"/>
      <c r="AS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  <c r="AO185" s="2" t="n"/>
      <c r="AP185" s="2" t="n"/>
      <c r="AQ185" s="2" t="n"/>
      <c r="AR185" s="2" t="n"/>
      <c r="AS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  <c r="AO186" s="2" t="n"/>
      <c r="AP186" s="2" t="n"/>
      <c r="AQ186" s="2" t="n"/>
      <c r="AR186" s="2" t="n"/>
      <c r="AS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  <c r="AO187" s="2" t="n"/>
      <c r="AP187" s="2" t="n"/>
      <c r="AQ187" s="2" t="n"/>
      <c r="AR187" s="2" t="n"/>
      <c r="AS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  <c r="AO188" s="2" t="n"/>
      <c r="AP188" s="2" t="n"/>
      <c r="AQ188" s="2" t="n"/>
      <c r="AR188" s="2" t="n"/>
      <c r="AS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  <c r="AO189" s="2" t="n"/>
      <c r="AP189" s="2" t="n"/>
      <c r="AQ189" s="2" t="n"/>
      <c r="AR189" s="2" t="n"/>
      <c r="AS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  <c r="AO190" s="2" t="n"/>
      <c r="AP190" s="2" t="n"/>
      <c r="AQ190" s="2" t="n"/>
      <c r="AR190" s="2" t="n"/>
      <c r="AS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  <c r="AO191" s="2" t="n"/>
      <c r="AP191" s="2" t="n"/>
      <c r="AQ191" s="2" t="n"/>
      <c r="AR191" s="2" t="n"/>
      <c r="AS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  <c r="AO192" s="2" t="n"/>
      <c r="AP192" s="2" t="n"/>
      <c r="AQ192" s="2" t="n"/>
      <c r="AR192" s="2" t="n"/>
      <c r="AS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  <c r="AO193" s="2" t="n"/>
      <c r="AP193" s="2" t="n"/>
      <c r="AQ193" s="2" t="n"/>
      <c r="AR193" s="2" t="n"/>
      <c r="AS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  <c r="AO194" s="2" t="n"/>
      <c r="AP194" s="2" t="n"/>
      <c r="AQ194" s="2" t="n"/>
      <c r="AR194" s="2" t="n"/>
      <c r="AS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  <c r="AO195" s="2" t="n"/>
      <c r="AP195" s="2" t="n"/>
      <c r="AQ195" s="2" t="n"/>
      <c r="AR195" s="2" t="n"/>
      <c r="AS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  <c r="AO196" s="2" t="n"/>
      <c r="AP196" s="2" t="n"/>
      <c r="AQ196" s="2" t="n"/>
      <c r="AR196" s="2" t="n"/>
      <c r="AS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  <c r="AO197" s="2" t="n"/>
      <c r="AP197" s="2" t="n"/>
      <c r="AQ197" s="2" t="n"/>
      <c r="AR197" s="2" t="n"/>
      <c r="AS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  <c r="AO198" s="2" t="n"/>
      <c r="AP198" s="2" t="n"/>
      <c r="AQ198" s="2" t="n"/>
      <c r="AR198" s="2" t="n"/>
      <c r="AS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  <c r="AO199" s="2" t="n"/>
      <c r="AP199" s="2" t="n"/>
      <c r="AQ199" s="2" t="n"/>
      <c r="AR199" s="2" t="n"/>
      <c r="AS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  <c r="AO200" s="2" t="n"/>
      <c r="AP200" s="2" t="n"/>
      <c r="AQ200" s="2" t="n"/>
      <c r="AR200" s="2" t="n"/>
      <c r="AS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  <c r="AO201" s="2" t="n"/>
      <c r="AP201" s="2" t="n"/>
      <c r="AQ201" s="2" t="n"/>
      <c r="AR201" s="2" t="n"/>
      <c r="AS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  <c r="AO202" s="2" t="n"/>
      <c r="AP202" s="2" t="n"/>
      <c r="AQ202" s="2" t="n"/>
      <c r="AR202" s="2" t="n"/>
      <c r="AS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  <c r="AO203" s="2" t="n"/>
      <c r="AP203" s="2" t="n"/>
      <c r="AQ203" s="2" t="n"/>
      <c r="AR203" s="2" t="n"/>
      <c r="AS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  <c r="AO204" s="2" t="n"/>
      <c r="AP204" s="2" t="n"/>
      <c r="AQ204" s="2" t="n"/>
      <c r="AR204" s="2" t="n"/>
      <c r="AS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  <c r="AO205" s="2" t="n"/>
      <c r="AP205" s="2" t="n"/>
      <c r="AQ205" s="2" t="n"/>
      <c r="AR205" s="2" t="n"/>
      <c r="AS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  <c r="AO206" s="2" t="n"/>
      <c r="AP206" s="2" t="n"/>
      <c r="AQ206" s="2" t="n"/>
      <c r="AR206" s="2" t="n"/>
      <c r="AS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  <c r="AO207" s="2" t="n"/>
      <c r="AP207" s="2" t="n"/>
      <c r="AQ207" s="2" t="n"/>
      <c r="AR207" s="2" t="n"/>
      <c r="AS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  <c r="AO208" s="2" t="n"/>
      <c r="AP208" s="2" t="n"/>
      <c r="AQ208" s="2" t="n"/>
      <c r="AR208" s="2" t="n"/>
      <c r="AS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  <c r="AO209" s="2" t="n"/>
      <c r="AP209" s="2" t="n"/>
      <c r="AQ209" s="2" t="n"/>
      <c r="AR209" s="2" t="n"/>
      <c r="AS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  <c r="AO210" s="2" t="n"/>
      <c r="AP210" s="2" t="n"/>
      <c r="AQ210" s="2" t="n"/>
      <c r="AR210" s="2" t="n"/>
      <c r="AS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  <c r="AO211" s="2" t="n"/>
      <c r="AP211" s="2" t="n"/>
      <c r="AQ211" s="2" t="n"/>
      <c r="AR211" s="2" t="n"/>
      <c r="AS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  <c r="AO212" s="2" t="n"/>
      <c r="AP212" s="2" t="n"/>
      <c r="AQ212" s="2" t="n"/>
      <c r="AR212" s="2" t="n"/>
      <c r="AS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  <c r="AO213" s="2" t="n"/>
      <c r="AP213" s="2" t="n"/>
      <c r="AQ213" s="2" t="n"/>
      <c r="AR213" s="2" t="n"/>
      <c r="AS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  <c r="AO214" s="2" t="n"/>
      <c r="AP214" s="2" t="n"/>
      <c r="AQ214" s="2" t="n"/>
      <c r="AR214" s="2" t="n"/>
      <c r="AS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  <c r="AO215" s="2" t="n"/>
      <c r="AP215" s="2" t="n"/>
      <c r="AQ215" s="2" t="n"/>
      <c r="AR215" s="2" t="n"/>
      <c r="AS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  <c r="AO216" s="2" t="n"/>
      <c r="AP216" s="2" t="n"/>
      <c r="AQ216" s="2" t="n"/>
      <c r="AR216" s="2" t="n"/>
      <c r="AS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  <c r="AO217" s="2" t="n"/>
      <c r="AP217" s="2" t="n"/>
      <c r="AQ217" s="2" t="n"/>
      <c r="AR217" s="2" t="n"/>
      <c r="AS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  <c r="AO218" s="2" t="n"/>
      <c r="AP218" s="2" t="n"/>
      <c r="AQ218" s="2" t="n"/>
      <c r="AR218" s="2" t="n"/>
      <c r="AS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  <c r="AO219" s="2" t="n"/>
      <c r="AP219" s="2" t="n"/>
      <c r="AQ219" s="2" t="n"/>
      <c r="AR219" s="2" t="n"/>
      <c r="AS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  <c r="AO220" s="2" t="n"/>
      <c r="AP220" s="2" t="n"/>
      <c r="AQ220" s="2" t="n"/>
      <c r="AR220" s="2" t="n"/>
      <c r="AS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  <c r="AO221" s="2" t="n"/>
      <c r="AP221" s="2" t="n"/>
      <c r="AQ221" s="2" t="n"/>
      <c r="AR221" s="2" t="n"/>
      <c r="AS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  <c r="AO222" s="2" t="n"/>
      <c r="AP222" s="2" t="n"/>
      <c r="AQ222" s="2" t="n"/>
      <c r="AR222" s="2" t="n"/>
      <c r="AS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  <c r="AO223" s="2" t="n"/>
      <c r="AP223" s="2" t="n"/>
      <c r="AQ223" s="2" t="n"/>
      <c r="AR223" s="2" t="n"/>
      <c r="AS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  <c r="AO224" s="2" t="n"/>
      <c r="AP224" s="2" t="n"/>
      <c r="AQ224" s="2" t="n"/>
      <c r="AR224" s="2" t="n"/>
      <c r="AS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  <c r="AO225" s="2" t="n"/>
      <c r="AP225" s="2" t="n"/>
      <c r="AQ225" s="2" t="n"/>
      <c r="AR225" s="2" t="n"/>
      <c r="AS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  <c r="AO226" s="2" t="n"/>
      <c r="AP226" s="2" t="n"/>
      <c r="AQ226" s="2" t="n"/>
      <c r="AR226" s="2" t="n"/>
      <c r="AS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  <c r="AO227" s="2" t="n"/>
      <c r="AP227" s="2" t="n"/>
      <c r="AQ227" s="2" t="n"/>
      <c r="AR227" s="2" t="n"/>
      <c r="AS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  <c r="AO228" s="2" t="n"/>
      <c r="AP228" s="2" t="n"/>
      <c r="AQ228" s="2" t="n"/>
      <c r="AR228" s="2" t="n"/>
      <c r="AS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  <c r="AO229" s="2" t="n"/>
      <c r="AP229" s="2" t="n"/>
      <c r="AQ229" s="2" t="n"/>
      <c r="AR229" s="2" t="n"/>
      <c r="AS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  <c r="AO230" s="2" t="n"/>
      <c r="AP230" s="2" t="n"/>
      <c r="AQ230" s="2" t="n"/>
      <c r="AR230" s="2" t="n"/>
      <c r="AS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  <c r="AO231" s="2" t="n"/>
      <c r="AP231" s="2" t="n"/>
      <c r="AQ231" s="2" t="n"/>
      <c r="AR231" s="2" t="n"/>
      <c r="AS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  <c r="AO232" s="2" t="n"/>
      <c r="AP232" s="2" t="n"/>
      <c r="AQ232" s="2" t="n"/>
      <c r="AR232" s="2" t="n"/>
      <c r="AS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  <c r="AO233" s="2" t="n"/>
      <c r="AP233" s="2" t="n"/>
      <c r="AQ233" s="2" t="n"/>
      <c r="AR233" s="2" t="n"/>
      <c r="AS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  <c r="AO234" s="2" t="n"/>
      <c r="AP234" s="2" t="n"/>
      <c r="AQ234" s="2" t="n"/>
      <c r="AR234" s="2" t="n"/>
      <c r="AS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  <c r="AO235" s="2" t="n"/>
      <c r="AP235" s="2" t="n"/>
      <c r="AQ235" s="2" t="n"/>
      <c r="AR235" s="2" t="n"/>
      <c r="AS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  <c r="AO236" s="2" t="n"/>
      <c r="AP236" s="2" t="n"/>
      <c r="AQ236" s="2" t="n"/>
      <c r="AR236" s="2" t="n"/>
      <c r="AS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  <c r="AO237" s="2" t="n"/>
      <c r="AP237" s="2" t="n"/>
      <c r="AQ237" s="2" t="n"/>
      <c r="AR237" s="2" t="n"/>
      <c r="AS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  <c r="AO238" s="2" t="n"/>
      <c r="AP238" s="2" t="n"/>
      <c r="AQ238" s="2" t="n"/>
      <c r="AR238" s="2" t="n"/>
      <c r="AS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  <c r="AO239" s="2" t="n"/>
      <c r="AP239" s="2" t="n"/>
      <c r="AQ239" s="2" t="n"/>
      <c r="AR239" s="2" t="n"/>
      <c r="AS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  <c r="AO240" s="2" t="n"/>
      <c r="AP240" s="2" t="n"/>
      <c r="AQ240" s="2" t="n"/>
      <c r="AR240" s="2" t="n"/>
      <c r="AS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  <c r="AO241" s="2" t="n"/>
      <c r="AP241" s="2" t="n"/>
      <c r="AQ241" s="2" t="n"/>
      <c r="AR241" s="2" t="n"/>
      <c r="AS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  <c r="AO242" s="2" t="n"/>
      <c r="AP242" s="2" t="n"/>
      <c r="AQ242" s="2" t="n"/>
      <c r="AR242" s="2" t="n"/>
      <c r="AS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  <c r="AO243" s="2" t="n"/>
      <c r="AP243" s="2" t="n"/>
      <c r="AQ243" s="2" t="n"/>
      <c r="AR243" s="2" t="n"/>
      <c r="AS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  <c r="AO244" s="2" t="n"/>
      <c r="AP244" s="2" t="n"/>
      <c r="AQ244" s="2" t="n"/>
      <c r="AR244" s="2" t="n"/>
      <c r="AS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  <c r="AO245" s="2" t="n"/>
      <c r="AP245" s="2" t="n"/>
      <c r="AQ245" s="2" t="n"/>
      <c r="AR245" s="2" t="n"/>
      <c r="AS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  <c r="AO246" s="2" t="n"/>
      <c r="AP246" s="2" t="n"/>
      <c r="AQ246" s="2" t="n"/>
      <c r="AR246" s="2" t="n"/>
      <c r="AS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  <c r="AO247" s="2" t="n"/>
      <c r="AP247" s="2" t="n"/>
      <c r="AQ247" s="2" t="n"/>
      <c r="AR247" s="2" t="n"/>
      <c r="AS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  <c r="AO248" s="2" t="n"/>
      <c r="AP248" s="2" t="n"/>
      <c r="AQ248" s="2" t="n"/>
      <c r="AR248" s="2" t="n"/>
      <c r="AS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  <c r="AO249" s="2" t="n"/>
      <c r="AP249" s="2" t="n"/>
      <c r="AQ249" s="2" t="n"/>
      <c r="AR249" s="2" t="n"/>
      <c r="AS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  <c r="AO250" s="2" t="n"/>
      <c r="AP250" s="2" t="n"/>
      <c r="AQ250" s="2" t="n"/>
      <c r="AR250" s="2" t="n"/>
      <c r="AS250" s="2" t="n"/>
    </row>
  </sheetData>
  <autoFilter ref="A14:AE6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66609B"/>
    <outlinePr summaryBelow="1" summaryRight="1"/>
    <pageSetUpPr/>
  </sheetPr>
  <dimension ref="A1:AS250"/>
  <sheetViews>
    <sheetView showGridLines="0" workbookViewId="0">
      <pane ySplit="14" topLeftCell="A15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22" customWidth="1" min="4" max="4"/>
    <col width="10" customWidth="1" min="5" max="5"/>
    <col width="10" customWidth="1" min="6" max="6"/>
    <col width="12" customWidth="1" min="7" max="7"/>
    <col width="10" customWidth="1" min="8" max="8"/>
    <col width="9" customWidth="1" min="9" max="9"/>
    <col width="9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4" customWidth="1" min="31" max="31"/>
  </cols>
  <sheetData>
    <row r="1">
      <c r="A1" s="3" t="inlineStr">
        <is>
          <t>Payment Breakdown - prior month (June 2026) - paste from row 14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  <c r="AP2" s="2" t="n"/>
      <c r="AQ2" s="2" t="n"/>
      <c r="AR2" s="2" t="n"/>
      <c r="AS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  <c r="AO3" s="2" t="n"/>
      <c r="AP3" s="2" t="n"/>
      <c r="AQ3" s="2" t="n"/>
      <c r="AR3" s="2" t="n"/>
      <c r="AS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  <c r="AO4" s="2" t="n"/>
      <c r="AP4" s="2" t="n"/>
      <c r="AQ4" s="2" t="n"/>
      <c r="AR4" s="2" t="n"/>
      <c r="AS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  <c r="AO5" s="2" t="n"/>
      <c r="AP5" s="2" t="n"/>
      <c r="AQ5" s="2" t="n"/>
      <c r="AR5" s="2" t="n"/>
      <c r="AS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  <c r="AO6" s="2" t="n"/>
      <c r="AP6" s="2" t="n"/>
      <c r="AQ6" s="2" t="n"/>
      <c r="AR6" s="2" t="n"/>
      <c r="AS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  <c r="AO7" s="2" t="n"/>
      <c r="AP7" s="2" t="n"/>
      <c r="AQ7" s="2" t="n"/>
      <c r="AR7" s="2" t="n"/>
      <c r="AS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  <c r="AO8" s="2" t="n"/>
      <c r="AP8" s="2" t="n"/>
      <c r="AQ8" s="2" t="n"/>
      <c r="AR8" s="2" t="n"/>
      <c r="AS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  <c r="AO9" s="2" t="n"/>
      <c r="AP9" s="2" t="n"/>
      <c r="AQ9" s="2" t="n"/>
      <c r="AR9" s="2" t="n"/>
      <c r="AS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  <c r="AO10" s="2" t="n"/>
      <c r="AP10" s="2" t="n"/>
      <c r="AQ10" s="2" t="n"/>
      <c r="AR10" s="2" t="n"/>
      <c r="AS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</row>
    <row r="12">
      <c r="A12" s="22" t="inlineStr">
        <is>
          <t>If this export carries an EXTRA leading 'Reference No' column shifting everything right by one, delete that column before pasting - see Control Sheet warning.</t>
        </is>
      </c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  <c r="AO12" s="2" t="n"/>
      <c r="AP12" s="2" t="n"/>
      <c r="AQ12" s="2" t="n"/>
      <c r="AR12" s="2" t="n"/>
      <c r="AS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  <c r="AO13" s="2" t="n"/>
      <c r="AP13" s="2" t="n"/>
      <c r="AQ13" s="2" t="n"/>
      <c r="AR13" s="2" t="n"/>
      <c r="AS13" s="2" t="n"/>
    </row>
    <row r="14" ht="22" customHeight="1">
      <c r="A14" s="14" t="inlineStr">
        <is>
          <t>Row</t>
        </is>
      </c>
      <c r="B14" s="14" t="inlineStr">
        <is>
          <t>Surname</t>
        </is>
      </c>
      <c r="C14" s="14" t="inlineStr">
        <is>
          <t>Forename</t>
        </is>
      </c>
      <c r="D14" s="14" t="inlineStr">
        <is>
          <t>Practice</t>
        </is>
      </c>
      <c r="E14" s="14" t="inlineStr">
        <is>
          <t>Department</t>
        </is>
      </c>
      <c r="F14" s="14" t="inlineStr">
        <is>
          <t>Cost Centre</t>
        </is>
      </c>
      <c r="G14" s="14" t="inlineStr">
        <is>
          <t>Payment Date</t>
        </is>
      </c>
      <c r="H14" s="14" t="inlineStr">
        <is>
          <t>Frequency</t>
        </is>
      </c>
      <c r="I14" s="14" t="inlineStr">
        <is>
          <t>Tax Code</t>
        </is>
      </c>
      <c r="J14" s="14" t="inlineStr">
        <is>
          <t>NI Category</t>
        </is>
      </c>
      <c r="K14" s="14" t="inlineStr">
        <is>
          <t>Total Gross</t>
        </is>
      </c>
      <c r="L14" s="14" t="inlineStr">
        <is>
          <t>Taxable Gross</t>
        </is>
      </c>
      <c r="M14" s="14" t="inlineStr">
        <is>
          <t>Pensionable Pay</t>
        </is>
      </c>
      <c r="N14" s="14" t="inlineStr">
        <is>
          <t>Hours Paid</t>
        </is>
      </c>
      <c r="O14" s="14" t="inlineStr">
        <is>
          <t>Net Pay After Rounding</t>
        </is>
      </c>
      <c r="P14" s="14" t="inlineStr">
        <is>
          <t>Employer NI</t>
        </is>
      </c>
      <c r="Q14" s="14" t="inlineStr">
        <is>
          <t>Employer Pension</t>
        </is>
      </c>
      <c r="R14" s="14" t="inlineStr">
        <is>
          <t>Apprenticeship Levy</t>
        </is>
      </c>
      <c r="S14" s="14" t="inlineStr">
        <is>
          <t>Basic Salary</t>
        </is>
      </c>
      <c r="T14" s="14" t="inlineStr">
        <is>
          <t>Overtime</t>
        </is>
      </c>
      <c r="U14" s="14" t="inlineStr">
        <is>
          <t>Bonus</t>
        </is>
      </c>
      <c r="V14" s="14" t="inlineStr">
        <is>
          <t>Mileage Expenses</t>
        </is>
      </c>
      <c r="W14" s="14" t="inlineStr">
        <is>
          <t>Other Expenses</t>
        </is>
      </c>
      <c r="X14" s="14" t="inlineStr">
        <is>
          <t>SMP</t>
        </is>
      </c>
      <c r="Y14" s="14" t="inlineStr">
        <is>
          <t>SSP</t>
        </is>
      </c>
      <c r="Z14" s="14" t="inlineStr">
        <is>
          <t>Pension Deduction</t>
        </is>
      </c>
      <c r="AA14" s="14" t="inlineStr">
        <is>
          <t>Student Loan</t>
        </is>
      </c>
      <c r="AB14" s="14" t="inlineStr">
        <is>
          <t>Attachment of Earnings</t>
        </is>
      </c>
      <c r="AC14" s="14" t="inlineStr">
        <is>
          <t>On Call Allowance</t>
        </is>
      </c>
      <c r="AD14" s="14" t="inlineStr">
        <is>
          <t>Unsocial Hours Premium</t>
        </is>
      </c>
      <c r="AE14" s="14" t="inlineStr">
        <is>
          <t>Reference No</t>
        </is>
      </c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  <c r="AO14" s="2" t="n"/>
      <c r="AP14" s="2" t="n"/>
      <c r="AQ14" s="2" t="n"/>
      <c r="AR14" s="2" t="n"/>
      <c r="AS14" s="2" t="n"/>
    </row>
    <row r="15">
      <c r="A15" s="11" t="n">
        <v>1</v>
      </c>
      <c r="B15" s="11" t="inlineStr">
        <is>
          <t>Surname434</t>
        </is>
      </c>
      <c r="C15" s="11" t="inlineStr">
        <is>
          <t>Forename434</t>
        </is>
      </c>
      <c r="D15" s="11" t="inlineStr">
        <is>
          <t>Riverside Dental Practice</t>
        </is>
      </c>
      <c r="E15" s="11" t="inlineStr">
        <is>
          <t>Clinical</t>
        </is>
      </c>
      <c r="F15" s="11" t="inlineStr">
        <is>
          <t>CC-RIV</t>
        </is>
      </c>
      <c r="G15" s="11" t="inlineStr">
        <is>
          <t>June 2026</t>
        </is>
      </c>
      <c r="H15" s="11" t="inlineStr">
        <is>
          <t>Monthly</t>
        </is>
      </c>
      <c r="I15" s="11" t="inlineStr">
        <is>
          <t>1257L</t>
        </is>
      </c>
      <c r="J15" s="11" t="inlineStr">
        <is>
          <t>A</t>
        </is>
      </c>
      <c r="K15" s="15" t="n">
        <v>2853.25</v>
      </c>
      <c r="L15" s="15" t="n">
        <v>2796.18</v>
      </c>
      <c r="M15" s="15" t="n">
        <v>2710.59</v>
      </c>
      <c r="N15" s="15" t="n">
        <v>207.0908333333333</v>
      </c>
      <c r="O15" s="15" t="n">
        <v>1840.81</v>
      </c>
      <c r="P15" s="15" t="n">
        <v>393.75</v>
      </c>
      <c r="Q15" s="15" t="n">
        <v>142.66</v>
      </c>
      <c r="R15" s="15" t="n">
        <v>14.27</v>
      </c>
      <c r="S15" s="15" t="n">
        <v>2485.09</v>
      </c>
      <c r="T15" s="15" t="n">
        <v>0</v>
      </c>
      <c r="U15" s="15" t="n">
        <v>0</v>
      </c>
      <c r="V15" s="15" t="n">
        <v>0</v>
      </c>
      <c r="W15" s="15" t="n">
        <v>0</v>
      </c>
      <c r="X15" s="15" t="n">
        <v>0</v>
      </c>
      <c r="Y15" s="15" t="n">
        <v>0</v>
      </c>
      <c r="Z15" s="15" t="n">
        <v>0</v>
      </c>
      <c r="AA15" s="15" t="n">
        <v>0</v>
      </c>
      <c r="AB15" s="15" t="n">
        <v>0</v>
      </c>
      <c r="AC15" s="15" t="n">
        <v>0</v>
      </c>
      <c r="AD15" s="15" t="n">
        <v>0</v>
      </c>
      <c r="AE15" s="11" t="inlineStr">
        <is>
          <t>P23434</t>
        </is>
      </c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  <c r="AO15" s="2" t="n"/>
      <c r="AP15" s="2" t="n"/>
      <c r="AQ15" s="2" t="n"/>
      <c r="AR15" s="2" t="n"/>
      <c r="AS15" s="2" t="n"/>
    </row>
    <row r="16">
      <c r="A16" s="11" t="n">
        <v>2</v>
      </c>
      <c r="B16" s="11" t="inlineStr">
        <is>
          <t>Surname280</t>
        </is>
      </c>
      <c r="C16" s="11" t="inlineStr">
        <is>
          <t>Forename280</t>
        </is>
      </c>
      <c r="D16" s="11" t="inlineStr">
        <is>
          <t>Hakim Group Head Office</t>
        </is>
      </c>
      <c r="E16" s="11" t="inlineStr">
        <is>
          <t>Support</t>
        </is>
      </c>
      <c r="F16" s="11" t="inlineStr">
        <is>
          <t>CC-HAK</t>
        </is>
      </c>
      <c r="G16" s="11" t="inlineStr">
        <is>
          <t>June 2026</t>
        </is>
      </c>
      <c r="H16" s="11" t="inlineStr">
        <is>
          <t>Monthly</t>
        </is>
      </c>
      <c r="I16" s="11" t="inlineStr">
        <is>
          <t>1257L</t>
        </is>
      </c>
      <c r="J16" s="11" t="inlineStr">
        <is>
          <t>A</t>
        </is>
      </c>
      <c r="K16" s="15" t="n">
        <v>3817.47</v>
      </c>
      <c r="L16" s="15" t="n">
        <v>3741.12</v>
      </c>
      <c r="M16" s="15" t="n">
        <v>3626.6</v>
      </c>
      <c r="N16" s="15" t="n">
        <v>277.075</v>
      </c>
      <c r="O16" s="15" t="n">
        <v>2462.89</v>
      </c>
      <c r="P16" s="15" t="n">
        <v>526.8099999999999</v>
      </c>
      <c r="Q16" s="15" t="n">
        <v>190.87</v>
      </c>
      <c r="R16" s="15" t="n">
        <v>19.09</v>
      </c>
      <c r="S16" s="15" t="n">
        <v>3324.9</v>
      </c>
      <c r="T16" s="15" t="n">
        <v>0</v>
      </c>
      <c r="U16" s="15" t="n">
        <v>0</v>
      </c>
      <c r="V16" s="15" t="n">
        <v>0</v>
      </c>
      <c r="W16" s="15" t="n">
        <v>0</v>
      </c>
      <c r="X16" s="15" t="n">
        <v>0</v>
      </c>
      <c r="Y16" s="15" t="n">
        <v>0</v>
      </c>
      <c r="Z16" s="15" t="n">
        <v>0</v>
      </c>
      <c r="AA16" s="15" t="n">
        <v>0</v>
      </c>
      <c r="AB16" s="15" t="n">
        <v>0</v>
      </c>
      <c r="AC16" s="15" t="n">
        <v>0</v>
      </c>
      <c r="AD16" s="15" t="n">
        <v>0</v>
      </c>
      <c r="AE16" s="11" t="inlineStr">
        <is>
          <t>P22280</t>
        </is>
      </c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  <c r="AO16" s="2" t="n"/>
      <c r="AP16" s="2" t="n"/>
      <c r="AQ16" s="2" t="n"/>
      <c r="AR16" s="2" t="n"/>
      <c r="AS16" s="2" t="n"/>
    </row>
    <row r="17">
      <c r="A17" s="11" t="n">
        <v>3</v>
      </c>
      <c r="B17" s="11" t="inlineStr">
        <is>
          <t>Surname426</t>
        </is>
      </c>
      <c r="C17" s="11" t="inlineStr">
        <is>
          <t>Forename426</t>
        </is>
      </c>
      <c r="D17" s="11" t="inlineStr">
        <is>
          <t>Kings Road Dental Practice</t>
        </is>
      </c>
      <c r="E17" s="11" t="inlineStr">
        <is>
          <t>Clinical</t>
        </is>
      </c>
      <c r="F17" s="11" t="inlineStr">
        <is>
          <t>CC-KIN</t>
        </is>
      </c>
      <c r="G17" s="11" t="inlineStr">
        <is>
          <t>June 2026</t>
        </is>
      </c>
      <c r="H17" s="11" t="inlineStr">
        <is>
          <t>Monthly</t>
        </is>
      </c>
      <c r="I17" s="11" t="inlineStr">
        <is>
          <t>1257L</t>
        </is>
      </c>
      <c r="J17" s="11" t="inlineStr">
        <is>
          <t>A</t>
        </is>
      </c>
      <c r="K17" s="15" t="n">
        <v>3735.87</v>
      </c>
      <c r="L17" s="15" t="n">
        <v>3661.15</v>
      </c>
      <c r="M17" s="15" t="n">
        <v>3549.08</v>
      </c>
      <c r="N17" s="15" t="n">
        <v>271.1525</v>
      </c>
      <c r="O17" s="15" t="n">
        <v>2410.24</v>
      </c>
      <c r="P17" s="15" t="n">
        <v>515.55</v>
      </c>
      <c r="Q17" s="15" t="n">
        <v>186.79</v>
      </c>
      <c r="R17" s="15" t="n">
        <v>18.68</v>
      </c>
      <c r="S17" s="15" t="n">
        <v>3253.83</v>
      </c>
      <c r="T17" s="15" t="n">
        <v>0</v>
      </c>
      <c r="U17" s="15" t="n">
        <v>0</v>
      </c>
      <c r="V17" s="15" t="n">
        <v>0</v>
      </c>
      <c r="W17" s="15" t="n">
        <v>0</v>
      </c>
      <c r="X17" s="15" t="n">
        <v>0</v>
      </c>
      <c r="Y17" s="15" t="n">
        <v>0</v>
      </c>
      <c r="Z17" s="15" t="n">
        <v>0</v>
      </c>
      <c r="AA17" s="15" t="n">
        <v>0</v>
      </c>
      <c r="AB17" s="15" t="n">
        <v>0</v>
      </c>
      <c r="AC17" s="15" t="n">
        <v>0</v>
      </c>
      <c r="AD17" s="15" t="n">
        <v>0</v>
      </c>
      <c r="AE17" s="11" t="inlineStr">
        <is>
          <t>P81426</t>
        </is>
      </c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  <c r="AO17" s="2" t="n"/>
      <c r="AP17" s="2" t="n"/>
      <c r="AQ17" s="2" t="n"/>
      <c r="AR17" s="2" t="n"/>
      <c r="AS17" s="2" t="n"/>
    </row>
    <row r="18">
      <c r="A18" s="11" t="n">
        <v>4</v>
      </c>
      <c r="B18" s="11" t="inlineStr">
        <is>
          <t>Surname926</t>
        </is>
      </c>
      <c r="C18" s="11" t="inlineStr">
        <is>
          <t>Forename926</t>
        </is>
      </c>
      <c r="D18" s="11" t="inlineStr">
        <is>
          <t>Oakfield Dental Practice</t>
        </is>
      </c>
      <c r="E18" s="11" t="inlineStr">
        <is>
          <t>Clinical</t>
        </is>
      </c>
      <c r="F18" s="11" t="inlineStr">
        <is>
          <t>CC-OAK</t>
        </is>
      </c>
      <c r="G18" s="11" t="inlineStr">
        <is>
          <t>June 2026</t>
        </is>
      </c>
      <c r="H18" s="11" t="inlineStr">
        <is>
          <t>Monthly</t>
        </is>
      </c>
      <c r="I18" s="11" t="inlineStr">
        <is>
          <t>1257L</t>
        </is>
      </c>
      <c r="J18" s="11" t="inlineStr">
        <is>
          <t>A</t>
        </is>
      </c>
      <c r="K18" s="15" t="n">
        <v>4428.31</v>
      </c>
      <c r="L18" s="15" t="n">
        <v>4339.74</v>
      </c>
      <c r="M18" s="15" t="n">
        <v>4206.89</v>
      </c>
      <c r="N18" s="15" t="n">
        <v>321.41</v>
      </c>
      <c r="O18" s="15" t="n">
        <v>2856.97</v>
      </c>
      <c r="P18" s="15" t="n">
        <v>611.11</v>
      </c>
      <c r="Q18" s="15" t="n">
        <v>221.42</v>
      </c>
      <c r="R18" s="15" t="n">
        <v>22.14</v>
      </c>
      <c r="S18" s="15" t="n">
        <v>3856.92</v>
      </c>
      <c r="T18" s="15" t="n">
        <v>0</v>
      </c>
      <c r="U18" s="15" t="n">
        <v>0</v>
      </c>
      <c r="V18" s="15" t="n">
        <v>0</v>
      </c>
      <c r="W18" s="15" t="n">
        <v>0</v>
      </c>
      <c r="X18" s="15" t="n">
        <v>0</v>
      </c>
      <c r="Y18" s="15" t="n">
        <v>0</v>
      </c>
      <c r="Z18" s="15" t="n">
        <v>0</v>
      </c>
      <c r="AA18" s="15" t="n">
        <v>0</v>
      </c>
      <c r="AB18" s="15" t="n">
        <v>0</v>
      </c>
      <c r="AC18" s="15" t="n">
        <v>0</v>
      </c>
      <c r="AD18" s="15" t="n">
        <v>0</v>
      </c>
      <c r="AE18" s="11" t="inlineStr">
        <is>
          <t>P30926</t>
        </is>
      </c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  <c r="AO18" s="2" t="n"/>
      <c r="AP18" s="2" t="n"/>
      <c r="AQ18" s="2" t="n"/>
      <c r="AR18" s="2" t="n"/>
      <c r="AS18" s="2" t="n"/>
    </row>
    <row r="19">
      <c r="A19" s="11" t="n">
        <v>5</v>
      </c>
      <c r="B19" s="11" t="inlineStr">
        <is>
          <t>Surname396</t>
        </is>
      </c>
      <c r="C19" s="11" t="inlineStr">
        <is>
          <t>Forename396</t>
        </is>
      </c>
      <c r="D19" s="11" t="inlineStr">
        <is>
          <t>Oakfield Dental Practice</t>
        </is>
      </c>
      <c r="E19" s="11" t="inlineStr">
        <is>
          <t>Clinical</t>
        </is>
      </c>
      <c r="F19" s="11" t="inlineStr">
        <is>
          <t>CC-OAK</t>
        </is>
      </c>
      <c r="G19" s="11" t="inlineStr">
        <is>
          <t>June 2026</t>
        </is>
      </c>
      <c r="H19" s="11" t="inlineStr">
        <is>
          <t>Monthly</t>
        </is>
      </c>
      <c r="I19" s="11" t="inlineStr">
        <is>
          <t>1257L</t>
        </is>
      </c>
      <c r="J19" s="11" t="inlineStr">
        <is>
          <t>A</t>
        </is>
      </c>
      <c r="K19" s="15" t="n">
        <v>2770.73</v>
      </c>
      <c r="L19" s="15" t="n">
        <v>2715.32</v>
      </c>
      <c r="M19" s="15" t="n">
        <v>2632.19</v>
      </c>
      <c r="N19" s="15" t="n">
        <v>201.1008333333333</v>
      </c>
      <c r="O19" s="15" t="n">
        <v>1787.56</v>
      </c>
      <c r="P19" s="15" t="n">
        <v>382.36</v>
      </c>
      <c r="Q19" s="15" t="n">
        <v>138.54</v>
      </c>
      <c r="R19" s="15" t="n">
        <v>13.85</v>
      </c>
      <c r="S19" s="15" t="n">
        <v>2413.21</v>
      </c>
      <c r="T19" s="15" t="n">
        <v>0</v>
      </c>
      <c r="U19" s="15" t="n">
        <v>0</v>
      </c>
      <c r="V19" s="15" t="n">
        <v>0</v>
      </c>
      <c r="W19" s="15" t="n">
        <v>0</v>
      </c>
      <c r="X19" s="15" t="n">
        <v>0</v>
      </c>
      <c r="Y19" s="15" t="n">
        <v>0</v>
      </c>
      <c r="Z19" s="15" t="n">
        <v>0</v>
      </c>
      <c r="AA19" s="15" t="n">
        <v>0</v>
      </c>
      <c r="AB19" s="15" t="n">
        <v>0</v>
      </c>
      <c r="AC19" s="15" t="n">
        <v>0</v>
      </c>
      <c r="AD19" s="15" t="n">
        <v>0</v>
      </c>
      <c r="AE19" s="11" t="inlineStr">
        <is>
          <t>P23396</t>
        </is>
      </c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  <c r="AO19" s="2" t="n"/>
      <c r="AP19" s="2" t="n"/>
      <c r="AQ19" s="2" t="n"/>
      <c r="AR19" s="2" t="n"/>
      <c r="AS19" s="2" t="n"/>
    </row>
    <row r="20">
      <c r="A20" s="11" t="n">
        <v>6</v>
      </c>
      <c r="B20" s="11" t="inlineStr">
        <is>
          <t>Surname695</t>
        </is>
      </c>
      <c r="C20" s="11" t="inlineStr">
        <is>
          <t>Forename695</t>
        </is>
      </c>
      <c r="D20" s="11" t="inlineStr">
        <is>
          <t>Riverside Dental Practice</t>
        </is>
      </c>
      <c r="E20" s="11" t="inlineStr">
        <is>
          <t>Clinical</t>
        </is>
      </c>
      <c r="F20" s="11" t="inlineStr">
        <is>
          <t>CC-RIV</t>
        </is>
      </c>
      <c r="G20" s="11" t="inlineStr">
        <is>
          <t>June 2026</t>
        </is>
      </c>
      <c r="H20" s="11" t="inlineStr">
        <is>
          <t>Monthly</t>
        </is>
      </c>
      <c r="I20" s="11" t="inlineStr">
        <is>
          <t>1257L</t>
        </is>
      </c>
      <c r="J20" s="11" t="inlineStr">
        <is>
          <t>A</t>
        </is>
      </c>
      <c r="K20" s="15" t="n">
        <v>4534.51</v>
      </c>
      <c r="L20" s="15" t="n">
        <v>4443.82</v>
      </c>
      <c r="M20" s="15" t="n">
        <v>4307.78</v>
      </c>
      <c r="N20" s="15" t="n">
        <v>329.1175</v>
      </c>
      <c r="O20" s="15" t="n">
        <v>2925.49</v>
      </c>
      <c r="P20" s="15" t="n">
        <v>625.76</v>
      </c>
      <c r="Q20" s="15" t="n">
        <v>226.73</v>
      </c>
      <c r="R20" s="15" t="n">
        <v>22.67</v>
      </c>
      <c r="S20" s="15" t="n">
        <v>3949.41</v>
      </c>
      <c r="T20" s="15" t="n">
        <v>0</v>
      </c>
      <c r="U20" s="15" t="n">
        <v>0</v>
      </c>
      <c r="V20" s="15" t="n">
        <v>0</v>
      </c>
      <c r="W20" s="15" t="n">
        <v>0</v>
      </c>
      <c r="X20" s="15" t="n">
        <v>0</v>
      </c>
      <c r="Y20" s="15" t="n">
        <v>0</v>
      </c>
      <c r="Z20" s="15" t="n">
        <v>0</v>
      </c>
      <c r="AA20" s="15" t="n">
        <v>0</v>
      </c>
      <c r="AB20" s="15" t="n">
        <v>0</v>
      </c>
      <c r="AC20" s="15" t="n">
        <v>0</v>
      </c>
      <c r="AD20" s="15" t="n">
        <v>0</v>
      </c>
      <c r="AE20" s="11" t="inlineStr">
        <is>
          <t>P15695</t>
        </is>
      </c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  <c r="AO20" s="2" t="n"/>
      <c r="AP20" s="2" t="n"/>
      <c r="AQ20" s="2" t="n"/>
      <c r="AR20" s="2" t="n"/>
      <c r="AS20" s="2" t="n"/>
    </row>
    <row r="21">
      <c r="A21" s="11" t="n">
        <v>7</v>
      </c>
      <c r="B21" s="11" t="inlineStr">
        <is>
          <t>Surname397</t>
        </is>
      </c>
      <c r="C21" s="11" t="inlineStr">
        <is>
          <t>Forename397</t>
        </is>
      </c>
      <c r="D21" s="11" t="inlineStr">
        <is>
          <t>Oakfield Dental Practice</t>
        </is>
      </c>
      <c r="E21" s="11" t="inlineStr">
        <is>
          <t>Support</t>
        </is>
      </c>
      <c r="F21" s="11" t="inlineStr">
        <is>
          <t>CC-OAK</t>
        </is>
      </c>
      <c r="G21" s="11" t="inlineStr">
        <is>
          <t>June 2026</t>
        </is>
      </c>
      <c r="H21" s="11" t="inlineStr">
        <is>
          <t>Monthly</t>
        </is>
      </c>
      <c r="I21" s="11" t="inlineStr">
        <is>
          <t>1257L</t>
        </is>
      </c>
      <c r="J21" s="11" t="inlineStr">
        <is>
          <t>A</t>
        </is>
      </c>
      <c r="K21" s="15" t="n">
        <v>2389.85</v>
      </c>
      <c r="L21" s="15" t="n">
        <v>2342.05</v>
      </c>
      <c r="M21" s="15" t="n">
        <v>2270.36</v>
      </c>
      <c r="N21" s="15" t="n">
        <v>173.4566666666667</v>
      </c>
      <c r="O21" s="15" t="n">
        <v>1541.84</v>
      </c>
      <c r="P21" s="15" t="n">
        <v>329.8</v>
      </c>
      <c r="Q21" s="15" t="n">
        <v>119.49</v>
      </c>
      <c r="R21" s="15" t="n">
        <v>11.95</v>
      </c>
      <c r="S21" s="15" t="n">
        <v>2081.48</v>
      </c>
      <c r="T21" s="15" t="n">
        <v>0</v>
      </c>
      <c r="U21" s="15" t="n">
        <v>0</v>
      </c>
      <c r="V21" s="15" t="n">
        <v>0</v>
      </c>
      <c r="W21" s="15" t="n">
        <v>0</v>
      </c>
      <c r="X21" s="15" t="n">
        <v>0</v>
      </c>
      <c r="Y21" s="15" t="n">
        <v>0</v>
      </c>
      <c r="Z21" s="15" t="n">
        <v>0</v>
      </c>
      <c r="AA21" s="15" t="n">
        <v>0</v>
      </c>
      <c r="AB21" s="15" t="n">
        <v>0</v>
      </c>
      <c r="AC21" s="15" t="n">
        <v>0</v>
      </c>
      <c r="AD21" s="15" t="n">
        <v>0</v>
      </c>
      <c r="AE21" s="11" t="inlineStr">
        <is>
          <t>P92397</t>
        </is>
      </c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  <c r="AO21" s="2" t="n"/>
      <c r="AP21" s="2" t="n"/>
      <c r="AQ21" s="2" t="n"/>
      <c r="AR21" s="2" t="n"/>
      <c r="AS21" s="2" t="n"/>
    </row>
    <row r="22">
      <c r="A22" s="11" t="n">
        <v>8</v>
      </c>
      <c r="B22" s="11" t="inlineStr">
        <is>
          <t>Surname006</t>
        </is>
      </c>
      <c r="C22" s="11" t="inlineStr">
        <is>
          <t>Forename006</t>
        </is>
      </c>
      <c r="D22" s="11" t="inlineStr">
        <is>
          <t>Hakim Group Head Office</t>
        </is>
      </c>
      <c r="E22" s="11" t="inlineStr">
        <is>
          <t>Support</t>
        </is>
      </c>
      <c r="F22" s="11" t="inlineStr">
        <is>
          <t>CC-HAK</t>
        </is>
      </c>
      <c r="G22" s="11" t="inlineStr">
        <is>
          <t>June 2026</t>
        </is>
      </c>
      <c r="H22" s="11" t="inlineStr">
        <is>
          <t>Monthly</t>
        </is>
      </c>
      <c r="I22" s="11" t="inlineStr">
        <is>
          <t>1257L</t>
        </is>
      </c>
      <c r="J22" s="11" t="inlineStr">
        <is>
          <t>A</t>
        </is>
      </c>
      <c r="K22" s="15" t="n">
        <v>3780.81</v>
      </c>
      <c r="L22" s="15" t="n">
        <v>3705.19</v>
      </c>
      <c r="M22" s="15" t="n">
        <v>3591.77</v>
      </c>
      <c r="N22" s="15" t="n">
        <v>274.4141666666666</v>
      </c>
      <c r="O22" s="15" t="n">
        <v>2439.23</v>
      </c>
      <c r="P22" s="15" t="n">
        <v>521.75</v>
      </c>
      <c r="Q22" s="15" t="n">
        <v>189.04</v>
      </c>
      <c r="R22" s="15" t="n">
        <v>18.9</v>
      </c>
      <c r="S22" s="15" t="n">
        <v>3292.97</v>
      </c>
      <c r="T22" s="15" t="n">
        <v>0</v>
      </c>
      <c r="U22" s="15" t="n">
        <v>0</v>
      </c>
      <c r="V22" s="15" t="n">
        <v>0</v>
      </c>
      <c r="W22" s="15" t="n">
        <v>0</v>
      </c>
      <c r="X22" s="15" t="n">
        <v>0</v>
      </c>
      <c r="Y22" s="15" t="n">
        <v>0</v>
      </c>
      <c r="Z22" s="15" t="n">
        <v>0</v>
      </c>
      <c r="AA22" s="15" t="n">
        <v>0</v>
      </c>
      <c r="AB22" s="15" t="n">
        <v>0</v>
      </c>
      <c r="AC22" s="15" t="n">
        <v>0</v>
      </c>
      <c r="AD22" s="15" t="n">
        <v>0</v>
      </c>
      <c r="AE22" s="11" t="inlineStr">
        <is>
          <t>P16006</t>
        </is>
      </c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  <c r="AO22" s="2" t="n"/>
      <c r="AP22" s="2" t="n"/>
      <c r="AQ22" s="2" t="n"/>
      <c r="AR22" s="2" t="n"/>
      <c r="AS22" s="2" t="n"/>
    </row>
    <row r="23">
      <c r="A23" s="11" t="n">
        <v>9</v>
      </c>
      <c r="B23" s="11" t="inlineStr">
        <is>
          <t>Surname823</t>
        </is>
      </c>
      <c r="C23" s="11" t="inlineStr">
        <is>
          <t>Forename823</t>
        </is>
      </c>
      <c r="D23" s="11" t="inlineStr">
        <is>
          <t>Kings Road Dental Practice</t>
        </is>
      </c>
      <c r="E23" s="11" t="inlineStr">
        <is>
          <t>Support</t>
        </is>
      </c>
      <c r="F23" s="11" t="inlineStr">
        <is>
          <t>CC-KIN</t>
        </is>
      </c>
      <c r="G23" s="11" t="inlineStr">
        <is>
          <t>June 2026</t>
        </is>
      </c>
      <c r="H23" s="11" t="inlineStr">
        <is>
          <t>Monthly</t>
        </is>
      </c>
      <c r="I23" s="11" t="inlineStr">
        <is>
          <t>1257L</t>
        </is>
      </c>
      <c r="J23" s="11" t="inlineStr">
        <is>
          <t>A</t>
        </is>
      </c>
      <c r="K23" s="15" t="n">
        <v>4556.34</v>
      </c>
      <c r="L23" s="15" t="n">
        <v>4465.21</v>
      </c>
      <c r="M23" s="15" t="n">
        <v>4328.52</v>
      </c>
      <c r="N23" s="15" t="n">
        <v>330.7016666666667</v>
      </c>
      <c r="O23" s="15" t="n">
        <v>2939.57</v>
      </c>
      <c r="P23" s="15" t="n">
        <v>628.77</v>
      </c>
      <c r="Q23" s="15" t="n">
        <v>227.82</v>
      </c>
      <c r="R23" s="15" t="n">
        <v>22.78</v>
      </c>
      <c r="S23" s="15" t="n">
        <v>3968.42</v>
      </c>
      <c r="T23" s="15" t="n">
        <v>0</v>
      </c>
      <c r="U23" s="15" t="n">
        <v>0</v>
      </c>
      <c r="V23" s="15" t="n">
        <v>0</v>
      </c>
      <c r="W23" s="15" t="n">
        <v>0</v>
      </c>
      <c r="X23" s="15" t="n">
        <v>0</v>
      </c>
      <c r="Y23" s="15" t="n">
        <v>0</v>
      </c>
      <c r="Z23" s="15" t="n">
        <v>0</v>
      </c>
      <c r="AA23" s="15" t="n">
        <v>0</v>
      </c>
      <c r="AB23" s="15" t="n">
        <v>0</v>
      </c>
      <c r="AC23" s="15" t="n">
        <v>0</v>
      </c>
      <c r="AD23" s="15" t="n">
        <v>0</v>
      </c>
      <c r="AE23" s="11" t="inlineStr">
        <is>
          <t>P59823</t>
        </is>
      </c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  <c r="AO23" s="2" t="n"/>
      <c r="AP23" s="2" t="n"/>
      <c r="AQ23" s="2" t="n"/>
      <c r="AR23" s="2" t="n"/>
      <c r="AS23" s="2" t="n"/>
    </row>
    <row r="24">
      <c r="A24" s="11" t="n">
        <v>10</v>
      </c>
      <c r="B24" s="11" t="inlineStr">
        <is>
          <t>Surname841</t>
        </is>
      </c>
      <c r="C24" s="11" t="inlineStr">
        <is>
          <t>Forename841</t>
        </is>
      </c>
      <c r="D24" s="11" t="inlineStr">
        <is>
          <t>Elm Park Dental Practice</t>
        </is>
      </c>
      <c r="E24" s="11" t="inlineStr">
        <is>
          <t>Support</t>
        </is>
      </c>
      <c r="F24" s="11" t="inlineStr">
        <is>
          <t>CC-ELM</t>
        </is>
      </c>
      <c r="G24" s="11" t="inlineStr">
        <is>
          <t>June 2026</t>
        </is>
      </c>
      <c r="H24" s="11" t="inlineStr">
        <is>
          <t>Monthly</t>
        </is>
      </c>
      <c r="I24" s="11" t="inlineStr">
        <is>
          <t>1257L</t>
        </is>
      </c>
      <c r="J24" s="11" t="inlineStr">
        <is>
          <t>A</t>
        </is>
      </c>
      <c r="K24" s="15" t="n">
        <v>2623.8</v>
      </c>
      <c r="L24" s="15" t="n">
        <v>2571.32</v>
      </c>
      <c r="M24" s="15" t="n">
        <v>2492.61</v>
      </c>
      <c r="N24" s="15" t="n">
        <v>190.4375</v>
      </c>
      <c r="O24" s="15" t="n">
        <v>1692.78</v>
      </c>
      <c r="P24" s="15" t="n">
        <v>362.08</v>
      </c>
      <c r="Q24" s="15" t="n">
        <v>131.19</v>
      </c>
      <c r="R24" s="15" t="n">
        <v>13.12</v>
      </c>
      <c r="S24" s="15" t="n">
        <v>2285.25</v>
      </c>
      <c r="T24" s="15" t="n">
        <v>0</v>
      </c>
      <c r="U24" s="15" t="n">
        <v>0</v>
      </c>
      <c r="V24" s="15" t="n">
        <v>0</v>
      </c>
      <c r="W24" s="15" t="n">
        <v>0</v>
      </c>
      <c r="X24" s="15" t="n">
        <v>0</v>
      </c>
      <c r="Y24" s="15" t="n">
        <v>0</v>
      </c>
      <c r="Z24" s="15" t="n">
        <v>0</v>
      </c>
      <c r="AA24" s="15" t="n">
        <v>0</v>
      </c>
      <c r="AB24" s="15" t="n">
        <v>0</v>
      </c>
      <c r="AC24" s="15" t="n">
        <v>0</v>
      </c>
      <c r="AD24" s="15" t="n">
        <v>0</v>
      </c>
      <c r="AE24" s="11" t="inlineStr">
        <is>
          <t>P97841</t>
        </is>
      </c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  <c r="AO24" s="2" t="n"/>
      <c r="AP24" s="2" t="n"/>
      <c r="AQ24" s="2" t="n"/>
      <c r="AR24" s="2" t="n"/>
      <c r="AS24" s="2" t="n"/>
    </row>
    <row r="25">
      <c r="A25" s="11" t="n">
        <v>11</v>
      </c>
      <c r="B25" s="11" t="inlineStr">
        <is>
          <t>Surname431</t>
        </is>
      </c>
      <c r="C25" s="11" t="inlineStr">
        <is>
          <t>Forename431</t>
        </is>
      </c>
      <c r="D25" s="11" t="inlineStr">
        <is>
          <t>Elm Park Dental Practice</t>
        </is>
      </c>
      <c r="E25" s="11" t="inlineStr">
        <is>
          <t>Support</t>
        </is>
      </c>
      <c r="F25" s="11" t="inlineStr">
        <is>
          <t>CC-ELM</t>
        </is>
      </c>
      <c r="G25" s="11" t="inlineStr">
        <is>
          <t>June 2026</t>
        </is>
      </c>
      <c r="H25" s="11" t="inlineStr">
        <is>
          <t>Monthly</t>
        </is>
      </c>
      <c r="I25" s="11" t="inlineStr">
        <is>
          <t>1257L</t>
        </is>
      </c>
      <c r="J25" s="11" t="inlineStr">
        <is>
          <t>A</t>
        </is>
      </c>
      <c r="K25" s="15" t="n">
        <v>3978.02</v>
      </c>
      <c r="L25" s="15" t="n">
        <v>3898.46</v>
      </c>
      <c r="M25" s="15" t="n">
        <v>3779.12</v>
      </c>
      <c r="N25" s="15" t="n">
        <v>288.7275</v>
      </c>
      <c r="O25" s="15" t="n">
        <v>2566.46</v>
      </c>
      <c r="P25" s="15" t="n">
        <v>548.97</v>
      </c>
      <c r="Q25" s="15" t="n">
        <v>198.9</v>
      </c>
      <c r="R25" s="15" t="n">
        <v>19.89</v>
      </c>
      <c r="S25" s="15" t="n">
        <v>3464.73</v>
      </c>
      <c r="T25" s="15" t="n">
        <v>0</v>
      </c>
      <c r="U25" s="15" t="n">
        <v>0</v>
      </c>
      <c r="V25" s="15" t="n">
        <v>0</v>
      </c>
      <c r="W25" s="15" t="n">
        <v>0</v>
      </c>
      <c r="X25" s="15" t="n">
        <v>0</v>
      </c>
      <c r="Y25" s="15" t="n">
        <v>0</v>
      </c>
      <c r="Z25" s="15" t="n">
        <v>0</v>
      </c>
      <c r="AA25" s="15" t="n">
        <v>0</v>
      </c>
      <c r="AB25" s="15" t="n">
        <v>0</v>
      </c>
      <c r="AC25" s="15" t="n">
        <v>0</v>
      </c>
      <c r="AD25" s="15" t="n">
        <v>0</v>
      </c>
      <c r="AE25" s="11" t="inlineStr">
        <is>
          <t>P32431</t>
        </is>
      </c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  <c r="AO25" s="2" t="n"/>
      <c r="AP25" s="2" t="n"/>
      <c r="AQ25" s="2" t="n"/>
      <c r="AR25" s="2" t="n"/>
      <c r="AS25" s="2" t="n"/>
    </row>
    <row r="26">
      <c r="A26" s="11" t="n">
        <v>12</v>
      </c>
      <c r="B26" s="11" t="inlineStr">
        <is>
          <t>Surname886</t>
        </is>
      </c>
      <c r="C26" s="11" t="inlineStr">
        <is>
          <t>Forename886</t>
        </is>
      </c>
      <c r="D26" s="11" t="inlineStr">
        <is>
          <t>Hakim Group Head Office</t>
        </is>
      </c>
      <c r="E26" s="11" t="inlineStr">
        <is>
          <t>Support</t>
        </is>
      </c>
      <c r="F26" s="11" t="inlineStr">
        <is>
          <t>CC-HAK</t>
        </is>
      </c>
      <c r="G26" s="11" t="inlineStr">
        <is>
          <t>June 2026</t>
        </is>
      </c>
      <c r="H26" s="11" t="inlineStr">
        <is>
          <t>Monthly</t>
        </is>
      </c>
      <c r="I26" s="11" t="inlineStr">
        <is>
          <t>1257L</t>
        </is>
      </c>
      <c r="J26" s="11" t="inlineStr">
        <is>
          <t>A</t>
        </is>
      </c>
      <c r="K26" s="15" t="n">
        <v>2625.89</v>
      </c>
      <c r="L26" s="15" t="n">
        <v>2573.37</v>
      </c>
      <c r="M26" s="15" t="n">
        <v>2494.6</v>
      </c>
      <c r="N26" s="15" t="n">
        <v>190.5891666666667</v>
      </c>
      <c r="O26" s="15" t="n">
        <v>1694.12</v>
      </c>
      <c r="P26" s="15" t="n">
        <v>362.37</v>
      </c>
      <c r="Q26" s="15" t="n">
        <v>131.29</v>
      </c>
      <c r="R26" s="15" t="n">
        <v>13.13</v>
      </c>
      <c r="S26" s="15" t="n">
        <v>2287.07</v>
      </c>
      <c r="T26" s="15" t="n">
        <v>0</v>
      </c>
      <c r="U26" s="15" t="n">
        <v>0</v>
      </c>
      <c r="V26" s="15" t="n">
        <v>0</v>
      </c>
      <c r="W26" s="15" t="n">
        <v>0</v>
      </c>
      <c r="X26" s="15" t="n">
        <v>0</v>
      </c>
      <c r="Y26" s="15" t="n">
        <v>0</v>
      </c>
      <c r="Z26" s="15" t="n">
        <v>0</v>
      </c>
      <c r="AA26" s="15" t="n">
        <v>0</v>
      </c>
      <c r="AB26" s="15" t="n">
        <v>0</v>
      </c>
      <c r="AC26" s="15" t="n">
        <v>0</v>
      </c>
      <c r="AD26" s="15" t="n">
        <v>0</v>
      </c>
      <c r="AE26" s="11" t="inlineStr">
        <is>
          <t>P93886</t>
        </is>
      </c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  <c r="AO26" s="2" t="n"/>
      <c r="AP26" s="2" t="n"/>
      <c r="AQ26" s="2" t="n"/>
      <c r="AR26" s="2" t="n"/>
      <c r="AS26" s="2" t="n"/>
    </row>
    <row r="27">
      <c r="A27" s="11" t="n">
        <v>13</v>
      </c>
      <c r="B27" s="11" t="inlineStr">
        <is>
          <t>Surname331</t>
        </is>
      </c>
      <c r="C27" s="11" t="inlineStr">
        <is>
          <t>Forename331</t>
        </is>
      </c>
      <c r="D27" s="11" t="inlineStr">
        <is>
          <t>Hakim Group Head Office</t>
        </is>
      </c>
      <c r="E27" s="11" t="inlineStr">
        <is>
          <t>Support</t>
        </is>
      </c>
      <c r="F27" s="11" t="inlineStr">
        <is>
          <t>CC-HAK</t>
        </is>
      </c>
      <c r="G27" s="11" t="inlineStr">
        <is>
          <t>June 2026</t>
        </is>
      </c>
      <c r="H27" s="11" t="inlineStr">
        <is>
          <t>Monthly</t>
        </is>
      </c>
      <c r="I27" s="11" t="inlineStr">
        <is>
          <t>1257L</t>
        </is>
      </c>
      <c r="J27" s="11" t="inlineStr">
        <is>
          <t>A</t>
        </is>
      </c>
      <c r="K27" s="15" t="n">
        <v>4080.07</v>
      </c>
      <c r="L27" s="15" t="n">
        <v>3998.47</v>
      </c>
      <c r="M27" s="15" t="n">
        <v>3876.07</v>
      </c>
      <c r="N27" s="15" t="n">
        <v>296.1341666666667</v>
      </c>
      <c r="O27" s="15" t="n">
        <v>2632.31</v>
      </c>
      <c r="P27" s="15" t="n">
        <v>563.05</v>
      </c>
      <c r="Q27" s="15" t="n">
        <v>204</v>
      </c>
      <c r="R27" s="15" t="n">
        <v>20.4</v>
      </c>
      <c r="S27" s="15" t="n">
        <v>3553.61</v>
      </c>
      <c r="T27" s="15" t="n">
        <v>0</v>
      </c>
      <c r="U27" s="15" t="n">
        <v>0</v>
      </c>
      <c r="V27" s="15" t="n">
        <v>0</v>
      </c>
      <c r="W27" s="15" t="n">
        <v>0</v>
      </c>
      <c r="X27" s="15" t="n">
        <v>0</v>
      </c>
      <c r="Y27" s="15" t="n">
        <v>0</v>
      </c>
      <c r="Z27" s="15" t="n">
        <v>0</v>
      </c>
      <c r="AA27" s="15" t="n">
        <v>0</v>
      </c>
      <c r="AB27" s="15" t="n">
        <v>0</v>
      </c>
      <c r="AC27" s="15" t="n">
        <v>0</v>
      </c>
      <c r="AD27" s="15" t="n">
        <v>0</v>
      </c>
      <c r="AE27" s="11" t="inlineStr">
        <is>
          <t>P17331</t>
        </is>
      </c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  <c r="AO27" s="2" t="n"/>
      <c r="AP27" s="2" t="n"/>
      <c r="AQ27" s="2" t="n"/>
      <c r="AR27" s="2" t="n"/>
      <c r="AS27" s="2" t="n"/>
    </row>
    <row r="28">
      <c r="A28" s="11" t="n">
        <v>14</v>
      </c>
      <c r="B28" s="11" t="inlineStr">
        <is>
          <t>Surname341</t>
        </is>
      </c>
      <c r="C28" s="11" t="inlineStr">
        <is>
          <t>Forename341</t>
        </is>
      </c>
      <c r="D28" s="11" t="inlineStr">
        <is>
          <t>Kings Road Dental Practice</t>
        </is>
      </c>
      <c r="E28" s="11" t="inlineStr">
        <is>
          <t>Support</t>
        </is>
      </c>
      <c r="F28" s="11" t="inlineStr">
        <is>
          <t>CC-KIN</t>
        </is>
      </c>
      <c r="G28" s="11" t="inlineStr">
        <is>
          <t>June 2026</t>
        </is>
      </c>
      <c r="H28" s="11" t="inlineStr">
        <is>
          <t>Monthly</t>
        </is>
      </c>
      <c r="I28" s="11" t="inlineStr">
        <is>
          <t>1257L</t>
        </is>
      </c>
      <c r="J28" s="11" t="inlineStr">
        <is>
          <t>A</t>
        </is>
      </c>
      <c r="K28" s="15" t="n">
        <v>3289.25</v>
      </c>
      <c r="L28" s="15" t="n">
        <v>3223.47</v>
      </c>
      <c r="M28" s="15" t="n">
        <v>3124.79</v>
      </c>
      <c r="N28" s="15" t="n">
        <v>238.7358333333333</v>
      </c>
      <c r="O28" s="15" t="n">
        <v>2122.1</v>
      </c>
      <c r="P28" s="15" t="n">
        <v>453.92</v>
      </c>
      <c r="Q28" s="15" t="n">
        <v>164.46</v>
      </c>
      <c r="R28" s="15" t="n">
        <v>16.45</v>
      </c>
      <c r="S28" s="15" t="n">
        <v>2864.83</v>
      </c>
      <c r="T28" s="15" t="n">
        <v>0</v>
      </c>
      <c r="U28" s="15" t="n">
        <v>0</v>
      </c>
      <c r="V28" s="15" t="n">
        <v>0</v>
      </c>
      <c r="W28" s="15" t="n">
        <v>0</v>
      </c>
      <c r="X28" s="15" t="n">
        <v>0</v>
      </c>
      <c r="Y28" s="15" t="n">
        <v>0</v>
      </c>
      <c r="Z28" s="15" t="n">
        <v>0</v>
      </c>
      <c r="AA28" s="15" t="n">
        <v>0</v>
      </c>
      <c r="AB28" s="15" t="n">
        <v>0</v>
      </c>
      <c r="AC28" s="15" t="n">
        <v>0</v>
      </c>
      <c r="AD28" s="15" t="n">
        <v>0</v>
      </c>
      <c r="AE28" s="11" t="inlineStr">
        <is>
          <t>P84341</t>
        </is>
      </c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  <c r="AO28" s="2" t="n"/>
      <c r="AP28" s="2" t="n"/>
      <c r="AQ28" s="2" t="n"/>
      <c r="AR28" s="2" t="n"/>
      <c r="AS28" s="2" t="n"/>
    </row>
    <row r="29">
      <c r="A29" s="11" t="n">
        <v>15</v>
      </c>
      <c r="B29" s="11" t="inlineStr">
        <is>
          <t>Surname142</t>
        </is>
      </c>
      <c r="C29" s="11" t="inlineStr">
        <is>
          <t>Forename142</t>
        </is>
      </c>
      <c r="D29" s="11" t="inlineStr">
        <is>
          <t>Elm Park Dental Practice</t>
        </is>
      </c>
      <c r="E29" s="11" t="inlineStr">
        <is>
          <t>Clinical</t>
        </is>
      </c>
      <c r="F29" s="11" t="inlineStr">
        <is>
          <t>CC-ELM</t>
        </is>
      </c>
      <c r="G29" s="11" t="inlineStr">
        <is>
          <t>June 2026</t>
        </is>
      </c>
      <c r="H29" s="11" t="inlineStr">
        <is>
          <t>Monthly</t>
        </is>
      </c>
      <c r="I29" s="11" t="inlineStr">
        <is>
          <t>1257L</t>
        </is>
      </c>
      <c r="J29" s="11" t="inlineStr">
        <is>
          <t>A</t>
        </is>
      </c>
      <c r="K29" s="15" t="n">
        <v>3273.81</v>
      </c>
      <c r="L29" s="15" t="n">
        <v>3208.33</v>
      </c>
      <c r="M29" s="15" t="n">
        <v>3110.12</v>
      </c>
      <c r="N29" s="15" t="n">
        <v>237.6158333333333</v>
      </c>
      <c r="O29" s="15" t="n">
        <v>2112.14</v>
      </c>
      <c r="P29" s="15" t="n">
        <v>451.79</v>
      </c>
      <c r="Q29" s="15" t="n">
        <v>163.69</v>
      </c>
      <c r="R29" s="15" t="n">
        <v>16.37</v>
      </c>
      <c r="S29" s="15" t="n">
        <v>2851.39</v>
      </c>
      <c r="T29" s="15" t="n">
        <v>0</v>
      </c>
      <c r="U29" s="15" t="n">
        <v>0</v>
      </c>
      <c r="V29" s="15" t="n">
        <v>0</v>
      </c>
      <c r="W29" s="15" t="n">
        <v>0</v>
      </c>
      <c r="X29" s="15" t="n">
        <v>0</v>
      </c>
      <c r="Y29" s="15" t="n">
        <v>0</v>
      </c>
      <c r="Z29" s="15" t="n">
        <v>0</v>
      </c>
      <c r="AA29" s="15" t="n">
        <v>0</v>
      </c>
      <c r="AB29" s="15" t="n">
        <v>0</v>
      </c>
      <c r="AC29" s="15" t="n">
        <v>0</v>
      </c>
      <c r="AD29" s="15" t="n">
        <v>0</v>
      </c>
      <c r="AE29" s="11" t="inlineStr">
        <is>
          <t>P70142</t>
        </is>
      </c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  <c r="AO29" s="2" t="n"/>
      <c r="AP29" s="2" t="n"/>
      <c r="AQ29" s="2" t="n"/>
      <c r="AR29" s="2" t="n"/>
      <c r="AS29" s="2" t="n"/>
    </row>
    <row r="30">
      <c r="A30" s="11" t="n">
        <v>16</v>
      </c>
      <c r="B30" s="11" t="inlineStr">
        <is>
          <t>Surname622</t>
        </is>
      </c>
      <c r="C30" s="11" t="inlineStr">
        <is>
          <t>Forename622</t>
        </is>
      </c>
      <c r="D30" s="11" t="inlineStr">
        <is>
          <t>Kings Road Dental Practice</t>
        </is>
      </c>
      <c r="E30" s="11" t="inlineStr">
        <is>
          <t>Clinical</t>
        </is>
      </c>
      <c r="F30" s="11" t="inlineStr">
        <is>
          <t>CC-KIN</t>
        </is>
      </c>
      <c r="G30" s="11" t="inlineStr">
        <is>
          <t>June 2026</t>
        </is>
      </c>
      <c r="H30" s="11" t="inlineStr">
        <is>
          <t>Monthly</t>
        </is>
      </c>
      <c r="I30" s="11" t="inlineStr">
        <is>
          <t>1257L</t>
        </is>
      </c>
      <c r="J30" s="11" t="inlineStr">
        <is>
          <t>A</t>
        </is>
      </c>
      <c r="K30" s="15" t="n">
        <v>4248.52</v>
      </c>
      <c r="L30" s="15" t="n">
        <v>4163.55</v>
      </c>
      <c r="M30" s="15" t="n">
        <v>4036.09</v>
      </c>
      <c r="N30" s="15" t="n">
        <v>308.36</v>
      </c>
      <c r="O30" s="15" t="n">
        <v>2740.98</v>
      </c>
      <c r="P30" s="15" t="n">
        <v>586.3</v>
      </c>
      <c r="Q30" s="15" t="n">
        <v>212.43</v>
      </c>
      <c r="R30" s="15" t="n">
        <v>21.24</v>
      </c>
      <c r="S30" s="15" t="n">
        <v>3700.32</v>
      </c>
      <c r="T30" s="15" t="n">
        <v>0</v>
      </c>
      <c r="U30" s="15" t="n">
        <v>0</v>
      </c>
      <c r="V30" s="15" t="n">
        <v>0</v>
      </c>
      <c r="W30" s="15" t="n">
        <v>0</v>
      </c>
      <c r="X30" s="15" t="n">
        <v>0</v>
      </c>
      <c r="Y30" s="15" t="n">
        <v>0</v>
      </c>
      <c r="Z30" s="15" t="n">
        <v>0</v>
      </c>
      <c r="AA30" s="15" t="n">
        <v>0</v>
      </c>
      <c r="AB30" s="15" t="n">
        <v>0</v>
      </c>
      <c r="AC30" s="15" t="n">
        <v>0</v>
      </c>
      <c r="AD30" s="15" t="n">
        <v>0</v>
      </c>
      <c r="AE30" s="11" t="inlineStr">
        <is>
          <t>P86622</t>
        </is>
      </c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  <c r="AO30" s="2" t="n"/>
      <c r="AP30" s="2" t="n"/>
      <c r="AQ30" s="2" t="n"/>
      <c r="AR30" s="2" t="n"/>
      <c r="AS30" s="2" t="n"/>
    </row>
    <row r="31">
      <c r="A31" s="11" t="n">
        <v>17</v>
      </c>
      <c r="B31" s="11" t="inlineStr">
        <is>
          <t>Surname131</t>
        </is>
      </c>
      <c r="C31" s="11" t="inlineStr">
        <is>
          <t>Forename131</t>
        </is>
      </c>
      <c r="D31" s="11" t="inlineStr">
        <is>
          <t>Oakfield Dental Practice</t>
        </is>
      </c>
      <c r="E31" s="11" t="inlineStr">
        <is>
          <t>Support</t>
        </is>
      </c>
      <c r="F31" s="11" t="inlineStr">
        <is>
          <t>CC-OAK</t>
        </is>
      </c>
      <c r="G31" s="11" t="inlineStr">
        <is>
          <t>June 2026</t>
        </is>
      </c>
      <c r="H31" s="11" t="inlineStr">
        <is>
          <t>Monthly</t>
        </is>
      </c>
      <c r="I31" s="11" t="inlineStr">
        <is>
          <t>1257L</t>
        </is>
      </c>
      <c r="J31" s="11" t="inlineStr">
        <is>
          <t>A</t>
        </is>
      </c>
      <c r="K31" s="15" t="n">
        <v>3179.97</v>
      </c>
      <c r="L31" s="15" t="n">
        <v>3116.37</v>
      </c>
      <c r="M31" s="15" t="n">
        <v>3020.97</v>
      </c>
      <c r="N31" s="15" t="n">
        <v>230.8041666666667</v>
      </c>
      <c r="O31" s="15" t="n">
        <v>2051.59</v>
      </c>
      <c r="P31" s="15" t="n">
        <v>438.84</v>
      </c>
      <c r="Q31" s="15" t="n">
        <v>159</v>
      </c>
      <c r="R31" s="15" t="n">
        <v>15.9</v>
      </c>
      <c r="S31" s="15" t="n">
        <v>2769.65</v>
      </c>
      <c r="T31" s="15" t="n">
        <v>0</v>
      </c>
      <c r="U31" s="15" t="n">
        <v>0</v>
      </c>
      <c r="V31" s="15" t="n">
        <v>0</v>
      </c>
      <c r="W31" s="15" t="n">
        <v>0</v>
      </c>
      <c r="X31" s="15" t="n">
        <v>0</v>
      </c>
      <c r="Y31" s="15" t="n">
        <v>0</v>
      </c>
      <c r="Z31" s="15" t="n">
        <v>0</v>
      </c>
      <c r="AA31" s="15" t="n">
        <v>0</v>
      </c>
      <c r="AB31" s="15" t="n">
        <v>0</v>
      </c>
      <c r="AC31" s="15" t="n">
        <v>0</v>
      </c>
      <c r="AD31" s="15" t="n">
        <v>0</v>
      </c>
      <c r="AE31" s="11" t="inlineStr">
        <is>
          <t>P28131</t>
        </is>
      </c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  <c r="AO31" s="2" t="n"/>
      <c r="AP31" s="2" t="n"/>
      <c r="AQ31" s="2" t="n"/>
      <c r="AR31" s="2" t="n"/>
      <c r="AS31" s="2" t="n"/>
    </row>
    <row r="32">
      <c r="A32" s="11" t="n">
        <v>18</v>
      </c>
      <c r="B32" s="11" t="inlineStr">
        <is>
          <t>Surname371</t>
        </is>
      </c>
      <c r="C32" s="11" t="inlineStr">
        <is>
          <t>Forename371</t>
        </is>
      </c>
      <c r="D32" s="11" t="inlineStr">
        <is>
          <t>Hakim Group Head Office</t>
        </is>
      </c>
      <c r="E32" s="11" t="inlineStr">
        <is>
          <t>Support</t>
        </is>
      </c>
      <c r="F32" s="11" t="inlineStr">
        <is>
          <t>CC-HAK</t>
        </is>
      </c>
      <c r="G32" s="11" t="inlineStr">
        <is>
          <t>June 2026</t>
        </is>
      </c>
      <c r="H32" s="11" t="inlineStr">
        <is>
          <t>Monthly</t>
        </is>
      </c>
      <c r="I32" s="11" t="inlineStr">
        <is>
          <t>1257L</t>
        </is>
      </c>
      <c r="J32" s="11" t="inlineStr">
        <is>
          <t>A</t>
        </is>
      </c>
      <c r="K32" s="15" t="n">
        <v>2423.64</v>
      </c>
      <c r="L32" s="15" t="n">
        <v>2375.17</v>
      </c>
      <c r="M32" s="15" t="n">
        <v>2302.46</v>
      </c>
      <c r="N32" s="15" t="n">
        <v>175.9091666666667</v>
      </c>
      <c r="O32" s="15" t="n">
        <v>1563.64</v>
      </c>
      <c r="P32" s="15" t="n">
        <v>334.46</v>
      </c>
      <c r="Q32" s="15" t="n">
        <v>121.18</v>
      </c>
      <c r="R32" s="15" t="n">
        <v>12.12</v>
      </c>
      <c r="S32" s="15" t="n">
        <v>2110.91</v>
      </c>
      <c r="T32" s="15" t="n">
        <v>0</v>
      </c>
      <c r="U32" s="15" t="n">
        <v>0</v>
      </c>
      <c r="V32" s="15" t="n">
        <v>0</v>
      </c>
      <c r="W32" s="15" t="n">
        <v>0</v>
      </c>
      <c r="X32" s="15" t="n">
        <v>0</v>
      </c>
      <c r="Y32" s="15" t="n">
        <v>0</v>
      </c>
      <c r="Z32" s="15" t="n">
        <v>0</v>
      </c>
      <c r="AA32" s="15" t="n">
        <v>0</v>
      </c>
      <c r="AB32" s="15" t="n">
        <v>0</v>
      </c>
      <c r="AC32" s="15" t="n">
        <v>0</v>
      </c>
      <c r="AD32" s="15" t="n">
        <v>0</v>
      </c>
      <c r="AE32" s="11" t="inlineStr">
        <is>
          <t>P24371</t>
        </is>
      </c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  <c r="AO32" s="2" t="n"/>
      <c r="AP32" s="2" t="n"/>
      <c r="AQ32" s="2" t="n"/>
      <c r="AR32" s="2" t="n"/>
      <c r="AS32" s="2" t="n"/>
    </row>
    <row r="33">
      <c r="A33" s="11" t="n">
        <v>19</v>
      </c>
      <c r="B33" s="11" t="inlineStr">
        <is>
          <t>Surname019</t>
        </is>
      </c>
      <c r="C33" s="11" t="inlineStr">
        <is>
          <t>Forename019</t>
        </is>
      </c>
      <c r="D33" s="11" t="inlineStr">
        <is>
          <t>Kings Road Dental Practice</t>
        </is>
      </c>
      <c r="E33" s="11" t="inlineStr">
        <is>
          <t>Support</t>
        </is>
      </c>
      <c r="F33" s="11" t="inlineStr">
        <is>
          <t>CC-KIN</t>
        </is>
      </c>
      <c r="G33" s="11" t="inlineStr">
        <is>
          <t>June 2026</t>
        </is>
      </c>
      <c r="H33" s="11" t="inlineStr">
        <is>
          <t>Monthly</t>
        </is>
      </c>
      <c r="I33" s="11" t="inlineStr">
        <is>
          <t>1257L</t>
        </is>
      </c>
      <c r="J33" s="11" t="inlineStr">
        <is>
          <t>A</t>
        </is>
      </c>
      <c r="K33" s="15" t="n">
        <v>3347.83</v>
      </c>
      <c r="L33" s="15" t="n">
        <v>3280.87</v>
      </c>
      <c r="M33" s="15" t="n">
        <v>3180.44</v>
      </c>
      <c r="N33" s="15" t="n">
        <v>242.9875</v>
      </c>
      <c r="O33" s="15" t="n">
        <v>2159.89</v>
      </c>
      <c r="P33" s="15" t="n">
        <v>462</v>
      </c>
      <c r="Q33" s="15" t="n">
        <v>167.39</v>
      </c>
      <c r="R33" s="15" t="n">
        <v>16.74</v>
      </c>
      <c r="S33" s="15" t="n">
        <v>2915.85</v>
      </c>
      <c r="T33" s="15" t="n">
        <v>0</v>
      </c>
      <c r="U33" s="15" t="n">
        <v>0</v>
      </c>
      <c r="V33" s="15" t="n">
        <v>0</v>
      </c>
      <c r="W33" s="15" t="n">
        <v>0</v>
      </c>
      <c r="X33" s="15" t="n">
        <v>0</v>
      </c>
      <c r="Y33" s="15" t="n">
        <v>0</v>
      </c>
      <c r="Z33" s="15" t="n">
        <v>0</v>
      </c>
      <c r="AA33" s="15" t="n">
        <v>0</v>
      </c>
      <c r="AB33" s="15" t="n">
        <v>0</v>
      </c>
      <c r="AC33" s="15" t="n">
        <v>0</v>
      </c>
      <c r="AD33" s="15" t="n">
        <v>0</v>
      </c>
      <c r="AE33" s="11" t="inlineStr">
        <is>
          <t>P60019</t>
        </is>
      </c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  <c r="AO33" s="2" t="n"/>
      <c r="AP33" s="2" t="n"/>
      <c r="AQ33" s="2" t="n"/>
      <c r="AR33" s="2" t="n"/>
      <c r="AS33" s="2" t="n"/>
    </row>
    <row r="34">
      <c r="A34" s="11" t="n">
        <v>20</v>
      </c>
      <c r="B34" s="11" t="inlineStr">
        <is>
          <t>Surname504</t>
        </is>
      </c>
      <c r="C34" s="11" t="inlineStr">
        <is>
          <t>Forename504</t>
        </is>
      </c>
      <c r="D34" s="11" t="inlineStr">
        <is>
          <t>Hakim Group Head Office</t>
        </is>
      </c>
      <c r="E34" s="11" t="inlineStr">
        <is>
          <t>Support</t>
        </is>
      </c>
      <c r="F34" s="11" t="inlineStr">
        <is>
          <t>CC-HAK</t>
        </is>
      </c>
      <c r="G34" s="11" t="inlineStr">
        <is>
          <t>June 2026</t>
        </is>
      </c>
      <c r="H34" s="11" t="inlineStr">
        <is>
          <t>Monthly</t>
        </is>
      </c>
      <c r="I34" s="11" t="inlineStr">
        <is>
          <t>1257L</t>
        </is>
      </c>
      <c r="J34" s="11" t="inlineStr">
        <is>
          <t>A</t>
        </is>
      </c>
      <c r="K34" s="15" t="n">
        <v>3646.23</v>
      </c>
      <c r="L34" s="15" t="n">
        <v>3573.31</v>
      </c>
      <c r="M34" s="15" t="n">
        <v>3463.92</v>
      </c>
      <c r="N34" s="15" t="n">
        <v>264.6458333333333</v>
      </c>
      <c r="O34" s="15" t="n">
        <v>2352.41</v>
      </c>
      <c r="P34" s="15" t="n">
        <v>503.18</v>
      </c>
      <c r="Q34" s="15" t="n">
        <v>182.31</v>
      </c>
      <c r="R34" s="15" t="n">
        <v>18.23</v>
      </c>
      <c r="S34" s="15" t="n">
        <v>3175.75</v>
      </c>
      <c r="T34" s="15" t="n">
        <v>0</v>
      </c>
      <c r="U34" s="15" t="n">
        <v>0</v>
      </c>
      <c r="V34" s="15" t="n">
        <v>0</v>
      </c>
      <c r="W34" s="15" t="n">
        <v>0</v>
      </c>
      <c r="X34" s="15" t="n">
        <v>0</v>
      </c>
      <c r="Y34" s="15" t="n">
        <v>0</v>
      </c>
      <c r="Z34" s="15" t="n">
        <v>0</v>
      </c>
      <c r="AA34" s="15" t="n">
        <v>0</v>
      </c>
      <c r="AB34" s="15" t="n">
        <v>0</v>
      </c>
      <c r="AC34" s="15" t="n">
        <v>0</v>
      </c>
      <c r="AD34" s="15" t="n">
        <v>0</v>
      </c>
      <c r="AE34" s="11" t="inlineStr">
        <is>
          <t>P11504</t>
        </is>
      </c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  <c r="AO34" s="2" t="n"/>
      <c r="AP34" s="2" t="n"/>
      <c r="AQ34" s="2" t="n"/>
      <c r="AR34" s="2" t="n"/>
      <c r="AS34" s="2" t="n"/>
    </row>
    <row r="35">
      <c r="A35" s="11" t="n">
        <v>21</v>
      </c>
      <c r="B35" s="11" t="inlineStr">
        <is>
          <t>Surname587</t>
        </is>
      </c>
      <c r="C35" s="11" t="inlineStr">
        <is>
          <t>Forename587</t>
        </is>
      </c>
      <c r="D35" s="11" t="inlineStr">
        <is>
          <t>Riverside Dental Practice</t>
        </is>
      </c>
      <c r="E35" s="11" t="inlineStr">
        <is>
          <t>Support</t>
        </is>
      </c>
      <c r="F35" s="11" t="inlineStr">
        <is>
          <t>CC-RIV</t>
        </is>
      </c>
      <c r="G35" s="11" t="inlineStr">
        <is>
          <t>June 2026</t>
        </is>
      </c>
      <c r="H35" s="11" t="inlineStr">
        <is>
          <t>Monthly</t>
        </is>
      </c>
      <c r="I35" s="11" t="inlineStr">
        <is>
          <t>1257L</t>
        </is>
      </c>
      <c r="J35" s="11" t="inlineStr">
        <is>
          <t>A</t>
        </is>
      </c>
      <c r="K35" s="15" t="n">
        <v>4264.95</v>
      </c>
      <c r="L35" s="15" t="n">
        <v>4179.65</v>
      </c>
      <c r="M35" s="15" t="n">
        <v>4051.7</v>
      </c>
      <c r="N35" s="15" t="n">
        <v>309.5525</v>
      </c>
      <c r="O35" s="15" t="n">
        <v>2751.58</v>
      </c>
      <c r="P35" s="15" t="n">
        <v>588.5599999999999</v>
      </c>
      <c r="Q35" s="15" t="n">
        <v>213.25</v>
      </c>
      <c r="R35" s="15" t="n">
        <v>21.32</v>
      </c>
      <c r="S35" s="15" t="n">
        <v>3714.63</v>
      </c>
      <c r="T35" s="15" t="n">
        <v>0</v>
      </c>
      <c r="U35" s="15" t="n">
        <v>0</v>
      </c>
      <c r="V35" s="15" t="n">
        <v>0</v>
      </c>
      <c r="W35" s="15" t="n">
        <v>0</v>
      </c>
      <c r="X35" s="15" t="n">
        <v>0</v>
      </c>
      <c r="Y35" s="15" t="n">
        <v>0</v>
      </c>
      <c r="Z35" s="15" t="n">
        <v>0</v>
      </c>
      <c r="AA35" s="15" t="n">
        <v>0</v>
      </c>
      <c r="AB35" s="15" t="n">
        <v>0</v>
      </c>
      <c r="AC35" s="15" t="n">
        <v>0</v>
      </c>
      <c r="AD35" s="15" t="n">
        <v>0</v>
      </c>
      <c r="AE35" s="11" t="inlineStr">
        <is>
          <t>P54587</t>
        </is>
      </c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  <c r="AO35" s="2" t="n"/>
      <c r="AP35" s="2" t="n"/>
      <c r="AQ35" s="2" t="n"/>
      <c r="AR35" s="2" t="n"/>
      <c r="AS35" s="2" t="n"/>
    </row>
    <row r="36">
      <c r="A36" s="11" t="n">
        <v>22</v>
      </c>
      <c r="B36" s="11" t="inlineStr">
        <is>
          <t>Surname522</t>
        </is>
      </c>
      <c r="C36" s="11" t="inlineStr">
        <is>
          <t>Forename522</t>
        </is>
      </c>
      <c r="D36" s="11" t="inlineStr">
        <is>
          <t>Riverside Dental Practice</t>
        </is>
      </c>
      <c r="E36" s="11" t="inlineStr">
        <is>
          <t>Clinical</t>
        </is>
      </c>
      <c r="F36" s="11" t="inlineStr">
        <is>
          <t>CC-RIV</t>
        </is>
      </c>
      <c r="G36" s="11" t="inlineStr">
        <is>
          <t>June 2026</t>
        </is>
      </c>
      <c r="H36" s="11" t="inlineStr">
        <is>
          <t>Monthly</t>
        </is>
      </c>
      <c r="I36" s="11" t="inlineStr">
        <is>
          <t>1257L</t>
        </is>
      </c>
      <c r="J36" s="11" t="inlineStr">
        <is>
          <t>A</t>
        </is>
      </c>
      <c r="K36" s="15" t="n">
        <v>3435.89</v>
      </c>
      <c r="L36" s="15" t="n">
        <v>3367.17</v>
      </c>
      <c r="M36" s="15" t="n">
        <v>3264.1</v>
      </c>
      <c r="N36" s="15" t="n">
        <v>249.3791666666667</v>
      </c>
      <c r="O36" s="15" t="n">
        <v>2216.7</v>
      </c>
      <c r="P36" s="15" t="n">
        <v>474.15</v>
      </c>
      <c r="Q36" s="15" t="n">
        <v>171.79</v>
      </c>
      <c r="R36" s="15" t="n">
        <v>17.18</v>
      </c>
      <c r="S36" s="15" t="n">
        <v>2992.55</v>
      </c>
      <c r="T36" s="15" t="n">
        <v>0</v>
      </c>
      <c r="U36" s="15" t="n">
        <v>0</v>
      </c>
      <c r="V36" s="15" t="n">
        <v>0</v>
      </c>
      <c r="W36" s="15" t="n">
        <v>0</v>
      </c>
      <c r="X36" s="15" t="n">
        <v>0</v>
      </c>
      <c r="Y36" s="15" t="n">
        <v>0</v>
      </c>
      <c r="Z36" s="15" t="n">
        <v>0</v>
      </c>
      <c r="AA36" s="15" t="n">
        <v>0</v>
      </c>
      <c r="AB36" s="15" t="n">
        <v>0</v>
      </c>
      <c r="AC36" s="15" t="n">
        <v>0</v>
      </c>
      <c r="AD36" s="15" t="n">
        <v>0</v>
      </c>
      <c r="AE36" s="11" t="inlineStr">
        <is>
          <t>P44522</t>
        </is>
      </c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  <c r="AO36" s="2" t="n"/>
      <c r="AP36" s="2" t="n"/>
      <c r="AQ36" s="2" t="n"/>
      <c r="AR36" s="2" t="n"/>
      <c r="AS36" s="2" t="n"/>
    </row>
    <row r="37">
      <c r="A37" s="11" t="n">
        <v>23</v>
      </c>
      <c r="B37" s="11" t="inlineStr">
        <is>
          <t>Surname959</t>
        </is>
      </c>
      <c r="C37" s="11" t="inlineStr">
        <is>
          <t>Forename959</t>
        </is>
      </c>
      <c r="D37" s="11" t="inlineStr">
        <is>
          <t>Hakim Group Head Office</t>
        </is>
      </c>
      <c r="E37" s="11" t="inlineStr">
        <is>
          <t>Support</t>
        </is>
      </c>
      <c r="F37" s="11" t="inlineStr">
        <is>
          <t>CC-HAK</t>
        </is>
      </c>
      <c r="G37" s="11" t="inlineStr">
        <is>
          <t>June 2026</t>
        </is>
      </c>
      <c r="H37" s="11" t="inlineStr">
        <is>
          <t>Monthly</t>
        </is>
      </c>
      <c r="I37" s="11" t="inlineStr">
        <is>
          <t>1257L</t>
        </is>
      </c>
      <c r="J37" s="11" t="inlineStr">
        <is>
          <t>A</t>
        </is>
      </c>
      <c r="K37" s="15" t="n">
        <v>3586.43</v>
      </c>
      <c r="L37" s="15" t="n">
        <v>3514.7</v>
      </c>
      <c r="M37" s="15" t="n">
        <v>3407.11</v>
      </c>
      <c r="N37" s="15" t="n">
        <v>260.3058333333333</v>
      </c>
      <c r="O37" s="15" t="n">
        <v>2313.83</v>
      </c>
      <c r="P37" s="15" t="n">
        <v>494.93</v>
      </c>
      <c r="Q37" s="15" t="n">
        <v>179.32</v>
      </c>
      <c r="R37" s="15" t="n">
        <v>17.93</v>
      </c>
      <c r="S37" s="15" t="n">
        <v>3123.67</v>
      </c>
      <c r="T37" s="15" t="n">
        <v>0</v>
      </c>
      <c r="U37" s="15" t="n">
        <v>0</v>
      </c>
      <c r="V37" s="15" t="n">
        <v>0</v>
      </c>
      <c r="W37" s="15" t="n">
        <v>0</v>
      </c>
      <c r="X37" s="15" t="n">
        <v>0</v>
      </c>
      <c r="Y37" s="15" t="n">
        <v>0</v>
      </c>
      <c r="Z37" s="15" t="n">
        <v>0</v>
      </c>
      <c r="AA37" s="15" t="n">
        <v>0</v>
      </c>
      <c r="AB37" s="15" t="n">
        <v>0</v>
      </c>
      <c r="AC37" s="15" t="n">
        <v>0</v>
      </c>
      <c r="AD37" s="15" t="n">
        <v>0</v>
      </c>
      <c r="AE37" s="11" t="inlineStr">
        <is>
          <t>P91959</t>
        </is>
      </c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  <c r="AO37" s="2" t="n"/>
      <c r="AP37" s="2" t="n"/>
      <c r="AQ37" s="2" t="n"/>
      <c r="AR37" s="2" t="n"/>
      <c r="AS37" s="2" t="n"/>
    </row>
    <row r="38">
      <c r="A38" s="11" t="n">
        <v>24</v>
      </c>
      <c r="B38" s="11" t="inlineStr">
        <is>
          <t>Surname697</t>
        </is>
      </c>
      <c r="C38" s="11" t="inlineStr">
        <is>
          <t>Forename697</t>
        </is>
      </c>
      <c r="D38" s="11" t="inlineStr">
        <is>
          <t>Elm Park Dental Practice</t>
        </is>
      </c>
      <c r="E38" s="11" t="inlineStr">
        <is>
          <t>Support</t>
        </is>
      </c>
      <c r="F38" s="11" t="inlineStr">
        <is>
          <t>CC-ELM</t>
        </is>
      </c>
      <c r="G38" s="11" t="inlineStr">
        <is>
          <t>June 2026</t>
        </is>
      </c>
      <c r="H38" s="11" t="inlineStr">
        <is>
          <t>Monthly</t>
        </is>
      </c>
      <c r="I38" s="11" t="inlineStr">
        <is>
          <t>1257L</t>
        </is>
      </c>
      <c r="J38" s="11" t="inlineStr">
        <is>
          <t>A</t>
        </is>
      </c>
      <c r="K38" s="15" t="n">
        <v>2596.42</v>
      </c>
      <c r="L38" s="15" t="n">
        <v>2544.49</v>
      </c>
      <c r="M38" s="15" t="n">
        <v>2466.6</v>
      </c>
      <c r="N38" s="15" t="n">
        <v>188.45</v>
      </c>
      <c r="O38" s="15" t="n">
        <v>1675.11</v>
      </c>
      <c r="P38" s="15" t="n">
        <v>358.31</v>
      </c>
      <c r="Q38" s="15" t="n">
        <v>129.82</v>
      </c>
      <c r="R38" s="15" t="n">
        <v>12.98</v>
      </c>
      <c r="S38" s="15" t="n">
        <v>2261.4</v>
      </c>
      <c r="T38" s="15" t="n">
        <v>0</v>
      </c>
      <c r="U38" s="15" t="n">
        <v>0</v>
      </c>
      <c r="V38" s="15" t="n">
        <v>0</v>
      </c>
      <c r="W38" s="15" t="n">
        <v>0</v>
      </c>
      <c r="X38" s="15" t="n">
        <v>0</v>
      </c>
      <c r="Y38" s="15" t="n">
        <v>0</v>
      </c>
      <c r="Z38" s="15" t="n">
        <v>0</v>
      </c>
      <c r="AA38" s="15" t="n">
        <v>0</v>
      </c>
      <c r="AB38" s="15" t="n">
        <v>0</v>
      </c>
      <c r="AC38" s="15" t="n">
        <v>0</v>
      </c>
      <c r="AD38" s="15" t="n">
        <v>0</v>
      </c>
      <c r="AE38" s="11" t="inlineStr">
        <is>
          <t>P80697</t>
        </is>
      </c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  <c r="AO38" s="2" t="n"/>
      <c r="AP38" s="2" t="n"/>
      <c r="AQ38" s="2" t="n"/>
      <c r="AR38" s="2" t="n"/>
      <c r="AS38" s="2" t="n"/>
    </row>
    <row r="39">
      <c r="A39" s="11" t="n">
        <v>25</v>
      </c>
      <c r="B39" s="11" t="inlineStr">
        <is>
          <t>Surname662</t>
        </is>
      </c>
      <c r="C39" s="11" t="inlineStr">
        <is>
          <t>Forename662</t>
        </is>
      </c>
      <c r="D39" s="11" t="inlineStr">
        <is>
          <t>Hakim Group Head Office</t>
        </is>
      </c>
      <c r="E39" s="11" t="inlineStr">
        <is>
          <t>Support</t>
        </is>
      </c>
      <c r="F39" s="11" t="inlineStr">
        <is>
          <t>CC-HAK</t>
        </is>
      </c>
      <c r="G39" s="11" t="inlineStr">
        <is>
          <t>June 2026</t>
        </is>
      </c>
      <c r="H39" s="11" t="inlineStr">
        <is>
          <t>Monthly</t>
        </is>
      </c>
      <c r="I39" s="11" t="inlineStr">
        <is>
          <t>1257L</t>
        </is>
      </c>
      <c r="J39" s="11" t="inlineStr">
        <is>
          <t>A</t>
        </is>
      </c>
      <c r="K39" s="15" t="n">
        <v>3841.06</v>
      </c>
      <c r="L39" s="15" t="n">
        <v>3764.24</v>
      </c>
      <c r="M39" s="15" t="n">
        <v>3649.01</v>
      </c>
      <c r="N39" s="15" t="n">
        <v>278.7866666666667</v>
      </c>
      <c r="O39" s="15" t="n">
        <v>2478.1</v>
      </c>
      <c r="P39" s="15" t="n">
        <v>530.0700000000001</v>
      </c>
      <c r="Q39" s="15" t="n">
        <v>192.05</v>
      </c>
      <c r="R39" s="15" t="n">
        <v>19.21</v>
      </c>
      <c r="S39" s="15" t="n">
        <v>3345.44</v>
      </c>
      <c r="T39" s="15" t="n">
        <v>0</v>
      </c>
      <c r="U39" s="15" t="n">
        <v>0</v>
      </c>
      <c r="V39" s="15" t="n">
        <v>0</v>
      </c>
      <c r="W39" s="15" t="n">
        <v>0</v>
      </c>
      <c r="X39" s="15" t="n">
        <v>0</v>
      </c>
      <c r="Y39" s="15" t="n">
        <v>0</v>
      </c>
      <c r="Z39" s="15" t="n">
        <v>0</v>
      </c>
      <c r="AA39" s="15" t="n">
        <v>0</v>
      </c>
      <c r="AB39" s="15" t="n">
        <v>0</v>
      </c>
      <c r="AC39" s="15" t="n">
        <v>0</v>
      </c>
      <c r="AD39" s="15" t="n">
        <v>0</v>
      </c>
      <c r="AE39" s="11" t="inlineStr">
        <is>
          <t>P24662</t>
        </is>
      </c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  <c r="AO39" s="2" t="n"/>
      <c r="AP39" s="2" t="n"/>
      <c r="AQ39" s="2" t="n"/>
      <c r="AR39" s="2" t="n"/>
      <c r="AS39" s="2" t="n"/>
    </row>
    <row r="40">
      <c r="A40" s="11" t="n">
        <v>26</v>
      </c>
      <c r="B40" s="11" t="inlineStr">
        <is>
          <t>Surname364</t>
        </is>
      </c>
      <c r="C40" s="11" t="inlineStr">
        <is>
          <t>Forename364</t>
        </is>
      </c>
      <c r="D40" s="11" t="inlineStr">
        <is>
          <t>Elm Park Dental Practice</t>
        </is>
      </c>
      <c r="E40" s="11" t="inlineStr">
        <is>
          <t>Support</t>
        </is>
      </c>
      <c r="F40" s="11" t="inlineStr">
        <is>
          <t>CC-ELM</t>
        </is>
      </c>
      <c r="G40" s="11" t="inlineStr">
        <is>
          <t>June 2026</t>
        </is>
      </c>
      <c r="H40" s="11" t="inlineStr">
        <is>
          <t>Monthly</t>
        </is>
      </c>
      <c r="I40" s="11" t="inlineStr">
        <is>
          <t>1257L</t>
        </is>
      </c>
      <c r="J40" s="11" t="inlineStr">
        <is>
          <t>A</t>
        </is>
      </c>
      <c r="K40" s="15" t="n">
        <v>2838.07</v>
      </c>
      <c r="L40" s="15" t="n">
        <v>2781.31</v>
      </c>
      <c r="M40" s="15" t="n">
        <v>2696.17</v>
      </c>
      <c r="N40" s="15" t="n">
        <v>205.9891666666666</v>
      </c>
      <c r="O40" s="15" t="n">
        <v>1831.01</v>
      </c>
      <c r="P40" s="15" t="n">
        <v>391.65</v>
      </c>
      <c r="Q40" s="15" t="n">
        <v>141.9</v>
      </c>
      <c r="R40" s="15" t="n">
        <v>14.19</v>
      </c>
      <c r="S40" s="15" t="n">
        <v>2471.87</v>
      </c>
      <c r="T40" s="15" t="n">
        <v>0</v>
      </c>
      <c r="U40" s="15" t="n">
        <v>0</v>
      </c>
      <c r="V40" s="15" t="n">
        <v>0</v>
      </c>
      <c r="W40" s="15" t="n">
        <v>0</v>
      </c>
      <c r="X40" s="15" t="n">
        <v>0</v>
      </c>
      <c r="Y40" s="15" t="n">
        <v>0</v>
      </c>
      <c r="Z40" s="15" t="n">
        <v>0</v>
      </c>
      <c r="AA40" s="15" t="n">
        <v>0</v>
      </c>
      <c r="AB40" s="15" t="n">
        <v>0</v>
      </c>
      <c r="AC40" s="15" t="n">
        <v>0</v>
      </c>
      <c r="AD40" s="15" t="n">
        <v>0</v>
      </c>
      <c r="AE40" s="11" t="inlineStr">
        <is>
          <t>P84364</t>
        </is>
      </c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  <c r="AO40" s="2" t="n"/>
      <c r="AP40" s="2" t="n"/>
      <c r="AQ40" s="2" t="n"/>
      <c r="AR40" s="2" t="n"/>
      <c r="AS40" s="2" t="n"/>
    </row>
    <row r="41">
      <c r="A41" s="11" t="n">
        <v>27</v>
      </c>
      <c r="B41" s="11" t="inlineStr">
        <is>
          <t>Surname822</t>
        </is>
      </c>
      <c r="C41" s="11" t="inlineStr">
        <is>
          <t>Forename822</t>
        </is>
      </c>
      <c r="D41" s="11" t="inlineStr">
        <is>
          <t>Riverside Dental Practice</t>
        </is>
      </c>
      <c r="E41" s="11" t="inlineStr">
        <is>
          <t>Clinical</t>
        </is>
      </c>
      <c r="F41" s="11" t="inlineStr">
        <is>
          <t>CC-RIV</t>
        </is>
      </c>
      <c r="G41" s="11" t="inlineStr">
        <is>
          <t>June 2026</t>
        </is>
      </c>
      <c r="H41" s="11" t="inlineStr">
        <is>
          <t>Monthly</t>
        </is>
      </c>
      <c r="I41" s="11" t="inlineStr">
        <is>
          <t>1257L</t>
        </is>
      </c>
      <c r="J41" s="11" t="inlineStr">
        <is>
          <t>A</t>
        </is>
      </c>
      <c r="K41" s="15" t="n">
        <v>4446.7</v>
      </c>
      <c r="L41" s="15" t="n">
        <v>4357.77</v>
      </c>
      <c r="M41" s="15" t="n">
        <v>4224.36</v>
      </c>
      <c r="N41" s="15" t="n">
        <v>322.745</v>
      </c>
      <c r="O41" s="15" t="n">
        <v>2868.84</v>
      </c>
      <c r="P41" s="15" t="n">
        <v>613.64</v>
      </c>
      <c r="Q41" s="15" t="n">
        <v>222.34</v>
      </c>
      <c r="R41" s="15" t="n">
        <v>22.23</v>
      </c>
      <c r="S41" s="15" t="n">
        <v>3872.94</v>
      </c>
      <c r="T41" s="15" t="n">
        <v>0</v>
      </c>
      <c r="U41" s="15" t="n">
        <v>0</v>
      </c>
      <c r="V41" s="15" t="n">
        <v>0</v>
      </c>
      <c r="W41" s="15" t="n">
        <v>0</v>
      </c>
      <c r="X41" s="15" t="n">
        <v>0</v>
      </c>
      <c r="Y41" s="15" t="n">
        <v>0</v>
      </c>
      <c r="Z41" s="15" t="n">
        <v>0</v>
      </c>
      <c r="AA41" s="15" t="n">
        <v>0</v>
      </c>
      <c r="AB41" s="15" t="n">
        <v>0</v>
      </c>
      <c r="AC41" s="15" t="n">
        <v>0</v>
      </c>
      <c r="AD41" s="15" t="n">
        <v>0</v>
      </c>
      <c r="AE41" s="11" t="inlineStr">
        <is>
          <t>P79822</t>
        </is>
      </c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  <c r="AO41" s="2" t="n"/>
      <c r="AP41" s="2" t="n"/>
      <c r="AQ41" s="2" t="n"/>
      <c r="AR41" s="2" t="n"/>
      <c r="AS41" s="2" t="n"/>
    </row>
    <row r="42">
      <c r="A42" s="11" t="n">
        <v>28</v>
      </c>
      <c r="B42" s="11" t="inlineStr">
        <is>
          <t>Surname163</t>
        </is>
      </c>
      <c r="C42" s="11" t="inlineStr">
        <is>
          <t>Forename163</t>
        </is>
      </c>
      <c r="D42" s="11" t="inlineStr">
        <is>
          <t>Kings Road Dental Practice</t>
        </is>
      </c>
      <c r="E42" s="11" t="inlineStr">
        <is>
          <t>Clinical</t>
        </is>
      </c>
      <c r="F42" s="11" t="inlineStr">
        <is>
          <t>CC-KIN</t>
        </is>
      </c>
      <c r="G42" s="11" t="inlineStr">
        <is>
          <t>June 2026</t>
        </is>
      </c>
      <c r="H42" s="11" t="inlineStr">
        <is>
          <t>Monthly</t>
        </is>
      </c>
      <c r="I42" s="11" t="inlineStr">
        <is>
          <t>1257L</t>
        </is>
      </c>
      <c r="J42" s="11" t="inlineStr">
        <is>
          <t>A</t>
        </is>
      </c>
      <c r="K42" s="15" t="n">
        <v>4811.71</v>
      </c>
      <c r="L42" s="15" t="n">
        <v>4715.48</v>
      </c>
      <c r="M42" s="15" t="n">
        <v>4571.12</v>
      </c>
      <c r="N42" s="15" t="n">
        <v>349.2366666666667</v>
      </c>
      <c r="O42" s="15" t="n">
        <v>3104.33</v>
      </c>
      <c r="P42" s="15" t="n">
        <v>664.02</v>
      </c>
      <c r="Q42" s="15" t="n">
        <v>240.59</v>
      </c>
      <c r="R42" s="15" t="n">
        <v>24.06</v>
      </c>
      <c r="S42" s="15" t="n">
        <v>4190.84</v>
      </c>
      <c r="T42" s="15" t="n">
        <v>0</v>
      </c>
      <c r="U42" s="15" t="n">
        <v>0</v>
      </c>
      <c r="V42" s="15" t="n">
        <v>0</v>
      </c>
      <c r="W42" s="15" t="n">
        <v>0</v>
      </c>
      <c r="X42" s="15" t="n">
        <v>0</v>
      </c>
      <c r="Y42" s="15" t="n">
        <v>0</v>
      </c>
      <c r="Z42" s="15" t="n">
        <v>0</v>
      </c>
      <c r="AA42" s="15" t="n">
        <v>0</v>
      </c>
      <c r="AB42" s="15" t="n">
        <v>0</v>
      </c>
      <c r="AC42" s="15" t="n">
        <v>0</v>
      </c>
      <c r="AD42" s="15" t="n">
        <v>0</v>
      </c>
      <c r="AE42" s="11" t="inlineStr">
        <is>
          <t>P79163</t>
        </is>
      </c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  <c r="AO42" s="2" t="n"/>
      <c r="AP42" s="2" t="n"/>
      <c r="AQ42" s="2" t="n"/>
      <c r="AR42" s="2" t="n"/>
      <c r="AS42" s="2" t="n"/>
    </row>
    <row r="43">
      <c r="A43" s="11" t="n">
        <v>29</v>
      </c>
      <c r="B43" s="11" t="inlineStr">
        <is>
          <t>Surname365</t>
        </is>
      </c>
      <c r="C43" s="11" t="inlineStr">
        <is>
          <t>Forename365</t>
        </is>
      </c>
      <c r="D43" s="11" t="inlineStr">
        <is>
          <t>Hakim Group Head Office</t>
        </is>
      </c>
      <c r="E43" s="11" t="inlineStr">
        <is>
          <t>Support</t>
        </is>
      </c>
      <c r="F43" s="11" t="inlineStr">
        <is>
          <t>CC-HAK</t>
        </is>
      </c>
      <c r="G43" s="11" t="inlineStr">
        <is>
          <t>June 2026</t>
        </is>
      </c>
      <c r="H43" s="11" t="inlineStr">
        <is>
          <t>Monthly</t>
        </is>
      </c>
      <c r="I43" s="11" t="inlineStr">
        <is>
          <t>1257L</t>
        </is>
      </c>
      <c r="J43" s="11" t="inlineStr">
        <is>
          <t>A</t>
        </is>
      </c>
      <c r="K43" s="15" t="n">
        <v>4860.57</v>
      </c>
      <c r="L43" s="15" t="n">
        <v>4763.36</v>
      </c>
      <c r="M43" s="15" t="n">
        <v>4617.54</v>
      </c>
      <c r="N43" s="15" t="n">
        <v>352.7833333333333</v>
      </c>
      <c r="O43" s="15" t="n">
        <v>3135.85</v>
      </c>
      <c r="P43" s="15" t="n">
        <v>670.76</v>
      </c>
      <c r="Q43" s="15" t="n">
        <v>243.03</v>
      </c>
      <c r="R43" s="15" t="n">
        <v>24.3</v>
      </c>
      <c r="S43" s="15" t="n">
        <v>4233.4</v>
      </c>
      <c r="T43" s="15" t="n">
        <v>0</v>
      </c>
      <c r="U43" s="15" t="n">
        <v>0</v>
      </c>
      <c r="V43" s="15" t="n">
        <v>0</v>
      </c>
      <c r="W43" s="15" t="n">
        <v>0</v>
      </c>
      <c r="X43" s="15" t="n">
        <v>0</v>
      </c>
      <c r="Y43" s="15" t="n">
        <v>0</v>
      </c>
      <c r="Z43" s="15" t="n">
        <v>0</v>
      </c>
      <c r="AA43" s="15" t="n">
        <v>0</v>
      </c>
      <c r="AB43" s="15" t="n">
        <v>0</v>
      </c>
      <c r="AC43" s="15" t="n">
        <v>0</v>
      </c>
      <c r="AD43" s="15" t="n">
        <v>0</v>
      </c>
      <c r="AE43" s="11" t="inlineStr">
        <is>
          <t>P36365</t>
        </is>
      </c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  <c r="AO43" s="2" t="n"/>
      <c r="AP43" s="2" t="n"/>
      <c r="AQ43" s="2" t="n"/>
      <c r="AR43" s="2" t="n"/>
      <c r="AS43" s="2" t="n"/>
    </row>
    <row r="44">
      <c r="A44" s="11" t="n">
        <v>30</v>
      </c>
      <c r="B44" s="11" t="inlineStr">
        <is>
          <t>Surname860</t>
        </is>
      </c>
      <c r="C44" s="11" t="inlineStr">
        <is>
          <t>Forename860</t>
        </is>
      </c>
      <c r="D44" s="11" t="inlineStr">
        <is>
          <t>Elm Park Dental Practice</t>
        </is>
      </c>
      <c r="E44" s="11" t="inlineStr">
        <is>
          <t>Clinical</t>
        </is>
      </c>
      <c r="F44" s="11" t="inlineStr">
        <is>
          <t>CC-ELM</t>
        </is>
      </c>
      <c r="G44" s="11" t="inlineStr">
        <is>
          <t>June 2026</t>
        </is>
      </c>
      <c r="H44" s="11" t="inlineStr">
        <is>
          <t>Monthly</t>
        </is>
      </c>
      <c r="I44" s="11" t="inlineStr">
        <is>
          <t>1257L</t>
        </is>
      </c>
      <c r="J44" s="11" t="inlineStr">
        <is>
          <t>A</t>
        </is>
      </c>
      <c r="K44" s="15" t="n">
        <v>3392.3</v>
      </c>
      <c r="L44" s="15" t="n">
        <v>3324.45</v>
      </c>
      <c r="M44" s="15" t="n">
        <v>3222.68</v>
      </c>
      <c r="N44" s="15" t="n">
        <v>246.215</v>
      </c>
      <c r="O44" s="15" t="n">
        <v>2188.58</v>
      </c>
      <c r="P44" s="15" t="n">
        <v>468.14</v>
      </c>
      <c r="Q44" s="15" t="n">
        <v>169.62</v>
      </c>
      <c r="R44" s="15" t="n">
        <v>16.96</v>
      </c>
      <c r="S44" s="15" t="n">
        <v>2954.58</v>
      </c>
      <c r="T44" s="15" t="n">
        <v>0</v>
      </c>
      <c r="U44" s="15" t="n">
        <v>0</v>
      </c>
      <c r="V44" s="15" t="n">
        <v>0</v>
      </c>
      <c r="W44" s="15" t="n">
        <v>0</v>
      </c>
      <c r="X44" s="15" t="n">
        <v>0</v>
      </c>
      <c r="Y44" s="15" t="n">
        <v>0</v>
      </c>
      <c r="Z44" s="15" t="n">
        <v>0</v>
      </c>
      <c r="AA44" s="15" t="n">
        <v>0</v>
      </c>
      <c r="AB44" s="15" t="n">
        <v>0</v>
      </c>
      <c r="AC44" s="15" t="n">
        <v>0</v>
      </c>
      <c r="AD44" s="15" t="n">
        <v>0</v>
      </c>
      <c r="AE44" s="11" t="inlineStr">
        <is>
          <t>P25860</t>
        </is>
      </c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  <c r="AO44" s="2" t="n"/>
      <c r="AP44" s="2" t="n"/>
      <c r="AQ44" s="2" t="n"/>
      <c r="AR44" s="2" t="n"/>
      <c r="AS44" s="2" t="n"/>
    </row>
    <row r="45">
      <c r="A45" s="11" t="n">
        <v>31</v>
      </c>
      <c r="B45" s="11" t="inlineStr">
        <is>
          <t>Surname603</t>
        </is>
      </c>
      <c r="C45" s="11" t="inlineStr">
        <is>
          <t>Forename603</t>
        </is>
      </c>
      <c r="D45" s="11" t="inlineStr">
        <is>
          <t>Kings Road Dental Practice</t>
        </is>
      </c>
      <c r="E45" s="11" t="inlineStr">
        <is>
          <t>Clinical</t>
        </is>
      </c>
      <c r="F45" s="11" t="inlineStr">
        <is>
          <t>CC-KIN</t>
        </is>
      </c>
      <c r="G45" s="11" t="inlineStr">
        <is>
          <t>June 2026</t>
        </is>
      </c>
      <c r="H45" s="11" t="inlineStr">
        <is>
          <t>Monthly</t>
        </is>
      </c>
      <c r="I45" s="11" t="inlineStr">
        <is>
          <t>1257L</t>
        </is>
      </c>
      <c r="J45" s="11" t="inlineStr">
        <is>
          <t>A</t>
        </is>
      </c>
      <c r="K45" s="15" t="n">
        <v>2437.86</v>
      </c>
      <c r="L45" s="15" t="n">
        <v>2389.1</v>
      </c>
      <c r="M45" s="15" t="n">
        <v>2315.97</v>
      </c>
      <c r="N45" s="15" t="n">
        <v>176.0675</v>
      </c>
      <c r="O45" s="15" t="n">
        <v>1625.24</v>
      </c>
      <c r="P45" s="15" t="n">
        <v>336.42</v>
      </c>
      <c r="Q45" s="15" t="n">
        <v>121.89</v>
      </c>
      <c r="R45" s="15" t="n">
        <v>12.19</v>
      </c>
      <c r="S45" s="15" t="n">
        <v>243.79</v>
      </c>
      <c r="T45" s="15" t="n">
        <v>0</v>
      </c>
      <c r="U45" s="15" t="n">
        <v>0</v>
      </c>
      <c r="V45" s="15" t="n">
        <v>0</v>
      </c>
      <c r="W45" s="15" t="n">
        <v>0</v>
      </c>
      <c r="X45" s="15" t="n">
        <v>0</v>
      </c>
      <c r="Y45" s="15" t="n">
        <v>0</v>
      </c>
      <c r="Z45" s="15" t="n">
        <v>0</v>
      </c>
      <c r="AA45" s="15" t="n">
        <v>0</v>
      </c>
      <c r="AB45" s="15" t="n">
        <v>0</v>
      </c>
      <c r="AC45" s="15" t="n">
        <v>0</v>
      </c>
      <c r="AD45" s="15" t="n">
        <v>0</v>
      </c>
      <c r="AE45" s="11" t="inlineStr">
        <is>
          <t>P82603</t>
        </is>
      </c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  <c r="AO45" s="2" t="n"/>
      <c r="AP45" s="2" t="n"/>
      <c r="AQ45" s="2" t="n"/>
      <c r="AR45" s="2" t="n"/>
      <c r="AS45" s="2" t="n"/>
    </row>
    <row r="46">
      <c r="A46" s="11" t="n">
        <v>32</v>
      </c>
      <c r="B46" s="11" t="inlineStr">
        <is>
          <t>Surname719</t>
        </is>
      </c>
      <c r="C46" s="11" t="inlineStr">
        <is>
          <t>Forename719</t>
        </is>
      </c>
      <c r="D46" s="11" t="inlineStr">
        <is>
          <t>Kings Road Dental Practice</t>
        </is>
      </c>
      <c r="E46" s="11" t="inlineStr">
        <is>
          <t>Support</t>
        </is>
      </c>
      <c r="F46" s="11" t="inlineStr">
        <is>
          <t>CC-KIN</t>
        </is>
      </c>
      <c r="G46" s="11" t="inlineStr">
        <is>
          <t>June 2026</t>
        </is>
      </c>
      <c r="H46" s="11" t="inlineStr">
        <is>
          <t>Monthly</t>
        </is>
      </c>
      <c r="I46" s="11" t="inlineStr">
        <is>
          <t>1257L</t>
        </is>
      </c>
      <c r="J46" s="11" t="inlineStr">
        <is>
          <t>A</t>
        </is>
      </c>
      <c r="K46" s="15" t="n">
        <v>2527.79</v>
      </c>
      <c r="L46" s="15" t="n">
        <v>2477.23</v>
      </c>
      <c r="M46" s="15" t="n">
        <v>2401.4</v>
      </c>
      <c r="N46" s="15" t="n">
        <v>182.5625</v>
      </c>
      <c r="O46" s="15" t="n">
        <v>1685.19</v>
      </c>
      <c r="P46" s="15" t="n">
        <v>348.84</v>
      </c>
      <c r="Q46" s="15" t="n">
        <v>126.39</v>
      </c>
      <c r="R46" s="15" t="n">
        <v>12.64</v>
      </c>
      <c r="S46" s="15" t="n">
        <v>2190.75</v>
      </c>
      <c r="T46" s="15" t="n">
        <v>0</v>
      </c>
      <c r="U46" s="15" t="n">
        <v>252.78</v>
      </c>
      <c r="V46" s="15" t="n">
        <v>0</v>
      </c>
      <c r="W46" s="15" t="n">
        <v>0</v>
      </c>
      <c r="X46" s="15" t="n">
        <v>0</v>
      </c>
      <c r="Y46" s="15" t="n">
        <v>0</v>
      </c>
      <c r="Z46" s="15" t="n">
        <v>0</v>
      </c>
      <c r="AA46" s="15" t="n">
        <v>0</v>
      </c>
      <c r="AB46" s="15" t="n">
        <v>0</v>
      </c>
      <c r="AC46" s="15" t="n">
        <v>0</v>
      </c>
      <c r="AD46" s="15" t="n">
        <v>0</v>
      </c>
      <c r="AE46" s="11" t="inlineStr">
        <is>
          <t>P92719</t>
        </is>
      </c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  <c r="AO46" s="2" t="n"/>
      <c r="AP46" s="2" t="n"/>
      <c r="AQ46" s="2" t="n"/>
      <c r="AR46" s="2" t="n"/>
      <c r="AS46" s="2" t="n"/>
    </row>
    <row r="47">
      <c r="A47" s="11" t="n">
        <v>33</v>
      </c>
      <c r="B47" s="11" t="inlineStr">
        <is>
          <t>Surname287</t>
        </is>
      </c>
      <c r="C47" s="11" t="inlineStr">
        <is>
          <t>Forename287</t>
        </is>
      </c>
      <c r="D47" s="11" t="inlineStr">
        <is>
          <t>Riverside Dental Practice</t>
        </is>
      </c>
      <c r="E47" s="11" t="inlineStr">
        <is>
          <t>Clinical</t>
        </is>
      </c>
      <c r="F47" s="11" t="inlineStr">
        <is>
          <t>CC-RIV</t>
        </is>
      </c>
      <c r="G47" s="11" t="inlineStr">
        <is>
          <t>June 2026</t>
        </is>
      </c>
      <c r="H47" s="11" t="inlineStr">
        <is>
          <t>Monthly</t>
        </is>
      </c>
      <c r="I47" s="11" t="inlineStr">
        <is>
          <t>1257L</t>
        </is>
      </c>
      <c r="J47" s="11" t="inlineStr">
        <is>
          <t>A</t>
        </is>
      </c>
      <c r="K47" s="15" t="n">
        <v>3947.34</v>
      </c>
      <c r="L47" s="15" t="n">
        <v>3868.39</v>
      </c>
      <c r="M47" s="15" t="n">
        <v>3749.97</v>
      </c>
      <c r="N47" s="15" t="n">
        <v>285.0858333333334</v>
      </c>
      <c r="O47" s="15" t="n">
        <v>2631.56</v>
      </c>
      <c r="P47" s="15" t="n">
        <v>544.73</v>
      </c>
      <c r="Q47" s="15" t="n">
        <v>197.37</v>
      </c>
      <c r="R47" s="15" t="n">
        <v>19.74</v>
      </c>
      <c r="S47" s="15" t="n">
        <v>3421.03</v>
      </c>
      <c r="T47" s="15" t="n">
        <v>394.73</v>
      </c>
      <c r="U47" s="15" t="n">
        <v>0</v>
      </c>
      <c r="V47" s="15" t="n">
        <v>0</v>
      </c>
      <c r="W47" s="15" t="n">
        <v>0</v>
      </c>
      <c r="X47" s="15" t="n">
        <v>0</v>
      </c>
      <c r="Y47" s="15" t="n">
        <v>0</v>
      </c>
      <c r="Z47" s="15" t="n">
        <v>0</v>
      </c>
      <c r="AA47" s="15" t="n">
        <v>0</v>
      </c>
      <c r="AB47" s="15" t="n">
        <v>0</v>
      </c>
      <c r="AC47" s="15" t="n">
        <v>0</v>
      </c>
      <c r="AD47" s="15" t="n">
        <v>0</v>
      </c>
      <c r="AE47" s="11" t="inlineStr">
        <is>
          <t>P19287</t>
        </is>
      </c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  <c r="AO47" s="2" t="n"/>
      <c r="AP47" s="2" t="n"/>
      <c r="AQ47" s="2" t="n"/>
      <c r="AR47" s="2" t="n"/>
      <c r="AS47" s="2" t="n"/>
    </row>
    <row r="48">
      <c r="A48" s="11" t="n">
        <v>34</v>
      </c>
      <c r="B48" s="11" t="inlineStr">
        <is>
          <t>Surname624</t>
        </is>
      </c>
      <c r="C48" s="11" t="inlineStr">
        <is>
          <t>Forename624</t>
        </is>
      </c>
      <c r="D48" s="11" t="inlineStr">
        <is>
          <t>Hakim Group Head Office</t>
        </is>
      </c>
      <c r="E48" s="11" t="inlineStr">
        <is>
          <t>Support</t>
        </is>
      </c>
      <c r="F48" s="11" t="inlineStr">
        <is>
          <t>CC-HAK</t>
        </is>
      </c>
      <c r="G48" s="11" t="inlineStr">
        <is>
          <t>June 2026</t>
        </is>
      </c>
      <c r="H48" s="11" t="inlineStr">
        <is>
          <t>Monthly</t>
        </is>
      </c>
      <c r="I48" s="11" t="inlineStr">
        <is>
          <t>1257L</t>
        </is>
      </c>
      <c r="J48" s="11" t="inlineStr">
        <is>
          <t>A</t>
        </is>
      </c>
      <c r="K48" s="15" t="n">
        <v>2901.26</v>
      </c>
      <c r="L48" s="15" t="n">
        <v>2843.23</v>
      </c>
      <c r="M48" s="15" t="n">
        <v>2756.2</v>
      </c>
      <c r="N48" s="15" t="n">
        <v>209.535</v>
      </c>
      <c r="O48" s="15" t="n">
        <v>1934.17</v>
      </c>
      <c r="P48" s="15" t="n">
        <v>400.37</v>
      </c>
      <c r="Q48" s="15" t="n">
        <v>145.06</v>
      </c>
      <c r="R48" s="15" t="n">
        <v>14.51</v>
      </c>
      <c r="S48" s="15" t="n">
        <v>967.09</v>
      </c>
      <c r="T48" s="15" t="n">
        <v>0</v>
      </c>
      <c r="U48" s="15" t="n">
        <v>0</v>
      </c>
      <c r="V48" s="15" t="n">
        <v>0</v>
      </c>
      <c r="W48" s="15" t="n">
        <v>0</v>
      </c>
      <c r="X48" s="15" t="n">
        <v>0</v>
      </c>
      <c r="Y48" s="15" t="n">
        <v>0</v>
      </c>
      <c r="Z48" s="15" t="n">
        <v>0</v>
      </c>
      <c r="AA48" s="15" t="n">
        <v>0</v>
      </c>
      <c r="AB48" s="15" t="n">
        <v>0</v>
      </c>
      <c r="AC48" s="15" t="n">
        <v>0</v>
      </c>
      <c r="AD48" s="15" t="n">
        <v>0</v>
      </c>
      <c r="AE48" s="11" t="inlineStr">
        <is>
          <t>P73624</t>
        </is>
      </c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  <c r="AO48" s="2" t="n"/>
      <c r="AP48" s="2" t="n"/>
      <c r="AQ48" s="2" t="n"/>
      <c r="AR48" s="2" t="n"/>
      <c r="AS48" s="2" t="n"/>
    </row>
    <row r="49">
      <c r="A49" s="11" t="n">
        <v>35</v>
      </c>
      <c r="B49" s="11" t="inlineStr">
        <is>
          <t>Surname847</t>
        </is>
      </c>
      <c r="C49" s="11" t="inlineStr">
        <is>
          <t>Forename847</t>
        </is>
      </c>
      <c r="D49" s="11" t="inlineStr">
        <is>
          <t>Kings Road Dental Practice</t>
        </is>
      </c>
      <c r="E49" s="11" t="inlineStr">
        <is>
          <t>Support</t>
        </is>
      </c>
      <c r="F49" s="11" t="inlineStr">
        <is>
          <t>CC-KIN</t>
        </is>
      </c>
      <c r="G49" s="11" t="inlineStr">
        <is>
          <t>June 2026</t>
        </is>
      </c>
      <c r="H49" s="11" t="inlineStr">
        <is>
          <t>Monthly</t>
        </is>
      </c>
      <c r="I49" s="11" t="inlineStr">
        <is>
          <t>1257L</t>
        </is>
      </c>
      <c r="J49" s="11" t="inlineStr">
        <is>
          <t>A</t>
        </is>
      </c>
      <c r="K49" s="15" t="n">
        <v>4083.93</v>
      </c>
      <c r="L49" s="15" t="n">
        <v>4002.25</v>
      </c>
      <c r="M49" s="15" t="n">
        <v>3879.73</v>
      </c>
      <c r="N49" s="15" t="n">
        <v>294.95</v>
      </c>
      <c r="O49" s="15" t="n">
        <v>2722.62</v>
      </c>
      <c r="P49" s="15" t="n">
        <v>563.58</v>
      </c>
      <c r="Q49" s="15" t="n">
        <v>204.2</v>
      </c>
      <c r="R49" s="15" t="n">
        <v>20.42</v>
      </c>
      <c r="S49" s="15" t="n">
        <v>3539.4</v>
      </c>
      <c r="T49" s="15" t="n">
        <v>0</v>
      </c>
      <c r="U49" s="15" t="n">
        <v>0</v>
      </c>
      <c r="V49" s="15" t="n">
        <v>408.39</v>
      </c>
      <c r="W49" s="15" t="n">
        <v>0</v>
      </c>
      <c r="X49" s="15" t="n">
        <v>0</v>
      </c>
      <c r="Y49" s="15" t="n">
        <v>0</v>
      </c>
      <c r="Z49" s="15" t="n">
        <v>0</v>
      </c>
      <c r="AA49" s="15" t="n">
        <v>0</v>
      </c>
      <c r="AB49" s="15" t="n">
        <v>0</v>
      </c>
      <c r="AC49" s="15" t="n">
        <v>0</v>
      </c>
      <c r="AD49" s="15" t="n">
        <v>0</v>
      </c>
      <c r="AE49" s="11" t="inlineStr">
        <is>
          <t>P84847</t>
        </is>
      </c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  <c r="AO49" s="2" t="n"/>
      <c r="AP49" s="2" t="n"/>
      <c r="AQ49" s="2" t="n"/>
      <c r="AR49" s="2" t="n"/>
      <c r="AS49" s="2" t="n"/>
    </row>
    <row r="50">
      <c r="A50" s="11" t="n">
        <v>36</v>
      </c>
      <c r="B50" s="11" t="inlineStr">
        <is>
          <t>Surname993</t>
        </is>
      </c>
      <c r="C50" s="11" t="inlineStr">
        <is>
          <t>Forename993</t>
        </is>
      </c>
      <c r="D50" s="11" t="inlineStr">
        <is>
          <t>Hakim Group Head Office</t>
        </is>
      </c>
      <c r="E50" s="11" t="inlineStr">
        <is>
          <t>Support</t>
        </is>
      </c>
      <c r="F50" s="11" t="inlineStr">
        <is>
          <t>CC-HAK</t>
        </is>
      </c>
      <c r="G50" s="11" t="inlineStr">
        <is>
          <t>June 2026</t>
        </is>
      </c>
      <c r="H50" s="11" t="inlineStr">
        <is>
          <t>Monthly</t>
        </is>
      </c>
      <c r="I50" s="11" t="inlineStr">
        <is>
          <t>1257L</t>
        </is>
      </c>
      <c r="J50" s="11" t="inlineStr">
        <is>
          <t>A</t>
        </is>
      </c>
      <c r="K50" s="15" t="n">
        <v>2837.4</v>
      </c>
      <c r="L50" s="15" t="n">
        <v>2780.65</v>
      </c>
      <c r="M50" s="15" t="n">
        <v>2695.53</v>
      </c>
      <c r="N50" s="15" t="n">
        <v>204.9233333333333</v>
      </c>
      <c r="O50" s="15" t="n">
        <v>1891.6</v>
      </c>
      <c r="P50" s="15" t="n">
        <v>391.56</v>
      </c>
      <c r="Q50" s="15" t="n">
        <v>141.87</v>
      </c>
      <c r="R50" s="15" t="n">
        <v>14.19</v>
      </c>
      <c r="S50" s="15" t="n">
        <v>2459.08</v>
      </c>
      <c r="T50" s="15" t="n">
        <v>0</v>
      </c>
      <c r="U50" s="15" t="n">
        <v>0</v>
      </c>
      <c r="V50" s="15" t="n">
        <v>0</v>
      </c>
      <c r="W50" s="15" t="n">
        <v>0</v>
      </c>
      <c r="X50" s="15" t="n">
        <v>0</v>
      </c>
      <c r="Y50" s="15" t="n">
        <v>283.74</v>
      </c>
      <c r="Z50" s="15" t="n">
        <v>0</v>
      </c>
      <c r="AA50" s="15" t="n">
        <v>0</v>
      </c>
      <c r="AB50" s="15" t="n">
        <v>0</v>
      </c>
      <c r="AC50" s="15" t="n">
        <v>0</v>
      </c>
      <c r="AD50" s="15" t="n">
        <v>0</v>
      </c>
      <c r="AE50" s="11" t="inlineStr">
        <is>
          <t>P71993</t>
        </is>
      </c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  <c r="AO50" s="2" t="n"/>
      <c r="AP50" s="2" t="n"/>
      <c r="AQ50" s="2" t="n"/>
      <c r="AR50" s="2" t="n"/>
      <c r="AS50" s="2" t="n"/>
    </row>
    <row r="51">
      <c r="A51" s="11" t="n">
        <v>37</v>
      </c>
      <c r="B51" s="11" t="inlineStr">
        <is>
          <t>Surname438</t>
        </is>
      </c>
      <c r="C51" s="11" t="inlineStr">
        <is>
          <t>Forename438</t>
        </is>
      </c>
      <c r="D51" s="11" t="inlineStr">
        <is>
          <t>Oakfield Dental Practice</t>
        </is>
      </c>
      <c r="E51" s="11" t="inlineStr">
        <is>
          <t>Clinical</t>
        </is>
      </c>
      <c r="F51" s="11" t="inlineStr">
        <is>
          <t>CC-OAK</t>
        </is>
      </c>
      <c r="G51" s="11" t="inlineStr">
        <is>
          <t>June 2026</t>
        </is>
      </c>
      <c r="H51" s="11" t="inlineStr">
        <is>
          <t>Monthly</t>
        </is>
      </c>
      <c r="I51" s="11" t="inlineStr">
        <is>
          <t>1257L</t>
        </is>
      </c>
      <c r="J51" s="11" t="inlineStr">
        <is>
          <t>A</t>
        </is>
      </c>
      <c r="K51" s="15" t="n">
        <v>3586.17</v>
      </c>
      <c r="L51" s="15" t="n">
        <v>3514.45</v>
      </c>
      <c r="M51" s="15" t="n">
        <v>3406.86</v>
      </c>
      <c r="N51" s="15" t="n">
        <v>259.0008333333333</v>
      </c>
      <c r="O51" s="15" t="n">
        <v>2390.78</v>
      </c>
      <c r="P51" s="15" t="n">
        <v>494.89</v>
      </c>
      <c r="Q51" s="15" t="n">
        <v>179.31</v>
      </c>
      <c r="R51" s="15" t="n">
        <v>17.93</v>
      </c>
      <c r="S51" s="15" t="n">
        <v>3108.01</v>
      </c>
      <c r="T51" s="15" t="n">
        <v>0</v>
      </c>
      <c r="U51" s="15" t="n">
        <v>0</v>
      </c>
      <c r="V51" s="15" t="n">
        <v>0</v>
      </c>
      <c r="W51" s="15" t="n">
        <v>0</v>
      </c>
      <c r="X51" s="15" t="n">
        <v>0</v>
      </c>
      <c r="Y51" s="15" t="n">
        <v>0</v>
      </c>
      <c r="Z51" s="15" t="n">
        <v>0</v>
      </c>
      <c r="AA51" s="15" t="n">
        <v>0</v>
      </c>
      <c r="AB51" s="15" t="n">
        <v>0</v>
      </c>
      <c r="AC51" s="15" t="n">
        <v>0</v>
      </c>
      <c r="AD51" s="15" t="n">
        <v>358.62</v>
      </c>
      <c r="AE51" s="11" t="inlineStr">
        <is>
          <t>P56438</t>
        </is>
      </c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  <c r="AO51" s="2" t="n"/>
      <c r="AP51" s="2" t="n"/>
      <c r="AQ51" s="2" t="n"/>
      <c r="AR51" s="2" t="n"/>
      <c r="AS51" s="2" t="n"/>
    </row>
    <row r="52">
      <c r="A52" s="11" t="n">
        <v>38</v>
      </c>
      <c r="B52" s="11" t="inlineStr">
        <is>
          <t>Surname696</t>
        </is>
      </c>
      <c r="C52" s="11" t="inlineStr">
        <is>
          <t>Forename696</t>
        </is>
      </c>
      <c r="D52" s="11" t="inlineStr">
        <is>
          <t>Oakfield Dental Practice</t>
        </is>
      </c>
      <c r="E52" s="11" t="inlineStr">
        <is>
          <t>Clinical</t>
        </is>
      </c>
      <c r="F52" s="11" t="inlineStr">
        <is>
          <t>CC-OAK</t>
        </is>
      </c>
      <c r="G52" s="11" t="inlineStr">
        <is>
          <t>June 2026</t>
        </is>
      </c>
      <c r="H52" s="11" t="inlineStr">
        <is>
          <t>Monthly</t>
        </is>
      </c>
      <c r="I52" s="11" t="inlineStr">
        <is>
          <t>1257L</t>
        </is>
      </c>
      <c r="J52" s="11" t="inlineStr">
        <is>
          <t>A</t>
        </is>
      </c>
      <c r="K52" s="15" t="n">
        <v>3612.06</v>
      </c>
      <c r="L52" s="15" t="n">
        <v>3539.82</v>
      </c>
      <c r="M52" s="15" t="n">
        <v>3431.46</v>
      </c>
      <c r="N52" s="15" t="n">
        <v>260.8708333333333</v>
      </c>
      <c r="O52" s="15" t="n">
        <v>2408.04</v>
      </c>
      <c r="P52" s="15" t="n">
        <v>498.46</v>
      </c>
      <c r="Q52" s="15" t="n">
        <v>180.6</v>
      </c>
      <c r="R52" s="15" t="n">
        <v>18.06</v>
      </c>
      <c r="S52" s="15" t="n">
        <v>3130.45</v>
      </c>
      <c r="T52" s="15" t="n">
        <v>0</v>
      </c>
      <c r="U52" s="15" t="n">
        <v>0</v>
      </c>
      <c r="V52" s="15" t="n">
        <v>0</v>
      </c>
      <c r="W52" s="15" t="n">
        <v>0</v>
      </c>
      <c r="X52" s="15" t="n">
        <v>0</v>
      </c>
      <c r="Y52" s="15" t="n">
        <v>0</v>
      </c>
      <c r="Z52" s="15" t="n">
        <v>0</v>
      </c>
      <c r="AA52" s="15" t="n">
        <v>0</v>
      </c>
      <c r="AB52" s="15" t="n">
        <v>0</v>
      </c>
      <c r="AC52" s="15" t="n">
        <v>361.21</v>
      </c>
      <c r="AD52" s="15" t="n">
        <v>0</v>
      </c>
      <c r="AE52" s="11" t="inlineStr">
        <is>
          <t>P94696</t>
        </is>
      </c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  <c r="AO52" s="2" t="n"/>
      <c r="AP52" s="2" t="n"/>
      <c r="AQ52" s="2" t="n"/>
      <c r="AR52" s="2" t="n"/>
      <c r="AS52" s="2" t="n"/>
    </row>
    <row r="53">
      <c r="A53" s="11" t="n">
        <v>39</v>
      </c>
      <c r="B53" s="11" t="inlineStr">
        <is>
          <t>Surname322</t>
        </is>
      </c>
      <c r="C53" s="11" t="inlineStr">
        <is>
          <t>Forename322</t>
        </is>
      </c>
      <c r="D53" s="11" t="inlineStr">
        <is>
          <t>Riverside Dental Practice</t>
        </is>
      </c>
      <c r="E53" s="11" t="inlineStr">
        <is>
          <t>Clinical</t>
        </is>
      </c>
      <c r="F53" s="11" t="inlineStr">
        <is>
          <t>CC-RIV</t>
        </is>
      </c>
      <c r="G53" s="11" t="inlineStr">
        <is>
          <t>June 2026</t>
        </is>
      </c>
      <c r="H53" s="11" t="inlineStr">
        <is>
          <t>Monthly</t>
        </is>
      </c>
      <c r="I53" s="11" t="inlineStr">
        <is>
          <t>1257L</t>
        </is>
      </c>
      <c r="J53" s="11" t="inlineStr">
        <is>
          <t>A</t>
        </is>
      </c>
      <c r="K53" s="15" t="n">
        <v>3841.07</v>
      </c>
      <c r="L53" s="15" t="n">
        <v>3764.25</v>
      </c>
      <c r="M53" s="15" t="n">
        <v>3649.02</v>
      </c>
      <c r="N53" s="15" t="n">
        <v>277.41</v>
      </c>
      <c r="O53" s="15" t="n">
        <v>2560.71</v>
      </c>
      <c r="P53" s="15" t="n">
        <v>530.0700000000001</v>
      </c>
      <c r="Q53" s="15" t="n">
        <v>192.05</v>
      </c>
      <c r="R53" s="15" t="n">
        <v>19.21</v>
      </c>
      <c r="S53" s="15" t="n">
        <v>3328.92</v>
      </c>
      <c r="T53" s="15" t="n">
        <v>0</v>
      </c>
      <c r="U53" s="15" t="n">
        <v>384.11</v>
      </c>
      <c r="V53" s="15" t="n">
        <v>0</v>
      </c>
      <c r="W53" s="15" t="n">
        <v>0</v>
      </c>
      <c r="X53" s="15" t="n">
        <v>0</v>
      </c>
      <c r="Y53" s="15" t="n">
        <v>0</v>
      </c>
      <c r="Z53" s="15" t="n">
        <v>0</v>
      </c>
      <c r="AA53" s="15" t="n">
        <v>0</v>
      </c>
      <c r="AB53" s="15" t="n">
        <v>0</v>
      </c>
      <c r="AC53" s="15" t="n">
        <v>0</v>
      </c>
      <c r="AD53" s="15" t="n">
        <v>0</v>
      </c>
      <c r="AE53" s="11" t="inlineStr">
        <is>
          <t>P24322</t>
        </is>
      </c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  <c r="AO53" s="2" t="n"/>
      <c r="AP53" s="2" t="n"/>
      <c r="AQ53" s="2" t="n"/>
      <c r="AR53" s="2" t="n"/>
      <c r="AS53" s="2" t="n"/>
    </row>
    <row r="54">
      <c r="A54" s="11" t="n">
        <v>40</v>
      </c>
      <c r="B54" s="11" t="inlineStr">
        <is>
          <t>Surname050</t>
        </is>
      </c>
      <c r="C54" s="11" t="inlineStr">
        <is>
          <t>Forename050</t>
        </is>
      </c>
      <c r="D54" s="11" t="inlineStr">
        <is>
          <t>Kings Road Dental Practice</t>
        </is>
      </c>
      <c r="E54" s="11" t="inlineStr">
        <is>
          <t>Clinical</t>
        </is>
      </c>
      <c r="F54" s="11" t="inlineStr">
        <is>
          <t>CC-KIN</t>
        </is>
      </c>
      <c r="G54" s="11" t="inlineStr">
        <is>
          <t>June 2026</t>
        </is>
      </c>
      <c r="H54" s="11" t="inlineStr">
        <is>
          <t>Monthly</t>
        </is>
      </c>
      <c r="I54" s="11" t="inlineStr">
        <is>
          <t>1257L</t>
        </is>
      </c>
      <c r="J54" s="11" t="inlineStr">
        <is>
          <t>A</t>
        </is>
      </c>
      <c r="K54" s="15" t="n">
        <v>2652.33</v>
      </c>
      <c r="L54" s="15" t="n">
        <v>2599.28</v>
      </c>
      <c r="M54" s="15" t="n">
        <v>2519.71</v>
      </c>
      <c r="N54" s="15" t="n">
        <v>191.5566666666666</v>
      </c>
      <c r="O54" s="15" t="n">
        <v>1768.22</v>
      </c>
      <c r="P54" s="15" t="n">
        <v>366.02</v>
      </c>
      <c r="Q54" s="15" t="n">
        <v>132.62</v>
      </c>
      <c r="R54" s="15" t="n">
        <v>13.26</v>
      </c>
      <c r="S54" s="15" t="n">
        <v>265.23</v>
      </c>
      <c r="T54" s="15" t="n">
        <v>0</v>
      </c>
      <c r="U54" s="15" t="n">
        <v>0</v>
      </c>
      <c r="V54" s="15" t="n">
        <v>0</v>
      </c>
      <c r="W54" s="15" t="n">
        <v>0</v>
      </c>
      <c r="X54" s="15" t="n">
        <v>0</v>
      </c>
      <c r="Y54" s="15" t="n">
        <v>0</v>
      </c>
      <c r="Z54" s="15" t="n">
        <v>0</v>
      </c>
      <c r="AA54" s="15" t="n">
        <v>0</v>
      </c>
      <c r="AB54" s="15" t="n">
        <v>0</v>
      </c>
      <c r="AC54" s="15" t="n">
        <v>0</v>
      </c>
      <c r="AD54" s="15" t="n">
        <v>0</v>
      </c>
      <c r="AE54" s="11" t="inlineStr">
        <is>
          <t>P34050</t>
        </is>
      </c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  <c r="AO54" s="2" t="n"/>
      <c r="AP54" s="2" t="n"/>
      <c r="AQ54" s="2" t="n"/>
      <c r="AR54" s="2" t="n"/>
      <c r="AS54" s="2" t="n"/>
    </row>
    <row r="55">
      <c r="A55" s="11" t="n">
        <v>41</v>
      </c>
      <c r="B55" s="11" t="inlineStr">
        <is>
          <t>Surname638</t>
        </is>
      </c>
      <c r="C55" s="11" t="inlineStr">
        <is>
          <t>Forename638</t>
        </is>
      </c>
      <c r="D55" s="11" t="inlineStr">
        <is>
          <t>Oakfield Dental Practice</t>
        </is>
      </c>
      <c r="E55" s="11" t="inlineStr">
        <is>
          <t>Clinical</t>
        </is>
      </c>
      <c r="F55" s="11" t="inlineStr">
        <is>
          <t>CC-OAK</t>
        </is>
      </c>
      <c r="G55" s="11" t="inlineStr">
        <is>
          <t>June 2026</t>
        </is>
      </c>
      <c r="H55" s="11" t="inlineStr">
        <is>
          <t>Monthly</t>
        </is>
      </c>
      <c r="I55" s="11" t="inlineStr">
        <is>
          <t>1257L</t>
        </is>
      </c>
      <c r="J55" s="11" t="inlineStr">
        <is>
          <t>A</t>
        </is>
      </c>
      <c r="K55" s="15" t="n">
        <v>2537.59</v>
      </c>
      <c r="L55" s="15" t="n">
        <v>2486.84</v>
      </c>
      <c r="M55" s="15" t="n">
        <v>2410.71</v>
      </c>
      <c r="N55" s="15" t="n">
        <v>183.27</v>
      </c>
      <c r="O55" s="15" t="n">
        <v>1691.72</v>
      </c>
      <c r="P55" s="15" t="n">
        <v>350.19</v>
      </c>
      <c r="Q55" s="15" t="n">
        <v>126.88</v>
      </c>
      <c r="R55" s="15" t="n">
        <v>12.69</v>
      </c>
      <c r="S55" s="15" t="n">
        <v>2199.24</v>
      </c>
      <c r="T55" s="15" t="n">
        <v>0</v>
      </c>
      <c r="U55" s="15" t="n">
        <v>0</v>
      </c>
      <c r="V55" s="15" t="n">
        <v>0</v>
      </c>
      <c r="W55" s="15" t="n">
        <v>0</v>
      </c>
      <c r="X55" s="15" t="n">
        <v>0</v>
      </c>
      <c r="Y55" s="15" t="n">
        <v>0</v>
      </c>
      <c r="Z55" s="15" t="n">
        <v>0</v>
      </c>
      <c r="AA55" s="15" t="n">
        <v>0</v>
      </c>
      <c r="AB55" s="15" t="n">
        <v>0</v>
      </c>
      <c r="AC55" s="15" t="n">
        <v>0</v>
      </c>
      <c r="AD55" s="15" t="n">
        <v>0</v>
      </c>
      <c r="AE55" s="11" t="inlineStr">
        <is>
          <t>P69638</t>
        </is>
      </c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  <c r="AO55" s="2" t="n"/>
      <c r="AP55" s="2" t="n"/>
      <c r="AQ55" s="2" t="n"/>
      <c r="AR55" s="2" t="n"/>
      <c r="AS55" s="2" t="n"/>
    </row>
    <row r="56">
      <c r="A56" s="11" t="n">
        <v>42</v>
      </c>
      <c r="B56" s="11" t="inlineStr">
        <is>
          <t>Surname890</t>
        </is>
      </c>
      <c r="C56" s="11" t="inlineStr">
        <is>
          <t>Forename890</t>
        </is>
      </c>
      <c r="D56" s="11" t="inlineStr">
        <is>
          <t>Elm Park Dental Practice</t>
        </is>
      </c>
      <c r="E56" s="11" t="inlineStr">
        <is>
          <t>Clinical</t>
        </is>
      </c>
      <c r="F56" s="11" t="inlineStr">
        <is>
          <t>CC-ELM</t>
        </is>
      </c>
      <c r="G56" s="11" t="inlineStr">
        <is>
          <t>June 2026</t>
        </is>
      </c>
      <c r="H56" s="11" t="inlineStr">
        <is>
          <t>Monthly</t>
        </is>
      </c>
      <c r="I56" s="11" t="inlineStr">
        <is>
          <t>1257L</t>
        </is>
      </c>
      <c r="J56" s="11" t="inlineStr">
        <is>
          <t>A</t>
        </is>
      </c>
      <c r="K56" s="15" t="n">
        <v>2355.41</v>
      </c>
      <c r="L56" s="15" t="n">
        <v>2308.3</v>
      </c>
      <c r="M56" s="15" t="n">
        <v>2237.64</v>
      </c>
      <c r="N56" s="15" t="n">
        <v>170.1133333333333</v>
      </c>
      <c r="O56" s="15" t="n">
        <v>1570.28</v>
      </c>
      <c r="P56" s="15" t="n">
        <v>325.05</v>
      </c>
      <c r="Q56" s="15" t="n">
        <v>117.77</v>
      </c>
      <c r="R56" s="15" t="n">
        <v>11.78</v>
      </c>
      <c r="S56" s="15" t="n">
        <v>2041.36</v>
      </c>
      <c r="T56" s="15" t="n">
        <v>0</v>
      </c>
      <c r="U56" s="15" t="n">
        <v>0</v>
      </c>
      <c r="V56" s="15" t="n">
        <v>0</v>
      </c>
      <c r="W56" s="15" t="n">
        <v>0</v>
      </c>
      <c r="X56" s="15" t="n">
        <v>0</v>
      </c>
      <c r="Y56" s="15" t="n">
        <v>0</v>
      </c>
      <c r="Z56" s="15" t="n">
        <v>0</v>
      </c>
      <c r="AA56" s="15" t="n">
        <v>0</v>
      </c>
      <c r="AB56" s="15" t="n">
        <v>0</v>
      </c>
      <c r="AC56" s="15" t="n">
        <v>0</v>
      </c>
      <c r="AD56" s="15" t="n">
        <v>0</v>
      </c>
      <c r="AE56" s="11" t="inlineStr">
        <is>
          <t>P48890</t>
        </is>
      </c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  <c r="AO56" s="2" t="n"/>
      <c r="AP56" s="2" t="n"/>
      <c r="AQ56" s="2" t="n"/>
      <c r="AR56" s="2" t="n"/>
      <c r="AS56" s="2" t="n"/>
    </row>
    <row r="57">
      <c r="A57" s="11" t="n">
        <v>43</v>
      </c>
      <c r="B57" s="11" t="inlineStr">
        <is>
          <t>Surname492</t>
        </is>
      </c>
      <c r="C57" s="11" t="inlineStr">
        <is>
          <t>Forename492</t>
        </is>
      </c>
      <c r="D57" s="11" t="inlineStr">
        <is>
          <t>Kings Road Dental Practice</t>
        </is>
      </c>
      <c r="E57" s="11" t="inlineStr">
        <is>
          <t>Support</t>
        </is>
      </c>
      <c r="F57" s="11" t="inlineStr">
        <is>
          <t>CC-KIN</t>
        </is>
      </c>
      <c r="G57" s="11" t="inlineStr">
        <is>
          <t>June 2026</t>
        </is>
      </c>
      <c r="H57" s="11" t="inlineStr">
        <is>
          <t>Monthly</t>
        </is>
      </c>
      <c r="I57" s="11" t="inlineStr">
        <is>
          <t>1257L</t>
        </is>
      </c>
      <c r="J57" s="11" t="inlineStr">
        <is>
          <t>A</t>
        </is>
      </c>
      <c r="K57" s="15" t="n">
        <v>3334.16</v>
      </c>
      <c r="L57" s="15" t="n">
        <v>3267.48</v>
      </c>
      <c r="M57" s="15" t="n">
        <v>3167.45</v>
      </c>
      <c r="N57" s="15" t="n">
        <v>240.8008333333333</v>
      </c>
      <c r="O57" s="15" t="n">
        <v>2222.77</v>
      </c>
      <c r="P57" s="15" t="n">
        <v>460.11</v>
      </c>
      <c r="Q57" s="15" t="n">
        <v>166.71</v>
      </c>
      <c r="R57" s="15" t="n">
        <v>16.67</v>
      </c>
      <c r="S57" s="15" t="n">
        <v>2889.61</v>
      </c>
      <c r="T57" s="15" t="n">
        <v>0</v>
      </c>
      <c r="U57" s="15" t="n">
        <v>0</v>
      </c>
      <c r="V57" s="15" t="n">
        <v>0</v>
      </c>
      <c r="W57" s="15" t="n">
        <v>0</v>
      </c>
      <c r="X57" s="15" t="n">
        <v>0</v>
      </c>
      <c r="Y57" s="15" t="n">
        <v>0</v>
      </c>
      <c r="Z57" s="15" t="n">
        <v>0</v>
      </c>
      <c r="AA57" s="15" t="n">
        <v>0</v>
      </c>
      <c r="AB57" s="15" t="n">
        <v>0</v>
      </c>
      <c r="AC57" s="15" t="n">
        <v>0</v>
      </c>
      <c r="AD57" s="15" t="n">
        <v>0</v>
      </c>
      <c r="AE57" s="11" t="inlineStr">
        <is>
          <t>P17492</t>
        </is>
      </c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  <c r="AO57" s="2" t="n"/>
      <c r="AP57" s="2" t="n"/>
      <c r="AQ57" s="2" t="n"/>
      <c r="AR57" s="2" t="n"/>
      <c r="AS57" s="2" t="n"/>
    </row>
    <row r="58">
      <c r="A58" s="11" t="n">
        <v>44</v>
      </c>
      <c r="B58" s="11" t="inlineStr">
        <is>
          <t>Surname615</t>
        </is>
      </c>
      <c r="C58" s="11" t="inlineStr">
        <is>
          <t>Forename615</t>
        </is>
      </c>
      <c r="D58" s="11" t="inlineStr">
        <is>
          <t>Riverside Dental Practice</t>
        </is>
      </c>
      <c r="E58" s="11" t="inlineStr">
        <is>
          <t>Support</t>
        </is>
      </c>
      <c r="F58" s="11" t="inlineStr">
        <is>
          <t>CC-RIV</t>
        </is>
      </c>
      <c r="G58" s="11" t="inlineStr">
        <is>
          <t>June 2026</t>
        </is>
      </c>
      <c r="H58" s="11" t="inlineStr">
        <is>
          <t>Monthly</t>
        </is>
      </c>
      <c r="I58" s="11" t="inlineStr">
        <is>
          <t>1257L</t>
        </is>
      </c>
      <c r="J58" s="11" t="inlineStr">
        <is>
          <t>A</t>
        </is>
      </c>
      <c r="K58" s="15" t="n">
        <v>3616.99</v>
      </c>
      <c r="L58" s="15" t="n">
        <v>3544.65</v>
      </c>
      <c r="M58" s="15" t="n">
        <v>3436.14</v>
      </c>
      <c r="N58" s="15" t="n">
        <v>261.2266666666666</v>
      </c>
      <c r="O58" s="15" t="n">
        <v>2411.33</v>
      </c>
      <c r="P58" s="15" t="n">
        <v>499.14</v>
      </c>
      <c r="Q58" s="15" t="n">
        <v>180.85</v>
      </c>
      <c r="R58" s="15" t="n">
        <v>18.08</v>
      </c>
      <c r="S58" s="15" t="n">
        <v>3134.72</v>
      </c>
      <c r="T58" s="15" t="n">
        <v>0</v>
      </c>
      <c r="U58" s="15" t="n">
        <v>0</v>
      </c>
      <c r="V58" s="15" t="n">
        <v>0</v>
      </c>
      <c r="W58" s="15" t="n">
        <v>0</v>
      </c>
      <c r="X58" s="15" t="n">
        <v>0</v>
      </c>
      <c r="Y58" s="15" t="n">
        <v>0</v>
      </c>
      <c r="Z58" s="15" t="n">
        <v>0</v>
      </c>
      <c r="AA58" s="15" t="n">
        <v>0</v>
      </c>
      <c r="AB58" s="15" t="n">
        <v>0</v>
      </c>
      <c r="AC58" s="15" t="n">
        <v>0</v>
      </c>
      <c r="AD58" s="15" t="n">
        <v>0</v>
      </c>
      <c r="AE58" s="11" t="inlineStr">
        <is>
          <t>P79615</t>
        </is>
      </c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  <c r="AO58" s="2" t="n"/>
      <c r="AP58" s="2" t="n"/>
      <c r="AQ58" s="2" t="n"/>
      <c r="AR58" s="2" t="n"/>
      <c r="AS58" s="2" t="n"/>
    </row>
    <row r="59">
      <c r="A59" s="11" t="n">
        <v>45</v>
      </c>
      <c r="B59" s="11" t="inlineStr">
        <is>
          <t>Surname356</t>
        </is>
      </c>
      <c r="C59" s="11" t="inlineStr">
        <is>
          <t>Forename356</t>
        </is>
      </c>
      <c r="D59" s="11" t="inlineStr">
        <is>
          <t>Kings Road Dental Practice</t>
        </is>
      </c>
      <c r="E59" s="11" t="inlineStr">
        <is>
          <t>Support</t>
        </is>
      </c>
      <c r="F59" s="11" t="inlineStr">
        <is>
          <t>CC-KIN</t>
        </is>
      </c>
      <c r="G59" s="11" t="inlineStr">
        <is>
          <t>June 2026</t>
        </is>
      </c>
      <c r="H59" s="11" t="inlineStr">
        <is>
          <t>Monthly</t>
        </is>
      </c>
      <c r="I59" s="11" t="inlineStr">
        <is>
          <t>1257L</t>
        </is>
      </c>
      <c r="J59" s="11" t="inlineStr">
        <is>
          <t>A</t>
        </is>
      </c>
      <c r="K59" s="15" t="n">
        <v>190.35</v>
      </c>
      <c r="L59" s="15" t="n">
        <v>186.54</v>
      </c>
      <c r="M59" s="15" t="n">
        <v>180.83</v>
      </c>
      <c r="N59" s="15" t="n">
        <v>15.10666666666667</v>
      </c>
      <c r="O59" s="15" t="n">
        <v>181.28</v>
      </c>
      <c r="P59" s="15" t="n">
        <v>26.27</v>
      </c>
      <c r="Q59" s="15" t="n">
        <v>9.52</v>
      </c>
      <c r="R59" s="15" t="n">
        <v>0.95</v>
      </c>
      <c r="S59" s="15" t="n">
        <v>181.28</v>
      </c>
      <c r="T59" s="15" t="n">
        <v>0</v>
      </c>
      <c r="U59" s="15" t="n">
        <v>0</v>
      </c>
      <c r="V59" s="15" t="n">
        <v>0</v>
      </c>
      <c r="W59" s="15" t="n">
        <v>0</v>
      </c>
      <c r="X59" s="15" t="n">
        <v>0</v>
      </c>
      <c r="Y59" s="15" t="n">
        <v>0</v>
      </c>
      <c r="Z59" s="15" t="n">
        <v>0</v>
      </c>
      <c r="AA59" s="15" t="n">
        <v>0</v>
      </c>
      <c r="AB59" s="15" t="n">
        <v>0</v>
      </c>
      <c r="AC59" s="15" t="n">
        <v>0</v>
      </c>
      <c r="AD59" s="15" t="n">
        <v>0</v>
      </c>
      <c r="AE59" s="11" t="inlineStr">
        <is>
          <t>P34356</t>
        </is>
      </c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  <c r="AO59" s="2" t="n"/>
      <c r="AP59" s="2" t="n"/>
      <c r="AQ59" s="2" t="n"/>
      <c r="AR59" s="2" t="n"/>
      <c r="AS59" s="2" t="n"/>
    </row>
    <row r="60">
      <c r="A60" s="11" t="n">
        <v>46</v>
      </c>
      <c r="B60" s="11" t="inlineStr">
        <is>
          <t>Surname828</t>
        </is>
      </c>
      <c r="C60" s="11" t="inlineStr">
        <is>
          <t>Forename828</t>
        </is>
      </c>
      <c r="D60" s="11" t="inlineStr">
        <is>
          <t>Riverside Dental Practice</t>
        </is>
      </c>
      <c r="E60" s="11" t="inlineStr">
        <is>
          <t>Support</t>
        </is>
      </c>
      <c r="F60" s="11" t="inlineStr">
        <is>
          <t>CC-RIV</t>
        </is>
      </c>
      <c r="G60" s="11" t="inlineStr">
        <is>
          <t>June 2026</t>
        </is>
      </c>
      <c r="H60" s="11" t="inlineStr">
        <is>
          <t>Monthly</t>
        </is>
      </c>
      <c r="I60" s="11" t="inlineStr">
        <is>
          <t>1257L</t>
        </is>
      </c>
      <c r="J60" s="11" t="inlineStr">
        <is>
          <t>A</t>
        </is>
      </c>
      <c r="K60" s="15" t="n">
        <v>501.13</v>
      </c>
      <c r="L60" s="15" t="n">
        <v>491.11</v>
      </c>
      <c r="M60" s="15" t="n">
        <v>476.07</v>
      </c>
      <c r="N60" s="15" t="n">
        <v>39.7725</v>
      </c>
      <c r="O60" s="15" t="n">
        <v>477.27</v>
      </c>
      <c r="P60" s="15" t="n">
        <v>69.16</v>
      </c>
      <c r="Q60" s="15" t="n">
        <v>25.06</v>
      </c>
      <c r="R60" s="15" t="n">
        <v>2.51</v>
      </c>
      <c r="S60" s="15" t="n">
        <v>477.27</v>
      </c>
      <c r="T60" s="15" t="n">
        <v>0</v>
      </c>
      <c r="U60" s="15" t="n">
        <v>0</v>
      </c>
      <c r="V60" s="15" t="n">
        <v>0</v>
      </c>
      <c r="W60" s="15" t="n">
        <v>0</v>
      </c>
      <c r="X60" s="15" t="n">
        <v>0</v>
      </c>
      <c r="Y60" s="15" t="n">
        <v>0</v>
      </c>
      <c r="Z60" s="15" t="n">
        <v>0</v>
      </c>
      <c r="AA60" s="15" t="n">
        <v>0</v>
      </c>
      <c r="AB60" s="15" t="n">
        <v>0</v>
      </c>
      <c r="AC60" s="15" t="n">
        <v>0</v>
      </c>
      <c r="AD60" s="15" t="n">
        <v>0</v>
      </c>
      <c r="AE60" s="11" t="inlineStr">
        <is>
          <t>P40828</t>
        </is>
      </c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  <c r="AO60" s="2" t="n"/>
      <c r="AP60" s="2" t="n"/>
      <c r="AQ60" s="2" t="n"/>
      <c r="AR60" s="2" t="n"/>
      <c r="AS60" s="2" t="n"/>
    </row>
    <row r="61">
      <c r="A61" s="11" t="n">
        <v>47</v>
      </c>
      <c r="B61" s="11" t="inlineStr">
        <is>
          <t>Surname271</t>
        </is>
      </c>
      <c r="C61" s="11" t="inlineStr">
        <is>
          <t>Forename271</t>
        </is>
      </c>
      <c r="D61" s="11" t="inlineStr">
        <is>
          <t>Oakfield Dental Practice</t>
        </is>
      </c>
      <c r="E61" s="11" t="inlineStr">
        <is>
          <t>Support</t>
        </is>
      </c>
      <c r="F61" s="11" t="inlineStr">
        <is>
          <t>CC-OAK</t>
        </is>
      </c>
      <c r="G61" s="11" t="inlineStr">
        <is>
          <t>June 2026</t>
        </is>
      </c>
      <c r="H61" s="11" t="inlineStr">
        <is>
          <t>Monthly</t>
        </is>
      </c>
      <c r="I61" s="11" t="inlineStr">
        <is>
          <t>1257L</t>
        </is>
      </c>
      <c r="J61" s="11" t="inlineStr">
        <is>
          <t>A</t>
        </is>
      </c>
      <c r="K61" s="15" t="n">
        <v>226.73</v>
      </c>
      <c r="L61" s="15" t="n">
        <v>222.2</v>
      </c>
      <c r="M61" s="15" t="n">
        <v>215.39</v>
      </c>
      <c r="N61" s="15" t="n">
        <v>17.995</v>
      </c>
      <c r="O61" s="15" t="n">
        <v>215.94</v>
      </c>
      <c r="P61" s="15" t="n">
        <v>31.29</v>
      </c>
      <c r="Q61" s="15" t="n">
        <v>11.34</v>
      </c>
      <c r="R61" s="15" t="n">
        <v>1.13</v>
      </c>
      <c r="S61" s="15" t="n">
        <v>215.94</v>
      </c>
      <c r="T61" s="15" t="n">
        <v>0</v>
      </c>
      <c r="U61" s="15" t="n">
        <v>0</v>
      </c>
      <c r="V61" s="15" t="n">
        <v>0</v>
      </c>
      <c r="W61" s="15" t="n">
        <v>0</v>
      </c>
      <c r="X61" s="15" t="n">
        <v>0</v>
      </c>
      <c r="Y61" s="15" t="n">
        <v>0</v>
      </c>
      <c r="Z61" s="15" t="n">
        <v>0</v>
      </c>
      <c r="AA61" s="15" t="n">
        <v>0</v>
      </c>
      <c r="AB61" s="15" t="n">
        <v>0</v>
      </c>
      <c r="AC61" s="15" t="n">
        <v>0</v>
      </c>
      <c r="AD61" s="15" t="n">
        <v>0</v>
      </c>
      <c r="AE61" s="11" t="inlineStr">
        <is>
          <t>P42271</t>
        </is>
      </c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  <c r="AO61" s="2" t="n"/>
      <c r="AP61" s="2" t="n"/>
      <c r="AQ61" s="2" t="n"/>
      <c r="AR61" s="2" t="n"/>
      <c r="AS61" s="2" t="n"/>
    </row>
    <row r="62">
      <c r="A62" s="11" t="n">
        <v>48</v>
      </c>
      <c r="B62" s="11" t="inlineStr">
        <is>
          <t>Surname503</t>
        </is>
      </c>
      <c r="C62" s="11" t="inlineStr">
        <is>
          <t>Forename503</t>
        </is>
      </c>
      <c r="D62" s="11" t="inlineStr">
        <is>
          <t>Riverside Dental Practice</t>
        </is>
      </c>
      <c r="E62" s="11" t="inlineStr">
        <is>
          <t>Support</t>
        </is>
      </c>
      <c r="F62" s="11" t="inlineStr">
        <is>
          <t>CC-RIV</t>
        </is>
      </c>
      <c r="G62" s="11" t="inlineStr">
        <is>
          <t>June 2026</t>
        </is>
      </c>
      <c r="H62" s="11" t="inlineStr">
        <is>
          <t>Monthly</t>
        </is>
      </c>
      <c r="I62" s="11" t="inlineStr">
        <is>
          <t>1257L</t>
        </is>
      </c>
      <c r="J62" s="11" t="inlineStr">
        <is>
          <t>A</t>
        </is>
      </c>
      <c r="K62" s="15" t="n">
        <v>515.1900000000001</v>
      </c>
      <c r="L62" s="15" t="n">
        <v>504.89</v>
      </c>
      <c r="M62" s="15" t="n">
        <v>489.43</v>
      </c>
      <c r="N62" s="15" t="n">
        <v>40.88833333333334</v>
      </c>
      <c r="O62" s="15" t="n">
        <v>490.66</v>
      </c>
      <c r="P62" s="15" t="n">
        <v>71.09999999999999</v>
      </c>
      <c r="Q62" s="15" t="n">
        <v>25.76</v>
      </c>
      <c r="R62" s="15" t="n">
        <v>2.58</v>
      </c>
      <c r="S62" s="15" t="n">
        <v>490.66</v>
      </c>
      <c r="T62" s="15" t="n">
        <v>0</v>
      </c>
      <c r="U62" s="15" t="n">
        <v>0</v>
      </c>
      <c r="V62" s="15" t="n">
        <v>0</v>
      </c>
      <c r="W62" s="15" t="n">
        <v>0</v>
      </c>
      <c r="X62" s="15" t="n">
        <v>0</v>
      </c>
      <c r="Y62" s="15" t="n">
        <v>0</v>
      </c>
      <c r="Z62" s="15" t="n">
        <v>0</v>
      </c>
      <c r="AA62" s="15" t="n">
        <v>0</v>
      </c>
      <c r="AB62" s="15" t="n">
        <v>0</v>
      </c>
      <c r="AC62" s="15" t="n">
        <v>0</v>
      </c>
      <c r="AD62" s="15" t="n">
        <v>0</v>
      </c>
      <c r="AE62" s="11" t="inlineStr">
        <is>
          <t>P86503</t>
        </is>
      </c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  <c r="AO62" s="2" t="n"/>
      <c r="AP62" s="2" t="n"/>
      <c r="AQ62" s="2" t="n"/>
      <c r="AR62" s="2" t="n"/>
      <c r="AS62" s="2" t="n"/>
    </row>
    <row r="63">
      <c r="A63" s="11" t="n">
        <v>49</v>
      </c>
      <c r="B63" s="11" t="inlineStr">
        <is>
          <t>Surname814</t>
        </is>
      </c>
      <c r="C63" s="11" t="inlineStr">
        <is>
          <t>Forename814</t>
        </is>
      </c>
      <c r="D63" s="11" t="inlineStr">
        <is>
          <t>Elm Park Dental Practice</t>
        </is>
      </c>
      <c r="E63" s="11" t="inlineStr">
        <is>
          <t>Support</t>
        </is>
      </c>
      <c r="F63" s="11" t="inlineStr">
        <is>
          <t>CC-ELM</t>
        </is>
      </c>
      <c r="G63" s="11" t="inlineStr">
        <is>
          <t>June 2026</t>
        </is>
      </c>
      <c r="H63" s="11" t="inlineStr">
        <is>
          <t>Monthly</t>
        </is>
      </c>
      <c r="I63" s="11" t="inlineStr">
        <is>
          <t>1257L</t>
        </is>
      </c>
      <c r="J63" s="11" t="inlineStr">
        <is>
          <t>A</t>
        </is>
      </c>
      <c r="K63" s="15" t="n">
        <v>3503.67</v>
      </c>
      <c r="L63" s="15" t="n">
        <v>3433.6</v>
      </c>
      <c r="M63" s="15" t="n">
        <v>3328.49</v>
      </c>
      <c r="N63" s="15" t="n">
        <v>253.0433333333333</v>
      </c>
      <c r="O63" s="15" t="n">
        <v>2335.78</v>
      </c>
      <c r="P63" s="15" t="n">
        <v>483.51</v>
      </c>
      <c r="Q63" s="15" t="n">
        <v>175.18</v>
      </c>
      <c r="R63" s="15" t="n">
        <v>17.52</v>
      </c>
      <c r="S63" s="15" t="n">
        <v>3036.52</v>
      </c>
      <c r="T63" s="15" t="n">
        <v>0</v>
      </c>
      <c r="U63" s="15" t="n">
        <v>0</v>
      </c>
      <c r="V63" s="15" t="n">
        <v>0</v>
      </c>
      <c r="W63" s="15" t="n">
        <v>0</v>
      </c>
      <c r="X63" s="15" t="n">
        <v>0</v>
      </c>
      <c r="Y63" s="15" t="n">
        <v>0</v>
      </c>
      <c r="Z63" s="15" t="n">
        <v>0</v>
      </c>
      <c r="AA63" s="15" t="n">
        <v>0</v>
      </c>
      <c r="AB63" s="15" t="n">
        <v>0</v>
      </c>
      <c r="AC63" s="15" t="n">
        <v>0</v>
      </c>
      <c r="AD63" s="15" t="n">
        <v>0</v>
      </c>
      <c r="AE63" s="11" t="inlineStr">
        <is>
          <t>P44814</t>
        </is>
      </c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  <c r="AO63" s="2" t="n"/>
      <c r="AP63" s="2" t="n"/>
      <c r="AQ63" s="2" t="n"/>
      <c r="AR63" s="2" t="n"/>
      <c r="AS63" s="2" t="n"/>
    </row>
    <row r="64">
      <c r="A64" s="11" t="n">
        <v>50</v>
      </c>
      <c r="B64" s="11" t="inlineStr">
        <is>
          <t>Surname508</t>
        </is>
      </c>
      <c r="C64" s="11" t="inlineStr">
        <is>
          <t>Forename508</t>
        </is>
      </c>
      <c r="D64" s="11" t="inlineStr">
        <is>
          <t>Oakfield Dental Practice</t>
        </is>
      </c>
      <c r="E64" s="11" t="inlineStr">
        <is>
          <t>Clinical</t>
        </is>
      </c>
      <c r="F64" s="11" t="inlineStr">
        <is>
          <t>CC-OAK</t>
        </is>
      </c>
      <c r="G64" s="11" t="inlineStr">
        <is>
          <t>June 2026</t>
        </is>
      </c>
      <c r="H64" s="11" t="inlineStr">
        <is>
          <t>Monthly</t>
        </is>
      </c>
      <c r="I64" s="11" t="inlineStr">
        <is>
          <t>1257L</t>
        </is>
      </c>
      <c r="J64" s="11" t="inlineStr">
        <is>
          <t>A</t>
        </is>
      </c>
      <c r="K64" s="15" t="n">
        <v>3248.67</v>
      </c>
      <c r="L64" s="15" t="n">
        <v>3183.7</v>
      </c>
      <c r="M64" s="15" t="n">
        <v>3086.24</v>
      </c>
      <c r="N64" s="15" t="n">
        <v>234.6258333333334</v>
      </c>
      <c r="O64" s="15" t="n">
        <v>2165.78</v>
      </c>
      <c r="P64" s="15" t="n">
        <v>448.32</v>
      </c>
      <c r="Q64" s="15" t="n">
        <v>162.43</v>
      </c>
      <c r="R64" s="15" t="n">
        <v>16.24</v>
      </c>
      <c r="S64" s="15" t="n">
        <v>2815.51</v>
      </c>
      <c r="T64" s="15" t="n">
        <v>0</v>
      </c>
      <c r="U64" s="15" t="n">
        <v>0</v>
      </c>
      <c r="V64" s="15" t="n">
        <v>0</v>
      </c>
      <c r="W64" s="15" t="n">
        <v>0</v>
      </c>
      <c r="X64" s="15" t="n">
        <v>0</v>
      </c>
      <c r="Y64" s="15" t="n">
        <v>0</v>
      </c>
      <c r="Z64" s="15" t="n">
        <v>0</v>
      </c>
      <c r="AA64" s="15" t="n">
        <v>0</v>
      </c>
      <c r="AB64" s="15" t="n">
        <v>0</v>
      </c>
      <c r="AC64" s="15" t="n">
        <v>0</v>
      </c>
      <c r="AD64" s="15" t="n">
        <v>0</v>
      </c>
      <c r="AE64" s="11" t="inlineStr">
        <is>
          <t>P19508</t>
        </is>
      </c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  <c r="AO64" s="2" t="n"/>
      <c r="AP64" s="2" t="n"/>
      <c r="AQ64" s="2" t="n"/>
      <c r="AR64" s="2" t="n"/>
      <c r="AS64" s="2" t="n"/>
    </row>
    <row r="65">
      <c r="A65" s="11" t="n">
        <v>51</v>
      </c>
      <c r="B65" s="11" t="inlineStr">
        <is>
          <t>Surname602</t>
        </is>
      </c>
      <c r="C65" s="11" t="inlineStr">
        <is>
          <t>Forename602</t>
        </is>
      </c>
      <c r="D65" s="11" t="inlineStr">
        <is>
          <t>Riverside Dental Practice</t>
        </is>
      </c>
      <c r="E65" s="11" t="inlineStr">
        <is>
          <t>Support</t>
        </is>
      </c>
      <c r="F65" s="11" t="inlineStr">
        <is>
          <t>CC-RIV</t>
        </is>
      </c>
      <c r="G65" s="11" t="inlineStr">
        <is>
          <t>June 2026</t>
        </is>
      </c>
      <c r="H65" s="11" t="inlineStr">
        <is>
          <t>Monthly</t>
        </is>
      </c>
      <c r="I65" s="11" t="inlineStr">
        <is>
          <t>1257L</t>
        </is>
      </c>
      <c r="J65" s="11" t="inlineStr">
        <is>
          <t>A</t>
        </is>
      </c>
      <c r="K65" s="15" t="n">
        <v>3895.32</v>
      </c>
      <c r="L65" s="15" t="n">
        <v>3817.41</v>
      </c>
      <c r="M65" s="15" t="n">
        <v>3700.55</v>
      </c>
      <c r="N65" s="15" t="n">
        <v>281.3283333333333</v>
      </c>
      <c r="O65" s="15" t="n">
        <v>2596.88</v>
      </c>
      <c r="P65" s="15" t="n">
        <v>537.55</v>
      </c>
      <c r="Q65" s="15" t="n">
        <v>194.77</v>
      </c>
      <c r="R65" s="15" t="n">
        <v>19.48</v>
      </c>
      <c r="S65" s="15" t="n">
        <v>3375.94</v>
      </c>
      <c r="T65" s="15" t="n">
        <v>0</v>
      </c>
      <c r="U65" s="15" t="n">
        <v>0</v>
      </c>
      <c r="V65" s="15" t="n">
        <v>0</v>
      </c>
      <c r="W65" s="15" t="n">
        <v>0</v>
      </c>
      <c r="X65" s="15" t="n">
        <v>0</v>
      </c>
      <c r="Y65" s="15" t="n">
        <v>0</v>
      </c>
      <c r="Z65" s="15" t="n">
        <v>0</v>
      </c>
      <c r="AA65" s="15" t="n">
        <v>0</v>
      </c>
      <c r="AB65" s="15" t="n">
        <v>0</v>
      </c>
      <c r="AC65" s="15" t="n">
        <v>0</v>
      </c>
      <c r="AD65" s="15" t="n">
        <v>0</v>
      </c>
      <c r="AE65" s="11" t="inlineStr">
        <is>
          <t>P19602</t>
        </is>
      </c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  <c r="AO65" s="2" t="n"/>
      <c r="AP65" s="2" t="n"/>
      <c r="AQ65" s="2" t="n"/>
      <c r="AR65" s="2" t="n"/>
      <c r="AS65" s="2" t="n"/>
    </row>
    <row r="66">
      <c r="A66" s="11" t="n">
        <v>52</v>
      </c>
      <c r="B66" s="11" t="inlineStr">
        <is>
          <t>Surname745</t>
        </is>
      </c>
      <c r="C66" s="11" t="inlineStr">
        <is>
          <t>Forename745</t>
        </is>
      </c>
      <c r="D66" s="11" t="inlineStr">
        <is>
          <t>Kings Road Dental Practice</t>
        </is>
      </c>
      <c r="E66" s="11" t="inlineStr">
        <is>
          <t>Support</t>
        </is>
      </c>
      <c r="F66" s="11" t="inlineStr">
        <is>
          <t>CC-KIN</t>
        </is>
      </c>
      <c r="G66" s="11" t="inlineStr">
        <is>
          <t>June 2026</t>
        </is>
      </c>
      <c r="H66" s="11" t="inlineStr">
        <is>
          <t>Monthly</t>
        </is>
      </c>
      <c r="I66" s="11" t="inlineStr">
        <is>
          <t>1257L</t>
        </is>
      </c>
      <c r="J66" s="11" t="inlineStr">
        <is>
          <t>A</t>
        </is>
      </c>
      <c r="K66" s="15" t="n">
        <v>2858.95</v>
      </c>
      <c r="L66" s="15" t="n">
        <v>2801.77</v>
      </c>
      <c r="M66" s="15" t="n">
        <v>2716</v>
      </c>
      <c r="N66" s="15" t="n">
        <v>206.4791666666667</v>
      </c>
      <c r="O66" s="15" t="n">
        <v>1905.97</v>
      </c>
      <c r="P66" s="15" t="n">
        <v>394.54</v>
      </c>
      <c r="Q66" s="15" t="n">
        <v>142.95</v>
      </c>
      <c r="R66" s="15" t="n">
        <v>14.29</v>
      </c>
      <c r="S66" s="15" t="n">
        <v>2477.75</v>
      </c>
      <c r="T66" s="15" t="n">
        <v>0</v>
      </c>
      <c r="U66" s="15" t="n">
        <v>0</v>
      </c>
      <c r="V66" s="15" t="n">
        <v>0</v>
      </c>
      <c r="W66" s="15" t="n">
        <v>0</v>
      </c>
      <c r="X66" s="15" t="n">
        <v>0</v>
      </c>
      <c r="Y66" s="15" t="n">
        <v>0</v>
      </c>
      <c r="Z66" s="15" t="n">
        <v>0</v>
      </c>
      <c r="AA66" s="15" t="n">
        <v>0</v>
      </c>
      <c r="AB66" s="15" t="n">
        <v>0</v>
      </c>
      <c r="AC66" s="15" t="n">
        <v>0</v>
      </c>
      <c r="AD66" s="15" t="n">
        <v>0</v>
      </c>
      <c r="AE66" s="11" t="inlineStr">
        <is>
          <t>P55745</t>
        </is>
      </c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  <c r="AO66" s="2" t="n"/>
      <c r="AP66" s="2" t="n"/>
      <c r="AQ66" s="2" t="n"/>
      <c r="AR66" s="2" t="n"/>
      <c r="AS66" s="2" t="n"/>
    </row>
    <row r="67">
      <c r="A67" s="11" t="n">
        <v>53</v>
      </c>
      <c r="B67" s="11" t="inlineStr">
        <is>
          <t>Surname200</t>
        </is>
      </c>
      <c r="C67" s="11" t="inlineStr">
        <is>
          <t>Forename200</t>
        </is>
      </c>
      <c r="D67" s="11" t="inlineStr">
        <is>
          <t>Kings Road Dental Practice</t>
        </is>
      </c>
      <c r="E67" s="11" t="inlineStr">
        <is>
          <t>Clinical</t>
        </is>
      </c>
      <c r="F67" s="11" t="inlineStr">
        <is>
          <t>CC-KIN</t>
        </is>
      </c>
      <c r="G67" s="11" t="inlineStr">
        <is>
          <t>June 2026</t>
        </is>
      </c>
      <c r="H67" s="11" t="inlineStr">
        <is>
          <t>Monthly</t>
        </is>
      </c>
      <c r="I67" s="11" t="inlineStr">
        <is>
          <t>1257L</t>
        </is>
      </c>
      <c r="J67" s="11" t="inlineStr">
        <is>
          <t>A</t>
        </is>
      </c>
      <c r="K67" s="15" t="n">
        <v>3225.82</v>
      </c>
      <c r="L67" s="15" t="n">
        <v>3161.3</v>
      </c>
      <c r="M67" s="15" t="n">
        <v>3064.53</v>
      </c>
      <c r="N67" s="15" t="n">
        <v>232.9758333333333</v>
      </c>
      <c r="O67" s="15" t="n">
        <v>2150.55</v>
      </c>
      <c r="P67" s="15" t="n">
        <v>445.16</v>
      </c>
      <c r="Q67" s="15" t="n">
        <v>161.29</v>
      </c>
      <c r="R67" s="15" t="n">
        <v>16.13</v>
      </c>
      <c r="S67" s="15" t="n">
        <v>2795.71</v>
      </c>
      <c r="T67" s="15" t="n">
        <v>0</v>
      </c>
      <c r="U67" s="15" t="n">
        <v>0</v>
      </c>
      <c r="V67" s="15" t="n">
        <v>0</v>
      </c>
      <c r="W67" s="15" t="n">
        <v>0</v>
      </c>
      <c r="X67" s="15" t="n">
        <v>0</v>
      </c>
      <c r="Y67" s="15" t="n">
        <v>0</v>
      </c>
      <c r="Z67" s="15" t="n">
        <v>0</v>
      </c>
      <c r="AA67" s="15" t="n">
        <v>0</v>
      </c>
      <c r="AB67" s="15" t="n">
        <v>0</v>
      </c>
      <c r="AC67" s="15" t="n">
        <v>0</v>
      </c>
      <c r="AD67" s="15" t="n">
        <v>0</v>
      </c>
      <c r="AE67" s="11" t="inlineStr">
        <is>
          <t>P81200</t>
        </is>
      </c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  <c r="AO67" s="2" t="n"/>
      <c r="AP67" s="2" t="n"/>
      <c r="AQ67" s="2" t="n"/>
      <c r="AR67" s="2" t="n"/>
      <c r="AS67" s="2" t="n"/>
    </row>
    <row r="68">
      <c r="A68" s="11" t="n">
        <v>54</v>
      </c>
      <c r="B68" s="11" t="inlineStr">
        <is>
          <t>Surname538</t>
        </is>
      </c>
      <c r="C68" s="11" t="inlineStr">
        <is>
          <t>Forename538</t>
        </is>
      </c>
      <c r="D68" s="11" t="inlineStr">
        <is>
          <t>Elm Park Dental Practice</t>
        </is>
      </c>
      <c r="E68" s="11" t="inlineStr">
        <is>
          <t>Support</t>
        </is>
      </c>
      <c r="F68" s="11" t="inlineStr">
        <is>
          <t>CC-ELM</t>
        </is>
      </c>
      <c r="G68" s="11" t="inlineStr">
        <is>
          <t>June 2026</t>
        </is>
      </c>
      <c r="H68" s="11" t="inlineStr">
        <is>
          <t>Monthly</t>
        </is>
      </c>
      <c r="I68" s="11" t="inlineStr">
        <is>
          <t>1257L</t>
        </is>
      </c>
      <c r="J68" s="11" t="inlineStr">
        <is>
          <t>A</t>
        </is>
      </c>
      <c r="K68" s="15" t="n">
        <v>3334.73</v>
      </c>
      <c r="L68" s="15" t="n">
        <v>3268.04</v>
      </c>
      <c r="M68" s="15" t="n">
        <v>3167.99</v>
      </c>
      <c r="N68" s="15" t="n">
        <v>240.8416666666667</v>
      </c>
      <c r="O68" s="15" t="n">
        <v>2223.15</v>
      </c>
      <c r="P68" s="15" t="n">
        <v>460.19</v>
      </c>
      <c r="Q68" s="15" t="n">
        <v>166.74</v>
      </c>
      <c r="R68" s="15" t="n">
        <v>16.67</v>
      </c>
      <c r="S68" s="15" t="n">
        <v>2890.1</v>
      </c>
      <c r="T68" s="15" t="n">
        <v>0</v>
      </c>
      <c r="U68" s="15" t="n">
        <v>0</v>
      </c>
      <c r="V68" s="15" t="n">
        <v>0</v>
      </c>
      <c r="W68" s="15" t="n">
        <v>0</v>
      </c>
      <c r="X68" s="15" t="n">
        <v>0</v>
      </c>
      <c r="Y68" s="15" t="n">
        <v>0</v>
      </c>
      <c r="Z68" s="15" t="n">
        <v>0</v>
      </c>
      <c r="AA68" s="15" t="n">
        <v>0</v>
      </c>
      <c r="AB68" s="15" t="n">
        <v>0</v>
      </c>
      <c r="AC68" s="15" t="n">
        <v>0</v>
      </c>
      <c r="AD68" s="15" t="n">
        <v>0</v>
      </c>
      <c r="AE68" s="11" t="inlineStr">
        <is>
          <t>P97538</t>
        </is>
      </c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  <c r="AO68" s="2" t="n"/>
      <c r="AP68" s="2" t="n"/>
      <c r="AQ68" s="2" t="n"/>
      <c r="AR68" s="2" t="n"/>
      <c r="AS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  <c r="AO69" s="2" t="n"/>
      <c r="AP69" s="2" t="n"/>
      <c r="AQ69" s="2" t="n"/>
      <c r="AR69" s="2" t="n"/>
      <c r="AS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  <c r="AO70" s="2" t="n"/>
      <c r="AP70" s="2" t="n"/>
      <c r="AQ70" s="2" t="n"/>
      <c r="AR70" s="2" t="n"/>
      <c r="AS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  <c r="AO71" s="2" t="n"/>
      <c r="AP71" s="2" t="n"/>
      <c r="AQ71" s="2" t="n"/>
      <c r="AR71" s="2" t="n"/>
      <c r="AS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  <c r="AO72" s="2" t="n"/>
      <c r="AP72" s="2" t="n"/>
      <c r="AQ72" s="2" t="n"/>
      <c r="AR72" s="2" t="n"/>
      <c r="AS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  <c r="AO73" s="2" t="n"/>
      <c r="AP73" s="2" t="n"/>
      <c r="AQ73" s="2" t="n"/>
      <c r="AR73" s="2" t="n"/>
      <c r="AS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  <c r="AO74" s="2" t="n"/>
      <c r="AP74" s="2" t="n"/>
      <c r="AQ74" s="2" t="n"/>
      <c r="AR74" s="2" t="n"/>
      <c r="AS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  <c r="AO75" s="2" t="n"/>
      <c r="AP75" s="2" t="n"/>
      <c r="AQ75" s="2" t="n"/>
      <c r="AR75" s="2" t="n"/>
      <c r="AS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  <c r="AO76" s="2" t="n"/>
      <c r="AP76" s="2" t="n"/>
      <c r="AQ76" s="2" t="n"/>
      <c r="AR76" s="2" t="n"/>
      <c r="AS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  <c r="AO77" s="2" t="n"/>
      <c r="AP77" s="2" t="n"/>
      <c r="AQ77" s="2" t="n"/>
      <c r="AR77" s="2" t="n"/>
      <c r="AS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  <c r="AO78" s="2" t="n"/>
      <c r="AP78" s="2" t="n"/>
      <c r="AQ78" s="2" t="n"/>
      <c r="AR78" s="2" t="n"/>
      <c r="AS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  <c r="AO79" s="2" t="n"/>
      <c r="AP79" s="2" t="n"/>
      <c r="AQ79" s="2" t="n"/>
      <c r="AR79" s="2" t="n"/>
      <c r="AS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  <c r="AO80" s="2" t="n"/>
      <c r="AP80" s="2" t="n"/>
      <c r="AQ80" s="2" t="n"/>
      <c r="AR80" s="2" t="n"/>
      <c r="AS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  <c r="AO81" s="2" t="n"/>
      <c r="AP81" s="2" t="n"/>
      <c r="AQ81" s="2" t="n"/>
      <c r="AR81" s="2" t="n"/>
      <c r="AS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  <c r="AO82" s="2" t="n"/>
      <c r="AP82" s="2" t="n"/>
      <c r="AQ82" s="2" t="n"/>
      <c r="AR82" s="2" t="n"/>
      <c r="AS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  <c r="AO83" s="2" t="n"/>
      <c r="AP83" s="2" t="n"/>
      <c r="AQ83" s="2" t="n"/>
      <c r="AR83" s="2" t="n"/>
      <c r="AS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  <c r="AO84" s="2" t="n"/>
      <c r="AP84" s="2" t="n"/>
      <c r="AQ84" s="2" t="n"/>
      <c r="AR84" s="2" t="n"/>
      <c r="AS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  <c r="AO85" s="2" t="n"/>
      <c r="AP85" s="2" t="n"/>
      <c r="AQ85" s="2" t="n"/>
      <c r="AR85" s="2" t="n"/>
      <c r="AS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  <c r="AO86" s="2" t="n"/>
      <c r="AP86" s="2" t="n"/>
      <c r="AQ86" s="2" t="n"/>
      <c r="AR86" s="2" t="n"/>
      <c r="AS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  <c r="AO87" s="2" t="n"/>
      <c r="AP87" s="2" t="n"/>
      <c r="AQ87" s="2" t="n"/>
      <c r="AR87" s="2" t="n"/>
      <c r="AS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  <c r="AO88" s="2" t="n"/>
      <c r="AP88" s="2" t="n"/>
      <c r="AQ88" s="2" t="n"/>
      <c r="AR88" s="2" t="n"/>
      <c r="AS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  <c r="AO89" s="2" t="n"/>
      <c r="AP89" s="2" t="n"/>
      <c r="AQ89" s="2" t="n"/>
      <c r="AR89" s="2" t="n"/>
      <c r="AS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  <c r="AO90" s="2" t="n"/>
      <c r="AP90" s="2" t="n"/>
      <c r="AQ90" s="2" t="n"/>
      <c r="AR90" s="2" t="n"/>
      <c r="AS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  <c r="AO91" s="2" t="n"/>
      <c r="AP91" s="2" t="n"/>
      <c r="AQ91" s="2" t="n"/>
      <c r="AR91" s="2" t="n"/>
      <c r="AS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  <c r="AO92" s="2" t="n"/>
      <c r="AP92" s="2" t="n"/>
      <c r="AQ92" s="2" t="n"/>
      <c r="AR92" s="2" t="n"/>
      <c r="AS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  <c r="AO93" s="2" t="n"/>
      <c r="AP93" s="2" t="n"/>
      <c r="AQ93" s="2" t="n"/>
      <c r="AR93" s="2" t="n"/>
      <c r="AS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  <c r="AO94" s="2" t="n"/>
      <c r="AP94" s="2" t="n"/>
      <c r="AQ94" s="2" t="n"/>
      <c r="AR94" s="2" t="n"/>
      <c r="AS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  <c r="AO95" s="2" t="n"/>
      <c r="AP95" s="2" t="n"/>
      <c r="AQ95" s="2" t="n"/>
      <c r="AR95" s="2" t="n"/>
      <c r="AS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  <c r="AO96" s="2" t="n"/>
      <c r="AP96" s="2" t="n"/>
      <c r="AQ96" s="2" t="n"/>
      <c r="AR96" s="2" t="n"/>
      <c r="AS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  <c r="AO97" s="2" t="n"/>
      <c r="AP97" s="2" t="n"/>
      <c r="AQ97" s="2" t="n"/>
      <c r="AR97" s="2" t="n"/>
      <c r="AS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  <c r="AO98" s="2" t="n"/>
      <c r="AP98" s="2" t="n"/>
      <c r="AQ98" s="2" t="n"/>
      <c r="AR98" s="2" t="n"/>
      <c r="AS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  <c r="AO99" s="2" t="n"/>
      <c r="AP99" s="2" t="n"/>
      <c r="AQ99" s="2" t="n"/>
      <c r="AR99" s="2" t="n"/>
      <c r="AS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  <c r="AO100" s="2" t="n"/>
      <c r="AP100" s="2" t="n"/>
      <c r="AQ100" s="2" t="n"/>
      <c r="AR100" s="2" t="n"/>
      <c r="AS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  <c r="AO101" s="2" t="n"/>
      <c r="AP101" s="2" t="n"/>
      <c r="AQ101" s="2" t="n"/>
      <c r="AR101" s="2" t="n"/>
      <c r="AS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  <c r="AO102" s="2" t="n"/>
      <c r="AP102" s="2" t="n"/>
      <c r="AQ102" s="2" t="n"/>
      <c r="AR102" s="2" t="n"/>
      <c r="AS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  <c r="AO103" s="2" t="n"/>
      <c r="AP103" s="2" t="n"/>
      <c r="AQ103" s="2" t="n"/>
      <c r="AR103" s="2" t="n"/>
      <c r="AS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  <c r="AO104" s="2" t="n"/>
      <c r="AP104" s="2" t="n"/>
      <c r="AQ104" s="2" t="n"/>
      <c r="AR104" s="2" t="n"/>
      <c r="AS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  <c r="AO105" s="2" t="n"/>
      <c r="AP105" s="2" t="n"/>
      <c r="AQ105" s="2" t="n"/>
      <c r="AR105" s="2" t="n"/>
      <c r="AS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  <c r="AO106" s="2" t="n"/>
      <c r="AP106" s="2" t="n"/>
      <c r="AQ106" s="2" t="n"/>
      <c r="AR106" s="2" t="n"/>
      <c r="AS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  <c r="AO107" s="2" t="n"/>
      <c r="AP107" s="2" t="n"/>
      <c r="AQ107" s="2" t="n"/>
      <c r="AR107" s="2" t="n"/>
      <c r="AS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  <c r="AO108" s="2" t="n"/>
      <c r="AP108" s="2" t="n"/>
      <c r="AQ108" s="2" t="n"/>
      <c r="AR108" s="2" t="n"/>
      <c r="AS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  <c r="AO109" s="2" t="n"/>
      <c r="AP109" s="2" t="n"/>
      <c r="AQ109" s="2" t="n"/>
      <c r="AR109" s="2" t="n"/>
      <c r="AS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  <c r="AO110" s="2" t="n"/>
      <c r="AP110" s="2" t="n"/>
      <c r="AQ110" s="2" t="n"/>
      <c r="AR110" s="2" t="n"/>
      <c r="AS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  <c r="AO111" s="2" t="n"/>
      <c r="AP111" s="2" t="n"/>
      <c r="AQ111" s="2" t="n"/>
      <c r="AR111" s="2" t="n"/>
      <c r="AS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  <c r="AO112" s="2" t="n"/>
      <c r="AP112" s="2" t="n"/>
      <c r="AQ112" s="2" t="n"/>
      <c r="AR112" s="2" t="n"/>
      <c r="AS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  <c r="AO113" s="2" t="n"/>
      <c r="AP113" s="2" t="n"/>
      <c r="AQ113" s="2" t="n"/>
      <c r="AR113" s="2" t="n"/>
      <c r="AS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  <c r="AO114" s="2" t="n"/>
      <c r="AP114" s="2" t="n"/>
      <c r="AQ114" s="2" t="n"/>
      <c r="AR114" s="2" t="n"/>
      <c r="AS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  <c r="AO115" s="2" t="n"/>
      <c r="AP115" s="2" t="n"/>
      <c r="AQ115" s="2" t="n"/>
      <c r="AR115" s="2" t="n"/>
      <c r="AS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  <c r="AO116" s="2" t="n"/>
      <c r="AP116" s="2" t="n"/>
      <c r="AQ116" s="2" t="n"/>
      <c r="AR116" s="2" t="n"/>
      <c r="AS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  <c r="AO117" s="2" t="n"/>
      <c r="AP117" s="2" t="n"/>
      <c r="AQ117" s="2" t="n"/>
      <c r="AR117" s="2" t="n"/>
      <c r="AS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  <c r="AO118" s="2" t="n"/>
      <c r="AP118" s="2" t="n"/>
      <c r="AQ118" s="2" t="n"/>
      <c r="AR118" s="2" t="n"/>
      <c r="AS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  <c r="AO119" s="2" t="n"/>
      <c r="AP119" s="2" t="n"/>
      <c r="AQ119" s="2" t="n"/>
      <c r="AR119" s="2" t="n"/>
      <c r="AS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  <c r="AO120" s="2" t="n"/>
      <c r="AP120" s="2" t="n"/>
      <c r="AQ120" s="2" t="n"/>
      <c r="AR120" s="2" t="n"/>
      <c r="AS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  <c r="AO121" s="2" t="n"/>
      <c r="AP121" s="2" t="n"/>
      <c r="AQ121" s="2" t="n"/>
      <c r="AR121" s="2" t="n"/>
      <c r="AS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  <c r="AO122" s="2" t="n"/>
      <c r="AP122" s="2" t="n"/>
      <c r="AQ122" s="2" t="n"/>
      <c r="AR122" s="2" t="n"/>
      <c r="AS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  <c r="AO123" s="2" t="n"/>
      <c r="AP123" s="2" t="n"/>
      <c r="AQ123" s="2" t="n"/>
      <c r="AR123" s="2" t="n"/>
      <c r="AS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  <c r="AO124" s="2" t="n"/>
      <c r="AP124" s="2" t="n"/>
      <c r="AQ124" s="2" t="n"/>
      <c r="AR124" s="2" t="n"/>
      <c r="AS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  <c r="AO125" s="2" t="n"/>
      <c r="AP125" s="2" t="n"/>
      <c r="AQ125" s="2" t="n"/>
      <c r="AR125" s="2" t="n"/>
      <c r="AS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  <c r="AO126" s="2" t="n"/>
      <c r="AP126" s="2" t="n"/>
      <c r="AQ126" s="2" t="n"/>
      <c r="AR126" s="2" t="n"/>
      <c r="AS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  <c r="AO127" s="2" t="n"/>
      <c r="AP127" s="2" t="n"/>
      <c r="AQ127" s="2" t="n"/>
      <c r="AR127" s="2" t="n"/>
      <c r="AS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  <c r="AO128" s="2" t="n"/>
      <c r="AP128" s="2" t="n"/>
      <c r="AQ128" s="2" t="n"/>
      <c r="AR128" s="2" t="n"/>
      <c r="AS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  <c r="AO129" s="2" t="n"/>
      <c r="AP129" s="2" t="n"/>
      <c r="AQ129" s="2" t="n"/>
      <c r="AR129" s="2" t="n"/>
      <c r="AS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  <c r="AO130" s="2" t="n"/>
      <c r="AP130" s="2" t="n"/>
      <c r="AQ130" s="2" t="n"/>
      <c r="AR130" s="2" t="n"/>
      <c r="AS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  <c r="AO131" s="2" t="n"/>
      <c r="AP131" s="2" t="n"/>
      <c r="AQ131" s="2" t="n"/>
      <c r="AR131" s="2" t="n"/>
      <c r="AS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  <c r="AO132" s="2" t="n"/>
      <c r="AP132" s="2" t="n"/>
      <c r="AQ132" s="2" t="n"/>
      <c r="AR132" s="2" t="n"/>
      <c r="AS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  <c r="AO133" s="2" t="n"/>
      <c r="AP133" s="2" t="n"/>
      <c r="AQ133" s="2" t="n"/>
      <c r="AR133" s="2" t="n"/>
      <c r="AS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  <c r="AO134" s="2" t="n"/>
      <c r="AP134" s="2" t="n"/>
      <c r="AQ134" s="2" t="n"/>
      <c r="AR134" s="2" t="n"/>
      <c r="AS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  <c r="AO135" s="2" t="n"/>
      <c r="AP135" s="2" t="n"/>
      <c r="AQ135" s="2" t="n"/>
      <c r="AR135" s="2" t="n"/>
      <c r="AS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  <c r="AO136" s="2" t="n"/>
      <c r="AP136" s="2" t="n"/>
      <c r="AQ136" s="2" t="n"/>
      <c r="AR136" s="2" t="n"/>
      <c r="AS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  <c r="AO137" s="2" t="n"/>
      <c r="AP137" s="2" t="n"/>
      <c r="AQ137" s="2" t="n"/>
      <c r="AR137" s="2" t="n"/>
      <c r="AS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  <c r="AO138" s="2" t="n"/>
      <c r="AP138" s="2" t="n"/>
      <c r="AQ138" s="2" t="n"/>
      <c r="AR138" s="2" t="n"/>
      <c r="AS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  <c r="AO139" s="2" t="n"/>
      <c r="AP139" s="2" t="n"/>
      <c r="AQ139" s="2" t="n"/>
      <c r="AR139" s="2" t="n"/>
      <c r="AS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  <c r="AO140" s="2" t="n"/>
      <c r="AP140" s="2" t="n"/>
      <c r="AQ140" s="2" t="n"/>
      <c r="AR140" s="2" t="n"/>
      <c r="AS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  <c r="AO141" s="2" t="n"/>
      <c r="AP141" s="2" t="n"/>
      <c r="AQ141" s="2" t="n"/>
      <c r="AR141" s="2" t="n"/>
      <c r="AS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  <c r="AO142" s="2" t="n"/>
      <c r="AP142" s="2" t="n"/>
      <c r="AQ142" s="2" t="n"/>
      <c r="AR142" s="2" t="n"/>
      <c r="AS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  <c r="AO143" s="2" t="n"/>
      <c r="AP143" s="2" t="n"/>
      <c r="AQ143" s="2" t="n"/>
      <c r="AR143" s="2" t="n"/>
      <c r="AS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  <c r="AO144" s="2" t="n"/>
      <c r="AP144" s="2" t="n"/>
      <c r="AQ144" s="2" t="n"/>
      <c r="AR144" s="2" t="n"/>
      <c r="AS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  <c r="AO145" s="2" t="n"/>
      <c r="AP145" s="2" t="n"/>
      <c r="AQ145" s="2" t="n"/>
      <c r="AR145" s="2" t="n"/>
      <c r="AS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  <c r="AO146" s="2" t="n"/>
      <c r="AP146" s="2" t="n"/>
      <c r="AQ146" s="2" t="n"/>
      <c r="AR146" s="2" t="n"/>
      <c r="AS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  <c r="AO147" s="2" t="n"/>
      <c r="AP147" s="2" t="n"/>
      <c r="AQ147" s="2" t="n"/>
      <c r="AR147" s="2" t="n"/>
      <c r="AS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  <c r="AO148" s="2" t="n"/>
      <c r="AP148" s="2" t="n"/>
      <c r="AQ148" s="2" t="n"/>
      <c r="AR148" s="2" t="n"/>
      <c r="AS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  <c r="AO149" s="2" t="n"/>
      <c r="AP149" s="2" t="n"/>
      <c r="AQ149" s="2" t="n"/>
      <c r="AR149" s="2" t="n"/>
      <c r="AS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  <c r="AO150" s="2" t="n"/>
      <c r="AP150" s="2" t="n"/>
      <c r="AQ150" s="2" t="n"/>
      <c r="AR150" s="2" t="n"/>
      <c r="AS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  <c r="AO151" s="2" t="n"/>
      <c r="AP151" s="2" t="n"/>
      <c r="AQ151" s="2" t="n"/>
      <c r="AR151" s="2" t="n"/>
      <c r="AS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  <c r="AO152" s="2" t="n"/>
      <c r="AP152" s="2" t="n"/>
      <c r="AQ152" s="2" t="n"/>
      <c r="AR152" s="2" t="n"/>
      <c r="AS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  <c r="AO153" s="2" t="n"/>
      <c r="AP153" s="2" t="n"/>
      <c r="AQ153" s="2" t="n"/>
      <c r="AR153" s="2" t="n"/>
      <c r="AS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  <c r="AO154" s="2" t="n"/>
      <c r="AP154" s="2" t="n"/>
      <c r="AQ154" s="2" t="n"/>
      <c r="AR154" s="2" t="n"/>
      <c r="AS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  <c r="AO155" s="2" t="n"/>
      <c r="AP155" s="2" t="n"/>
      <c r="AQ155" s="2" t="n"/>
      <c r="AR155" s="2" t="n"/>
      <c r="AS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  <c r="AO156" s="2" t="n"/>
      <c r="AP156" s="2" t="n"/>
      <c r="AQ156" s="2" t="n"/>
      <c r="AR156" s="2" t="n"/>
      <c r="AS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  <c r="AO157" s="2" t="n"/>
      <c r="AP157" s="2" t="n"/>
      <c r="AQ157" s="2" t="n"/>
      <c r="AR157" s="2" t="n"/>
      <c r="AS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  <c r="AO158" s="2" t="n"/>
      <c r="AP158" s="2" t="n"/>
      <c r="AQ158" s="2" t="n"/>
      <c r="AR158" s="2" t="n"/>
      <c r="AS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  <c r="AO159" s="2" t="n"/>
      <c r="AP159" s="2" t="n"/>
      <c r="AQ159" s="2" t="n"/>
      <c r="AR159" s="2" t="n"/>
      <c r="AS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  <c r="AO160" s="2" t="n"/>
      <c r="AP160" s="2" t="n"/>
      <c r="AQ160" s="2" t="n"/>
      <c r="AR160" s="2" t="n"/>
      <c r="AS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  <c r="AO161" s="2" t="n"/>
      <c r="AP161" s="2" t="n"/>
      <c r="AQ161" s="2" t="n"/>
      <c r="AR161" s="2" t="n"/>
      <c r="AS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  <c r="AO162" s="2" t="n"/>
      <c r="AP162" s="2" t="n"/>
      <c r="AQ162" s="2" t="n"/>
      <c r="AR162" s="2" t="n"/>
      <c r="AS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  <c r="AO163" s="2" t="n"/>
      <c r="AP163" s="2" t="n"/>
      <c r="AQ163" s="2" t="n"/>
      <c r="AR163" s="2" t="n"/>
      <c r="AS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  <c r="AO164" s="2" t="n"/>
      <c r="AP164" s="2" t="n"/>
      <c r="AQ164" s="2" t="n"/>
      <c r="AR164" s="2" t="n"/>
      <c r="AS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  <c r="AO165" s="2" t="n"/>
      <c r="AP165" s="2" t="n"/>
      <c r="AQ165" s="2" t="n"/>
      <c r="AR165" s="2" t="n"/>
      <c r="AS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  <c r="AO166" s="2" t="n"/>
      <c r="AP166" s="2" t="n"/>
      <c r="AQ166" s="2" t="n"/>
      <c r="AR166" s="2" t="n"/>
      <c r="AS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  <c r="AO167" s="2" t="n"/>
      <c r="AP167" s="2" t="n"/>
      <c r="AQ167" s="2" t="n"/>
      <c r="AR167" s="2" t="n"/>
      <c r="AS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  <c r="AO168" s="2" t="n"/>
      <c r="AP168" s="2" t="n"/>
      <c r="AQ168" s="2" t="n"/>
      <c r="AR168" s="2" t="n"/>
      <c r="AS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  <c r="AO169" s="2" t="n"/>
      <c r="AP169" s="2" t="n"/>
      <c r="AQ169" s="2" t="n"/>
      <c r="AR169" s="2" t="n"/>
      <c r="AS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  <c r="AO170" s="2" t="n"/>
      <c r="AP170" s="2" t="n"/>
      <c r="AQ170" s="2" t="n"/>
      <c r="AR170" s="2" t="n"/>
      <c r="AS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  <c r="AO171" s="2" t="n"/>
      <c r="AP171" s="2" t="n"/>
      <c r="AQ171" s="2" t="n"/>
      <c r="AR171" s="2" t="n"/>
      <c r="AS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  <c r="AO172" s="2" t="n"/>
      <c r="AP172" s="2" t="n"/>
      <c r="AQ172" s="2" t="n"/>
      <c r="AR172" s="2" t="n"/>
      <c r="AS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  <c r="AO173" s="2" t="n"/>
      <c r="AP173" s="2" t="n"/>
      <c r="AQ173" s="2" t="n"/>
      <c r="AR173" s="2" t="n"/>
      <c r="AS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  <c r="AO174" s="2" t="n"/>
      <c r="AP174" s="2" t="n"/>
      <c r="AQ174" s="2" t="n"/>
      <c r="AR174" s="2" t="n"/>
      <c r="AS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  <c r="AO175" s="2" t="n"/>
      <c r="AP175" s="2" t="n"/>
      <c r="AQ175" s="2" t="n"/>
      <c r="AR175" s="2" t="n"/>
      <c r="AS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  <c r="AO176" s="2" t="n"/>
      <c r="AP176" s="2" t="n"/>
      <c r="AQ176" s="2" t="n"/>
      <c r="AR176" s="2" t="n"/>
      <c r="AS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  <c r="AO177" s="2" t="n"/>
      <c r="AP177" s="2" t="n"/>
      <c r="AQ177" s="2" t="n"/>
      <c r="AR177" s="2" t="n"/>
      <c r="AS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  <c r="AO178" s="2" t="n"/>
      <c r="AP178" s="2" t="n"/>
      <c r="AQ178" s="2" t="n"/>
      <c r="AR178" s="2" t="n"/>
      <c r="AS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  <c r="AO179" s="2" t="n"/>
      <c r="AP179" s="2" t="n"/>
      <c r="AQ179" s="2" t="n"/>
      <c r="AR179" s="2" t="n"/>
      <c r="AS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  <c r="AO180" s="2" t="n"/>
      <c r="AP180" s="2" t="n"/>
      <c r="AQ180" s="2" t="n"/>
      <c r="AR180" s="2" t="n"/>
      <c r="AS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  <c r="AO181" s="2" t="n"/>
      <c r="AP181" s="2" t="n"/>
      <c r="AQ181" s="2" t="n"/>
      <c r="AR181" s="2" t="n"/>
      <c r="AS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  <c r="AO182" s="2" t="n"/>
      <c r="AP182" s="2" t="n"/>
      <c r="AQ182" s="2" t="n"/>
      <c r="AR182" s="2" t="n"/>
      <c r="AS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  <c r="AO183" s="2" t="n"/>
      <c r="AP183" s="2" t="n"/>
      <c r="AQ183" s="2" t="n"/>
      <c r="AR183" s="2" t="n"/>
      <c r="AS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  <c r="AO184" s="2" t="n"/>
      <c r="AP184" s="2" t="n"/>
      <c r="AQ184" s="2" t="n"/>
      <c r="AR184" s="2" t="n"/>
      <c r="AS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  <c r="AO185" s="2" t="n"/>
      <c r="AP185" s="2" t="n"/>
      <c r="AQ185" s="2" t="n"/>
      <c r="AR185" s="2" t="n"/>
      <c r="AS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  <c r="AO186" s="2" t="n"/>
      <c r="AP186" s="2" t="n"/>
      <c r="AQ186" s="2" t="n"/>
      <c r="AR186" s="2" t="n"/>
      <c r="AS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  <c r="AO187" s="2" t="n"/>
      <c r="AP187" s="2" t="n"/>
      <c r="AQ187" s="2" t="n"/>
      <c r="AR187" s="2" t="n"/>
      <c r="AS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  <c r="AO188" s="2" t="n"/>
      <c r="AP188" s="2" t="n"/>
      <c r="AQ188" s="2" t="n"/>
      <c r="AR188" s="2" t="n"/>
      <c r="AS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  <c r="AO189" s="2" t="n"/>
      <c r="AP189" s="2" t="n"/>
      <c r="AQ189" s="2" t="n"/>
      <c r="AR189" s="2" t="n"/>
      <c r="AS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  <c r="AO190" s="2" t="n"/>
      <c r="AP190" s="2" t="n"/>
      <c r="AQ190" s="2" t="n"/>
      <c r="AR190" s="2" t="n"/>
      <c r="AS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  <c r="AO191" s="2" t="n"/>
      <c r="AP191" s="2" t="n"/>
      <c r="AQ191" s="2" t="n"/>
      <c r="AR191" s="2" t="n"/>
      <c r="AS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  <c r="AO192" s="2" t="n"/>
      <c r="AP192" s="2" t="n"/>
      <c r="AQ192" s="2" t="n"/>
      <c r="AR192" s="2" t="n"/>
      <c r="AS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  <c r="AO193" s="2" t="n"/>
      <c r="AP193" s="2" t="n"/>
      <c r="AQ193" s="2" t="n"/>
      <c r="AR193" s="2" t="n"/>
      <c r="AS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  <c r="AO194" s="2" t="n"/>
      <c r="AP194" s="2" t="n"/>
      <c r="AQ194" s="2" t="n"/>
      <c r="AR194" s="2" t="n"/>
      <c r="AS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  <c r="AO195" s="2" t="n"/>
      <c r="AP195" s="2" t="n"/>
      <c r="AQ195" s="2" t="n"/>
      <c r="AR195" s="2" t="n"/>
      <c r="AS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  <c r="AO196" s="2" t="n"/>
      <c r="AP196" s="2" t="n"/>
      <c r="AQ196" s="2" t="n"/>
      <c r="AR196" s="2" t="n"/>
      <c r="AS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  <c r="AO197" s="2" t="n"/>
      <c r="AP197" s="2" t="n"/>
      <c r="AQ197" s="2" t="n"/>
      <c r="AR197" s="2" t="n"/>
      <c r="AS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  <c r="AO198" s="2" t="n"/>
      <c r="AP198" s="2" t="n"/>
      <c r="AQ198" s="2" t="n"/>
      <c r="AR198" s="2" t="n"/>
      <c r="AS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  <c r="AO199" s="2" t="n"/>
      <c r="AP199" s="2" t="n"/>
      <c r="AQ199" s="2" t="n"/>
      <c r="AR199" s="2" t="n"/>
      <c r="AS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  <c r="AO200" s="2" t="n"/>
      <c r="AP200" s="2" t="n"/>
      <c r="AQ200" s="2" t="n"/>
      <c r="AR200" s="2" t="n"/>
      <c r="AS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  <c r="AO201" s="2" t="n"/>
      <c r="AP201" s="2" t="n"/>
      <c r="AQ201" s="2" t="n"/>
      <c r="AR201" s="2" t="n"/>
      <c r="AS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  <c r="AO202" s="2" t="n"/>
      <c r="AP202" s="2" t="n"/>
      <c r="AQ202" s="2" t="n"/>
      <c r="AR202" s="2" t="n"/>
      <c r="AS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  <c r="AO203" s="2" t="n"/>
      <c r="AP203" s="2" t="n"/>
      <c r="AQ203" s="2" t="n"/>
      <c r="AR203" s="2" t="n"/>
      <c r="AS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  <c r="AO204" s="2" t="n"/>
      <c r="AP204" s="2" t="n"/>
      <c r="AQ204" s="2" t="n"/>
      <c r="AR204" s="2" t="n"/>
      <c r="AS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  <c r="AO205" s="2" t="n"/>
      <c r="AP205" s="2" t="n"/>
      <c r="AQ205" s="2" t="n"/>
      <c r="AR205" s="2" t="n"/>
      <c r="AS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  <c r="AO206" s="2" t="n"/>
      <c r="AP206" s="2" t="n"/>
      <c r="AQ206" s="2" t="n"/>
      <c r="AR206" s="2" t="n"/>
      <c r="AS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  <c r="AO207" s="2" t="n"/>
      <c r="AP207" s="2" t="n"/>
      <c r="AQ207" s="2" t="n"/>
      <c r="AR207" s="2" t="n"/>
      <c r="AS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  <c r="AO208" s="2" t="n"/>
      <c r="AP208" s="2" t="n"/>
      <c r="AQ208" s="2" t="n"/>
      <c r="AR208" s="2" t="n"/>
      <c r="AS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  <c r="AO209" s="2" t="n"/>
      <c r="AP209" s="2" t="n"/>
      <c r="AQ209" s="2" t="n"/>
      <c r="AR209" s="2" t="n"/>
      <c r="AS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  <c r="AO210" s="2" t="n"/>
      <c r="AP210" s="2" t="n"/>
      <c r="AQ210" s="2" t="n"/>
      <c r="AR210" s="2" t="n"/>
      <c r="AS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  <c r="AO211" s="2" t="n"/>
      <c r="AP211" s="2" t="n"/>
      <c r="AQ211" s="2" t="n"/>
      <c r="AR211" s="2" t="n"/>
      <c r="AS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  <c r="AO212" s="2" t="n"/>
      <c r="AP212" s="2" t="n"/>
      <c r="AQ212" s="2" t="n"/>
      <c r="AR212" s="2" t="n"/>
      <c r="AS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  <c r="AO213" s="2" t="n"/>
      <c r="AP213" s="2" t="n"/>
      <c r="AQ213" s="2" t="n"/>
      <c r="AR213" s="2" t="n"/>
      <c r="AS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  <c r="AO214" s="2" t="n"/>
      <c r="AP214" s="2" t="n"/>
      <c r="AQ214" s="2" t="n"/>
      <c r="AR214" s="2" t="n"/>
      <c r="AS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  <c r="AO215" s="2" t="n"/>
      <c r="AP215" s="2" t="n"/>
      <c r="AQ215" s="2" t="n"/>
      <c r="AR215" s="2" t="n"/>
      <c r="AS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  <c r="AO216" s="2" t="n"/>
      <c r="AP216" s="2" t="n"/>
      <c r="AQ216" s="2" t="n"/>
      <c r="AR216" s="2" t="n"/>
      <c r="AS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  <c r="AO217" s="2" t="n"/>
      <c r="AP217" s="2" t="n"/>
      <c r="AQ217" s="2" t="n"/>
      <c r="AR217" s="2" t="n"/>
      <c r="AS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  <c r="AO218" s="2" t="n"/>
      <c r="AP218" s="2" t="n"/>
      <c r="AQ218" s="2" t="n"/>
      <c r="AR218" s="2" t="n"/>
      <c r="AS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  <c r="AO219" s="2" t="n"/>
      <c r="AP219" s="2" t="n"/>
      <c r="AQ219" s="2" t="n"/>
      <c r="AR219" s="2" t="n"/>
      <c r="AS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  <c r="AO220" s="2" t="n"/>
      <c r="AP220" s="2" t="n"/>
      <c r="AQ220" s="2" t="n"/>
      <c r="AR220" s="2" t="n"/>
      <c r="AS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  <c r="AO221" s="2" t="n"/>
      <c r="AP221" s="2" t="n"/>
      <c r="AQ221" s="2" t="n"/>
      <c r="AR221" s="2" t="n"/>
      <c r="AS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  <c r="AO222" s="2" t="n"/>
      <c r="AP222" s="2" t="n"/>
      <c r="AQ222" s="2" t="n"/>
      <c r="AR222" s="2" t="n"/>
      <c r="AS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  <c r="AO223" s="2" t="n"/>
      <c r="AP223" s="2" t="n"/>
      <c r="AQ223" s="2" t="n"/>
      <c r="AR223" s="2" t="n"/>
      <c r="AS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  <c r="AO224" s="2" t="n"/>
      <c r="AP224" s="2" t="n"/>
      <c r="AQ224" s="2" t="n"/>
      <c r="AR224" s="2" t="n"/>
      <c r="AS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  <c r="AO225" s="2" t="n"/>
      <c r="AP225" s="2" t="n"/>
      <c r="AQ225" s="2" t="n"/>
      <c r="AR225" s="2" t="n"/>
      <c r="AS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  <c r="AO226" s="2" t="n"/>
      <c r="AP226" s="2" t="n"/>
      <c r="AQ226" s="2" t="n"/>
      <c r="AR226" s="2" t="n"/>
      <c r="AS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  <c r="AO227" s="2" t="n"/>
      <c r="AP227" s="2" t="n"/>
      <c r="AQ227" s="2" t="n"/>
      <c r="AR227" s="2" t="n"/>
      <c r="AS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  <c r="AO228" s="2" t="n"/>
      <c r="AP228" s="2" t="n"/>
      <c r="AQ228" s="2" t="n"/>
      <c r="AR228" s="2" t="n"/>
      <c r="AS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  <c r="AO229" s="2" t="n"/>
      <c r="AP229" s="2" t="n"/>
      <c r="AQ229" s="2" t="n"/>
      <c r="AR229" s="2" t="n"/>
      <c r="AS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  <c r="AO230" s="2" t="n"/>
      <c r="AP230" s="2" t="n"/>
      <c r="AQ230" s="2" t="n"/>
      <c r="AR230" s="2" t="n"/>
      <c r="AS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  <c r="AO231" s="2" t="n"/>
      <c r="AP231" s="2" t="n"/>
      <c r="AQ231" s="2" t="n"/>
      <c r="AR231" s="2" t="n"/>
      <c r="AS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  <c r="AO232" s="2" t="n"/>
      <c r="AP232" s="2" t="n"/>
      <c r="AQ232" s="2" t="n"/>
      <c r="AR232" s="2" t="n"/>
      <c r="AS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  <c r="AO233" s="2" t="n"/>
      <c r="AP233" s="2" t="n"/>
      <c r="AQ233" s="2" t="n"/>
      <c r="AR233" s="2" t="n"/>
      <c r="AS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  <c r="AO234" s="2" t="n"/>
      <c r="AP234" s="2" t="n"/>
      <c r="AQ234" s="2" t="n"/>
      <c r="AR234" s="2" t="n"/>
      <c r="AS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  <c r="AO235" s="2" t="n"/>
      <c r="AP235" s="2" t="n"/>
      <c r="AQ235" s="2" t="n"/>
      <c r="AR235" s="2" t="n"/>
      <c r="AS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  <c r="AO236" s="2" t="n"/>
      <c r="AP236" s="2" t="n"/>
      <c r="AQ236" s="2" t="n"/>
      <c r="AR236" s="2" t="n"/>
      <c r="AS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  <c r="AO237" s="2" t="n"/>
      <c r="AP237" s="2" t="n"/>
      <c r="AQ237" s="2" t="n"/>
      <c r="AR237" s="2" t="n"/>
      <c r="AS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  <c r="AO238" s="2" t="n"/>
      <c r="AP238" s="2" t="n"/>
      <c r="AQ238" s="2" t="n"/>
      <c r="AR238" s="2" t="n"/>
      <c r="AS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  <c r="AO239" s="2" t="n"/>
      <c r="AP239" s="2" t="n"/>
      <c r="AQ239" s="2" t="n"/>
      <c r="AR239" s="2" t="n"/>
      <c r="AS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  <c r="AO240" s="2" t="n"/>
      <c r="AP240" s="2" t="n"/>
      <c r="AQ240" s="2" t="n"/>
      <c r="AR240" s="2" t="n"/>
      <c r="AS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  <c r="AO241" s="2" t="n"/>
      <c r="AP241" s="2" t="n"/>
      <c r="AQ241" s="2" t="n"/>
      <c r="AR241" s="2" t="n"/>
      <c r="AS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  <c r="AO242" s="2" t="n"/>
      <c r="AP242" s="2" t="n"/>
      <c r="AQ242" s="2" t="n"/>
      <c r="AR242" s="2" t="n"/>
      <c r="AS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  <c r="AO243" s="2" t="n"/>
      <c r="AP243" s="2" t="n"/>
      <c r="AQ243" s="2" t="n"/>
      <c r="AR243" s="2" t="n"/>
      <c r="AS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  <c r="AO244" s="2" t="n"/>
      <c r="AP244" s="2" t="n"/>
      <c r="AQ244" s="2" t="n"/>
      <c r="AR244" s="2" t="n"/>
      <c r="AS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  <c r="AO245" s="2" t="n"/>
      <c r="AP245" s="2" t="n"/>
      <c r="AQ245" s="2" t="n"/>
      <c r="AR245" s="2" t="n"/>
      <c r="AS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  <c r="AO246" s="2" t="n"/>
      <c r="AP246" s="2" t="n"/>
      <c r="AQ246" s="2" t="n"/>
      <c r="AR246" s="2" t="n"/>
      <c r="AS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  <c r="AO247" s="2" t="n"/>
      <c r="AP247" s="2" t="n"/>
      <c r="AQ247" s="2" t="n"/>
      <c r="AR247" s="2" t="n"/>
      <c r="AS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  <c r="AO248" s="2" t="n"/>
      <c r="AP248" s="2" t="n"/>
      <c r="AQ248" s="2" t="n"/>
      <c r="AR248" s="2" t="n"/>
      <c r="AS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  <c r="AO249" s="2" t="n"/>
      <c r="AP249" s="2" t="n"/>
      <c r="AQ249" s="2" t="n"/>
      <c r="AR249" s="2" t="n"/>
      <c r="AS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  <c r="AO250" s="2" t="n"/>
      <c r="AP250" s="2" t="n"/>
      <c r="AQ250" s="2" t="n"/>
      <c r="AR250" s="2" t="n"/>
      <c r="AS250" s="2" t="n"/>
    </row>
  </sheetData>
  <autoFilter ref="A14:AE68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66609B"/>
    <outlinePr summaryBelow="1" summaryRight="1"/>
    <pageSetUpPr/>
  </sheetPr>
  <dimension ref="A1:AS250"/>
  <sheetViews>
    <sheetView showGridLines="0"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14" customWidth="1" min="3" max="3"/>
    <col width="14" customWidth="1" min="4" max="4"/>
    <col width="22" customWidth="1" min="5" max="5"/>
    <col width="20" customWidth="1" min="6" max="6"/>
    <col width="12" customWidth="1" min="7" max="7"/>
    <col width="16" customWidth="1" min="8" max="8"/>
    <col width="12" customWidth="1" min="9" max="9"/>
    <col width="12" customWidth="1" min="10" max="10"/>
    <col width="14" customWidth="1" min="11" max="11"/>
  </cols>
  <sheetData>
    <row r="1">
      <c r="A1" s="3" t="inlineStr">
        <is>
          <t>New Starters - paste raw iTrent export below from row 13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  <c r="AP2" s="2" t="n"/>
      <c r="AQ2" s="2" t="n"/>
      <c r="AR2" s="2" t="n"/>
      <c r="AS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  <c r="AO3" s="2" t="n"/>
      <c r="AP3" s="2" t="n"/>
      <c r="AQ3" s="2" t="n"/>
      <c r="AR3" s="2" t="n"/>
      <c r="AS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  <c r="AO4" s="2" t="n"/>
      <c r="AP4" s="2" t="n"/>
      <c r="AQ4" s="2" t="n"/>
      <c r="AR4" s="2" t="n"/>
      <c r="AS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  <c r="AO5" s="2" t="n"/>
      <c r="AP5" s="2" t="n"/>
      <c r="AQ5" s="2" t="n"/>
      <c r="AR5" s="2" t="n"/>
      <c r="AS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  <c r="AO6" s="2" t="n"/>
      <c r="AP6" s="2" t="n"/>
      <c r="AQ6" s="2" t="n"/>
      <c r="AR6" s="2" t="n"/>
      <c r="AS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  <c r="AO7" s="2" t="n"/>
      <c r="AP7" s="2" t="n"/>
      <c r="AQ7" s="2" t="n"/>
      <c r="AR7" s="2" t="n"/>
      <c r="AS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  <c r="AO8" s="2" t="n"/>
      <c r="AP8" s="2" t="n"/>
      <c r="AQ8" s="2" t="n"/>
      <c r="AR8" s="2" t="n"/>
      <c r="AS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  <c r="AO9" s="2" t="n"/>
      <c r="AP9" s="2" t="n"/>
      <c r="AQ9" s="2" t="n"/>
      <c r="AR9" s="2" t="n"/>
      <c r="AS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  <c r="AO10" s="2" t="n"/>
      <c r="AP10" s="2" t="n"/>
      <c r="AQ10" s="2" t="n"/>
      <c r="AR10" s="2" t="n"/>
      <c r="AS10" s="2" t="n"/>
    </row>
    <row r="11">
      <c r="A11" s="22" t="inlineStr">
        <is>
          <t>Paste the full export starting at A13 (headers) so data begins row 14.</t>
        </is>
      </c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  <c r="AO12" s="2" t="n"/>
      <c r="AP12" s="2" t="n"/>
      <c r="AQ12" s="2" t="n"/>
      <c r="AR12" s="2" t="n"/>
      <c r="AS12" s="2" t="n"/>
    </row>
    <row r="13" ht="22" customHeight="1">
      <c r="A13" s="14" t="inlineStr">
        <is>
          <t>Row</t>
        </is>
      </c>
      <c r="B13" s="14" t="inlineStr">
        <is>
          <t>Title</t>
        </is>
      </c>
      <c r="C13" s="14" t="inlineStr">
        <is>
          <t>Surname</t>
        </is>
      </c>
      <c r="D13" s="14" t="inlineStr">
        <is>
          <t>Payroll Number</t>
        </is>
      </c>
      <c r="E13" s="14" t="inlineStr">
        <is>
          <t>Practice</t>
        </is>
      </c>
      <c r="F13" s="14" t="inlineStr">
        <is>
          <t>Position Name</t>
        </is>
      </c>
      <c r="G13" s="14" t="inlineStr">
        <is>
          <t>Start Date</t>
        </is>
      </c>
      <c r="H13" s="14" t="inlineStr">
        <is>
          <t>Category</t>
        </is>
      </c>
      <c r="I13" s="14" t="inlineStr">
        <is>
          <t>Basis</t>
        </is>
      </c>
      <c r="J13" s="14" t="inlineStr">
        <is>
          <t>Department</t>
        </is>
      </c>
      <c r="K13" s="14" t="inlineStr">
        <is>
          <t>Personal Reference</t>
        </is>
      </c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  <c r="AO13" s="2" t="n"/>
      <c r="AP13" s="2" t="n"/>
      <c r="AQ13" s="2" t="n"/>
      <c r="AR13" s="2" t="n"/>
      <c r="AS13" s="2" t="n"/>
    </row>
    <row r="14">
      <c r="A14" s="11" t="n">
        <v>1</v>
      </c>
      <c r="B14" s="11" t="inlineStr">
        <is>
          <t>Mr/Mrs</t>
        </is>
      </c>
      <c r="C14" s="11" t="inlineStr">
        <is>
          <t>Surname630</t>
        </is>
      </c>
      <c r="D14" s="11" t="inlineStr">
        <is>
          <t>P16630</t>
        </is>
      </c>
      <c r="E14" s="11" t="inlineStr">
        <is>
          <t>Hakim Group Head Office</t>
        </is>
      </c>
      <c r="F14" s="11" t="inlineStr">
        <is>
          <t>Payroll Advisor</t>
        </is>
      </c>
      <c r="G14" s="11" t="inlineStr">
        <is>
          <t>July 2026</t>
        </is>
      </c>
      <c r="H14" s="11" t="inlineStr">
        <is>
          <t>HGHQ</t>
        </is>
      </c>
      <c r="I14" s="11" t="inlineStr">
        <is>
          <t>Permanent</t>
        </is>
      </c>
      <c r="J14" s="11" t="inlineStr">
        <is>
          <t>N/A</t>
        </is>
      </c>
      <c r="K14" s="11" t="inlineStr">
        <is>
          <t>PR16630</t>
        </is>
      </c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  <c r="AO14" s="2" t="n"/>
      <c r="AP14" s="2" t="n"/>
      <c r="AQ14" s="2" t="n"/>
      <c r="AR14" s="2" t="n"/>
      <c r="AS14" s="2" t="n"/>
    </row>
    <row r="15">
      <c r="A15" s="11" t="n">
        <v>2</v>
      </c>
      <c r="B15" s="11" t="inlineStr">
        <is>
          <t>Mr/Mrs</t>
        </is>
      </c>
      <c r="C15" s="11" t="inlineStr">
        <is>
          <t>Surname224</t>
        </is>
      </c>
      <c r="D15" s="11" t="inlineStr">
        <is>
          <t>P22224</t>
        </is>
      </c>
      <c r="E15" s="11" t="inlineStr">
        <is>
          <t>Hakim Group Head Office</t>
        </is>
      </c>
      <c r="F15" s="11" t="inlineStr">
        <is>
          <t>Payroll Advisor</t>
        </is>
      </c>
      <c r="G15" s="11" t="inlineStr">
        <is>
          <t>July 2026</t>
        </is>
      </c>
      <c r="H15" s="11" t="inlineStr">
        <is>
          <t>HGHQ</t>
        </is>
      </c>
      <c r="I15" s="11" t="inlineStr">
        <is>
          <t>Permanent</t>
        </is>
      </c>
      <c r="J15" s="11" t="inlineStr">
        <is>
          <t>N/A</t>
        </is>
      </c>
      <c r="K15" s="11" t="inlineStr">
        <is>
          <t>PR22224</t>
        </is>
      </c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  <c r="AO15" s="2" t="n"/>
      <c r="AP15" s="2" t="n"/>
      <c r="AQ15" s="2" t="n"/>
      <c r="AR15" s="2" t="n"/>
      <c r="AS15" s="2" t="n"/>
    </row>
    <row r="16">
      <c r="A16" s="11" t="n">
        <v>3</v>
      </c>
      <c r="B16" s="11" t="inlineStr">
        <is>
          <t>Mr/Mrs</t>
        </is>
      </c>
      <c r="C16" s="11" t="inlineStr">
        <is>
          <t>Surname092</t>
        </is>
      </c>
      <c r="D16" s="11" t="inlineStr">
        <is>
          <t>P73092</t>
        </is>
      </c>
      <c r="E16" s="11" t="inlineStr">
        <is>
          <t>Kings Road Dental Practice</t>
        </is>
      </c>
      <c r="F16" s="11" t="inlineStr">
        <is>
          <t>Orthodontist</t>
        </is>
      </c>
      <c r="G16" s="11" t="inlineStr">
        <is>
          <t>July 2026</t>
        </is>
      </c>
      <c r="H16" s="11" t="inlineStr">
        <is>
          <t>Practice Clinical</t>
        </is>
      </c>
      <c r="I16" s="11" t="inlineStr">
        <is>
          <t>Permanent</t>
        </is>
      </c>
      <c r="J16" s="11" t="inlineStr">
        <is>
          <t>N/A</t>
        </is>
      </c>
      <c r="K16" s="11" t="inlineStr">
        <is>
          <t>PR73092</t>
        </is>
      </c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  <c r="AO16" s="2" t="n"/>
      <c r="AP16" s="2" t="n"/>
      <c r="AQ16" s="2" t="n"/>
      <c r="AR16" s="2" t="n"/>
      <c r="AS16" s="2" t="n"/>
    </row>
    <row r="17">
      <c r="A17" s="11" t="n">
        <v>4</v>
      </c>
      <c r="B17" s="11" t="inlineStr">
        <is>
          <t>Mr/Mrs</t>
        </is>
      </c>
      <c r="C17" s="11" t="inlineStr">
        <is>
          <t>Surname579</t>
        </is>
      </c>
      <c r="D17" s="11" t="inlineStr">
        <is>
          <t>P31579</t>
        </is>
      </c>
      <c r="E17" s="11" t="inlineStr">
        <is>
          <t>Kings Road Dental Practice</t>
        </is>
      </c>
      <c r="F17" s="11" t="inlineStr">
        <is>
          <t>Practice Partner</t>
        </is>
      </c>
      <c r="G17" s="11" t="inlineStr">
        <is>
          <t>July 2026</t>
        </is>
      </c>
      <c r="H17" s="11" t="inlineStr">
        <is>
          <t>Practice Partner</t>
        </is>
      </c>
      <c r="I17" s="11" t="inlineStr">
        <is>
          <t>Permanent</t>
        </is>
      </c>
      <c r="J17" s="11" t="inlineStr">
        <is>
          <t>N/A</t>
        </is>
      </c>
      <c r="K17" s="11" t="inlineStr">
        <is>
          <t>PR31579</t>
        </is>
      </c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  <c r="AO17" s="2" t="n"/>
      <c r="AP17" s="2" t="n"/>
      <c r="AQ17" s="2" t="n"/>
      <c r="AR17" s="2" t="n"/>
      <c r="AS17" s="2" t="n"/>
    </row>
    <row r="18">
      <c r="A18" s="11" t="n">
        <v>5</v>
      </c>
      <c r="B18" s="11" t="inlineStr">
        <is>
          <t>Mr/Mrs</t>
        </is>
      </c>
      <c r="C18" s="11" t="inlineStr">
        <is>
          <t>Surname468</t>
        </is>
      </c>
      <c r="D18" s="11" t="inlineStr">
        <is>
          <t>P80468</t>
        </is>
      </c>
      <c r="E18" s="11" t="inlineStr">
        <is>
          <t>Oakfield Dental Practice</t>
        </is>
      </c>
      <c r="F18" s="11" t="inlineStr">
        <is>
          <t>Practice Administrator</t>
        </is>
      </c>
      <c r="G18" s="11" t="inlineStr">
        <is>
          <t>July 2026</t>
        </is>
      </c>
      <c r="H18" s="11" t="inlineStr">
        <is>
          <t>Practice Support</t>
        </is>
      </c>
      <c r="I18" s="11" t="inlineStr">
        <is>
          <t>Permanent</t>
        </is>
      </c>
      <c r="J18" s="11" t="inlineStr">
        <is>
          <t>N/A</t>
        </is>
      </c>
      <c r="K18" s="11" t="inlineStr">
        <is>
          <t>PRTRF1000</t>
        </is>
      </c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  <c r="AO18" s="2" t="n"/>
      <c r="AP18" s="2" t="n"/>
      <c r="AQ18" s="2" t="n"/>
      <c r="AR18" s="2" t="n"/>
      <c r="AS18" s="2" t="n"/>
    </row>
    <row r="19">
      <c r="A19" s="11" t="n">
        <v>6</v>
      </c>
      <c r="B19" s="11" t="inlineStr">
        <is>
          <t>Mr/Mrs</t>
        </is>
      </c>
      <c r="C19" s="11" t="inlineStr">
        <is>
          <t>Surname016</t>
        </is>
      </c>
      <c r="D19" s="11" t="inlineStr">
        <is>
          <t>P19016</t>
        </is>
      </c>
      <c r="E19" s="11" t="inlineStr">
        <is>
          <t>Hakim Group Head Office</t>
        </is>
      </c>
      <c r="F19" s="11" t="inlineStr">
        <is>
          <t>Finance Analyst</t>
        </is>
      </c>
      <c r="G19" s="11" t="inlineStr">
        <is>
          <t>July 2026</t>
        </is>
      </c>
      <c r="H19" s="11" t="inlineStr">
        <is>
          <t>HGHQ</t>
        </is>
      </c>
      <c r="I19" s="11" t="inlineStr">
        <is>
          <t>Permanent</t>
        </is>
      </c>
      <c r="J19" s="11" t="inlineStr">
        <is>
          <t>N/A</t>
        </is>
      </c>
      <c r="K19" s="11" t="inlineStr">
        <is>
          <t>PRTRF1001</t>
        </is>
      </c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  <c r="AO19" s="2" t="n"/>
      <c r="AP19" s="2" t="n"/>
      <c r="AQ19" s="2" t="n"/>
      <c r="AR19" s="2" t="n"/>
      <c r="AS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  <c r="AO20" s="2" t="n"/>
      <c r="AP20" s="2" t="n"/>
      <c r="AQ20" s="2" t="n"/>
      <c r="AR20" s="2" t="n"/>
      <c r="AS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  <c r="AO21" s="2" t="n"/>
      <c r="AP21" s="2" t="n"/>
      <c r="AQ21" s="2" t="n"/>
      <c r="AR21" s="2" t="n"/>
      <c r="AS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  <c r="AO22" s="2" t="n"/>
      <c r="AP22" s="2" t="n"/>
      <c r="AQ22" s="2" t="n"/>
      <c r="AR22" s="2" t="n"/>
      <c r="AS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  <c r="AO23" s="2" t="n"/>
      <c r="AP23" s="2" t="n"/>
      <c r="AQ23" s="2" t="n"/>
      <c r="AR23" s="2" t="n"/>
      <c r="AS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  <c r="AO24" s="2" t="n"/>
      <c r="AP24" s="2" t="n"/>
      <c r="AQ24" s="2" t="n"/>
      <c r="AR24" s="2" t="n"/>
      <c r="AS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  <c r="AO25" s="2" t="n"/>
      <c r="AP25" s="2" t="n"/>
      <c r="AQ25" s="2" t="n"/>
      <c r="AR25" s="2" t="n"/>
      <c r="AS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  <c r="AO26" s="2" t="n"/>
      <c r="AP26" s="2" t="n"/>
      <c r="AQ26" s="2" t="n"/>
      <c r="AR26" s="2" t="n"/>
      <c r="AS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  <c r="AO27" s="2" t="n"/>
      <c r="AP27" s="2" t="n"/>
      <c r="AQ27" s="2" t="n"/>
      <c r="AR27" s="2" t="n"/>
      <c r="AS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  <c r="AO28" s="2" t="n"/>
      <c r="AP28" s="2" t="n"/>
      <c r="AQ28" s="2" t="n"/>
      <c r="AR28" s="2" t="n"/>
      <c r="AS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  <c r="AO29" s="2" t="n"/>
      <c r="AP29" s="2" t="n"/>
      <c r="AQ29" s="2" t="n"/>
      <c r="AR29" s="2" t="n"/>
      <c r="AS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  <c r="AO30" s="2" t="n"/>
      <c r="AP30" s="2" t="n"/>
      <c r="AQ30" s="2" t="n"/>
      <c r="AR30" s="2" t="n"/>
      <c r="AS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  <c r="AO31" s="2" t="n"/>
      <c r="AP31" s="2" t="n"/>
      <c r="AQ31" s="2" t="n"/>
      <c r="AR31" s="2" t="n"/>
      <c r="AS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  <c r="AO32" s="2" t="n"/>
      <c r="AP32" s="2" t="n"/>
      <c r="AQ32" s="2" t="n"/>
      <c r="AR32" s="2" t="n"/>
      <c r="AS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  <c r="AO33" s="2" t="n"/>
      <c r="AP33" s="2" t="n"/>
      <c r="AQ33" s="2" t="n"/>
      <c r="AR33" s="2" t="n"/>
      <c r="AS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  <c r="AO34" s="2" t="n"/>
      <c r="AP34" s="2" t="n"/>
      <c r="AQ34" s="2" t="n"/>
      <c r="AR34" s="2" t="n"/>
      <c r="AS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  <c r="AO35" s="2" t="n"/>
      <c r="AP35" s="2" t="n"/>
      <c r="AQ35" s="2" t="n"/>
      <c r="AR35" s="2" t="n"/>
      <c r="AS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  <c r="AO36" s="2" t="n"/>
      <c r="AP36" s="2" t="n"/>
      <c r="AQ36" s="2" t="n"/>
      <c r="AR36" s="2" t="n"/>
      <c r="AS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  <c r="AO37" s="2" t="n"/>
      <c r="AP37" s="2" t="n"/>
      <c r="AQ37" s="2" t="n"/>
      <c r="AR37" s="2" t="n"/>
      <c r="AS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  <c r="AO38" s="2" t="n"/>
      <c r="AP38" s="2" t="n"/>
      <c r="AQ38" s="2" t="n"/>
      <c r="AR38" s="2" t="n"/>
      <c r="AS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  <c r="AO39" s="2" t="n"/>
      <c r="AP39" s="2" t="n"/>
      <c r="AQ39" s="2" t="n"/>
      <c r="AR39" s="2" t="n"/>
      <c r="AS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  <c r="AO40" s="2" t="n"/>
      <c r="AP40" s="2" t="n"/>
      <c r="AQ40" s="2" t="n"/>
      <c r="AR40" s="2" t="n"/>
      <c r="AS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  <c r="AO41" s="2" t="n"/>
      <c r="AP41" s="2" t="n"/>
      <c r="AQ41" s="2" t="n"/>
      <c r="AR41" s="2" t="n"/>
      <c r="AS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  <c r="AO42" s="2" t="n"/>
      <c r="AP42" s="2" t="n"/>
      <c r="AQ42" s="2" t="n"/>
      <c r="AR42" s="2" t="n"/>
      <c r="AS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  <c r="AO43" s="2" t="n"/>
      <c r="AP43" s="2" t="n"/>
      <c r="AQ43" s="2" t="n"/>
      <c r="AR43" s="2" t="n"/>
      <c r="AS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  <c r="AO44" s="2" t="n"/>
      <c r="AP44" s="2" t="n"/>
      <c r="AQ44" s="2" t="n"/>
      <c r="AR44" s="2" t="n"/>
      <c r="AS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  <c r="AO45" s="2" t="n"/>
      <c r="AP45" s="2" t="n"/>
      <c r="AQ45" s="2" t="n"/>
      <c r="AR45" s="2" t="n"/>
      <c r="AS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  <c r="AO46" s="2" t="n"/>
      <c r="AP46" s="2" t="n"/>
      <c r="AQ46" s="2" t="n"/>
      <c r="AR46" s="2" t="n"/>
      <c r="AS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  <c r="AO47" s="2" t="n"/>
      <c r="AP47" s="2" t="n"/>
      <c r="AQ47" s="2" t="n"/>
      <c r="AR47" s="2" t="n"/>
      <c r="AS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  <c r="AO48" s="2" t="n"/>
      <c r="AP48" s="2" t="n"/>
      <c r="AQ48" s="2" t="n"/>
      <c r="AR48" s="2" t="n"/>
      <c r="AS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  <c r="AO49" s="2" t="n"/>
      <c r="AP49" s="2" t="n"/>
      <c r="AQ49" s="2" t="n"/>
      <c r="AR49" s="2" t="n"/>
      <c r="AS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  <c r="AO50" s="2" t="n"/>
      <c r="AP50" s="2" t="n"/>
      <c r="AQ50" s="2" t="n"/>
      <c r="AR50" s="2" t="n"/>
      <c r="AS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  <c r="AO51" s="2" t="n"/>
      <c r="AP51" s="2" t="n"/>
      <c r="AQ51" s="2" t="n"/>
      <c r="AR51" s="2" t="n"/>
      <c r="AS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  <c r="AO52" s="2" t="n"/>
      <c r="AP52" s="2" t="n"/>
      <c r="AQ52" s="2" t="n"/>
      <c r="AR52" s="2" t="n"/>
      <c r="AS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  <c r="AO53" s="2" t="n"/>
      <c r="AP53" s="2" t="n"/>
      <c r="AQ53" s="2" t="n"/>
      <c r="AR53" s="2" t="n"/>
      <c r="AS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  <c r="AO54" s="2" t="n"/>
      <c r="AP54" s="2" t="n"/>
      <c r="AQ54" s="2" t="n"/>
      <c r="AR54" s="2" t="n"/>
      <c r="AS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  <c r="AO55" s="2" t="n"/>
      <c r="AP55" s="2" t="n"/>
      <c r="AQ55" s="2" t="n"/>
      <c r="AR55" s="2" t="n"/>
      <c r="AS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  <c r="AO56" s="2" t="n"/>
      <c r="AP56" s="2" t="n"/>
      <c r="AQ56" s="2" t="n"/>
      <c r="AR56" s="2" t="n"/>
      <c r="AS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  <c r="AO57" s="2" t="n"/>
      <c r="AP57" s="2" t="n"/>
      <c r="AQ57" s="2" t="n"/>
      <c r="AR57" s="2" t="n"/>
      <c r="AS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  <c r="AO58" s="2" t="n"/>
      <c r="AP58" s="2" t="n"/>
      <c r="AQ58" s="2" t="n"/>
      <c r="AR58" s="2" t="n"/>
      <c r="AS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  <c r="AO59" s="2" t="n"/>
      <c r="AP59" s="2" t="n"/>
      <c r="AQ59" s="2" t="n"/>
      <c r="AR59" s="2" t="n"/>
      <c r="AS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  <c r="AO60" s="2" t="n"/>
      <c r="AP60" s="2" t="n"/>
      <c r="AQ60" s="2" t="n"/>
      <c r="AR60" s="2" t="n"/>
      <c r="AS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  <c r="AO61" s="2" t="n"/>
      <c r="AP61" s="2" t="n"/>
      <c r="AQ61" s="2" t="n"/>
      <c r="AR61" s="2" t="n"/>
      <c r="AS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  <c r="AO62" s="2" t="n"/>
      <c r="AP62" s="2" t="n"/>
      <c r="AQ62" s="2" t="n"/>
      <c r="AR62" s="2" t="n"/>
      <c r="AS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  <c r="AO63" s="2" t="n"/>
      <c r="AP63" s="2" t="n"/>
      <c r="AQ63" s="2" t="n"/>
      <c r="AR63" s="2" t="n"/>
      <c r="AS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  <c r="AO64" s="2" t="n"/>
      <c r="AP64" s="2" t="n"/>
      <c r="AQ64" s="2" t="n"/>
      <c r="AR64" s="2" t="n"/>
      <c r="AS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  <c r="AO65" s="2" t="n"/>
      <c r="AP65" s="2" t="n"/>
      <c r="AQ65" s="2" t="n"/>
      <c r="AR65" s="2" t="n"/>
      <c r="AS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  <c r="AO66" s="2" t="n"/>
      <c r="AP66" s="2" t="n"/>
      <c r="AQ66" s="2" t="n"/>
      <c r="AR66" s="2" t="n"/>
      <c r="AS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  <c r="AO67" s="2" t="n"/>
      <c r="AP67" s="2" t="n"/>
      <c r="AQ67" s="2" t="n"/>
      <c r="AR67" s="2" t="n"/>
      <c r="AS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  <c r="AO68" s="2" t="n"/>
      <c r="AP68" s="2" t="n"/>
      <c r="AQ68" s="2" t="n"/>
      <c r="AR68" s="2" t="n"/>
      <c r="AS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  <c r="AO69" s="2" t="n"/>
      <c r="AP69" s="2" t="n"/>
      <c r="AQ69" s="2" t="n"/>
      <c r="AR69" s="2" t="n"/>
      <c r="AS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  <c r="AO70" s="2" t="n"/>
      <c r="AP70" s="2" t="n"/>
      <c r="AQ70" s="2" t="n"/>
      <c r="AR70" s="2" t="n"/>
      <c r="AS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  <c r="AO71" s="2" t="n"/>
      <c r="AP71" s="2" t="n"/>
      <c r="AQ71" s="2" t="n"/>
      <c r="AR71" s="2" t="n"/>
      <c r="AS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  <c r="AO72" s="2" t="n"/>
      <c r="AP72" s="2" t="n"/>
      <c r="AQ72" s="2" t="n"/>
      <c r="AR72" s="2" t="n"/>
      <c r="AS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  <c r="AO73" s="2" t="n"/>
      <c r="AP73" s="2" t="n"/>
      <c r="AQ73" s="2" t="n"/>
      <c r="AR73" s="2" t="n"/>
      <c r="AS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  <c r="AO74" s="2" t="n"/>
      <c r="AP74" s="2" t="n"/>
      <c r="AQ74" s="2" t="n"/>
      <c r="AR74" s="2" t="n"/>
      <c r="AS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  <c r="AO75" s="2" t="n"/>
      <c r="AP75" s="2" t="n"/>
      <c r="AQ75" s="2" t="n"/>
      <c r="AR75" s="2" t="n"/>
      <c r="AS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  <c r="AO76" s="2" t="n"/>
      <c r="AP76" s="2" t="n"/>
      <c r="AQ76" s="2" t="n"/>
      <c r="AR76" s="2" t="n"/>
      <c r="AS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  <c r="AO77" s="2" t="n"/>
      <c r="AP77" s="2" t="n"/>
      <c r="AQ77" s="2" t="n"/>
      <c r="AR77" s="2" t="n"/>
      <c r="AS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  <c r="AO78" s="2" t="n"/>
      <c r="AP78" s="2" t="n"/>
      <c r="AQ78" s="2" t="n"/>
      <c r="AR78" s="2" t="n"/>
      <c r="AS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  <c r="AO79" s="2" t="n"/>
      <c r="AP79" s="2" t="n"/>
      <c r="AQ79" s="2" t="n"/>
      <c r="AR79" s="2" t="n"/>
      <c r="AS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  <c r="AO80" s="2" t="n"/>
      <c r="AP80" s="2" t="n"/>
      <c r="AQ80" s="2" t="n"/>
      <c r="AR80" s="2" t="n"/>
      <c r="AS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  <c r="AO81" s="2" t="n"/>
      <c r="AP81" s="2" t="n"/>
      <c r="AQ81" s="2" t="n"/>
      <c r="AR81" s="2" t="n"/>
      <c r="AS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  <c r="AO82" s="2" t="n"/>
      <c r="AP82" s="2" t="n"/>
      <c r="AQ82" s="2" t="n"/>
      <c r="AR82" s="2" t="n"/>
      <c r="AS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  <c r="AO83" s="2" t="n"/>
      <c r="AP83" s="2" t="n"/>
      <c r="AQ83" s="2" t="n"/>
      <c r="AR83" s="2" t="n"/>
      <c r="AS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  <c r="AO84" s="2" t="n"/>
      <c r="AP84" s="2" t="n"/>
      <c r="AQ84" s="2" t="n"/>
      <c r="AR84" s="2" t="n"/>
      <c r="AS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  <c r="AO85" s="2" t="n"/>
      <c r="AP85" s="2" t="n"/>
      <c r="AQ85" s="2" t="n"/>
      <c r="AR85" s="2" t="n"/>
      <c r="AS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  <c r="AO86" s="2" t="n"/>
      <c r="AP86" s="2" t="n"/>
      <c r="AQ86" s="2" t="n"/>
      <c r="AR86" s="2" t="n"/>
      <c r="AS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  <c r="AO87" s="2" t="n"/>
      <c r="AP87" s="2" t="n"/>
      <c r="AQ87" s="2" t="n"/>
      <c r="AR87" s="2" t="n"/>
      <c r="AS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  <c r="AO88" s="2" t="n"/>
      <c r="AP88" s="2" t="n"/>
      <c r="AQ88" s="2" t="n"/>
      <c r="AR88" s="2" t="n"/>
      <c r="AS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  <c r="AO89" s="2" t="n"/>
      <c r="AP89" s="2" t="n"/>
      <c r="AQ89" s="2" t="n"/>
      <c r="AR89" s="2" t="n"/>
      <c r="AS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  <c r="AO90" s="2" t="n"/>
      <c r="AP90" s="2" t="n"/>
      <c r="AQ90" s="2" t="n"/>
      <c r="AR90" s="2" t="n"/>
      <c r="AS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  <c r="AO91" s="2" t="n"/>
      <c r="AP91" s="2" t="n"/>
      <c r="AQ91" s="2" t="n"/>
      <c r="AR91" s="2" t="n"/>
      <c r="AS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  <c r="AO92" s="2" t="n"/>
      <c r="AP92" s="2" t="n"/>
      <c r="AQ92" s="2" t="n"/>
      <c r="AR92" s="2" t="n"/>
      <c r="AS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  <c r="AO93" s="2" t="n"/>
      <c r="AP93" s="2" t="n"/>
      <c r="AQ93" s="2" t="n"/>
      <c r="AR93" s="2" t="n"/>
      <c r="AS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  <c r="AO94" s="2" t="n"/>
      <c r="AP94" s="2" t="n"/>
      <c r="AQ94" s="2" t="n"/>
      <c r="AR94" s="2" t="n"/>
      <c r="AS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  <c r="AO95" s="2" t="n"/>
      <c r="AP95" s="2" t="n"/>
      <c r="AQ95" s="2" t="n"/>
      <c r="AR95" s="2" t="n"/>
      <c r="AS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  <c r="AO96" s="2" t="n"/>
      <c r="AP96" s="2" t="n"/>
      <c r="AQ96" s="2" t="n"/>
      <c r="AR96" s="2" t="n"/>
      <c r="AS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  <c r="AO97" s="2" t="n"/>
      <c r="AP97" s="2" t="n"/>
      <c r="AQ97" s="2" t="n"/>
      <c r="AR97" s="2" t="n"/>
      <c r="AS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  <c r="AO98" s="2" t="n"/>
      <c r="AP98" s="2" t="n"/>
      <c r="AQ98" s="2" t="n"/>
      <c r="AR98" s="2" t="n"/>
      <c r="AS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  <c r="AO99" s="2" t="n"/>
      <c r="AP99" s="2" t="n"/>
      <c r="AQ99" s="2" t="n"/>
      <c r="AR99" s="2" t="n"/>
      <c r="AS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  <c r="AO100" s="2" t="n"/>
      <c r="AP100" s="2" t="n"/>
      <c r="AQ100" s="2" t="n"/>
      <c r="AR100" s="2" t="n"/>
      <c r="AS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  <c r="AO101" s="2" t="n"/>
      <c r="AP101" s="2" t="n"/>
      <c r="AQ101" s="2" t="n"/>
      <c r="AR101" s="2" t="n"/>
      <c r="AS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  <c r="AO102" s="2" t="n"/>
      <c r="AP102" s="2" t="n"/>
      <c r="AQ102" s="2" t="n"/>
      <c r="AR102" s="2" t="n"/>
      <c r="AS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  <c r="AO103" s="2" t="n"/>
      <c r="AP103" s="2" t="n"/>
      <c r="AQ103" s="2" t="n"/>
      <c r="AR103" s="2" t="n"/>
      <c r="AS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  <c r="AO104" s="2" t="n"/>
      <c r="AP104" s="2" t="n"/>
      <c r="AQ104" s="2" t="n"/>
      <c r="AR104" s="2" t="n"/>
      <c r="AS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  <c r="AO105" s="2" t="n"/>
      <c r="AP105" s="2" t="n"/>
      <c r="AQ105" s="2" t="n"/>
      <c r="AR105" s="2" t="n"/>
      <c r="AS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  <c r="AO106" s="2" t="n"/>
      <c r="AP106" s="2" t="n"/>
      <c r="AQ106" s="2" t="n"/>
      <c r="AR106" s="2" t="n"/>
      <c r="AS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  <c r="AO107" s="2" t="n"/>
      <c r="AP107" s="2" t="n"/>
      <c r="AQ107" s="2" t="n"/>
      <c r="AR107" s="2" t="n"/>
      <c r="AS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  <c r="AO108" s="2" t="n"/>
      <c r="AP108" s="2" t="n"/>
      <c r="AQ108" s="2" t="n"/>
      <c r="AR108" s="2" t="n"/>
      <c r="AS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  <c r="AO109" s="2" t="n"/>
      <c r="AP109" s="2" t="n"/>
      <c r="AQ109" s="2" t="n"/>
      <c r="AR109" s="2" t="n"/>
      <c r="AS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  <c r="AO110" s="2" t="n"/>
      <c r="AP110" s="2" t="n"/>
      <c r="AQ110" s="2" t="n"/>
      <c r="AR110" s="2" t="n"/>
      <c r="AS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  <c r="AO111" s="2" t="n"/>
      <c r="AP111" s="2" t="n"/>
      <c r="AQ111" s="2" t="n"/>
      <c r="AR111" s="2" t="n"/>
      <c r="AS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  <c r="AO112" s="2" t="n"/>
      <c r="AP112" s="2" t="n"/>
      <c r="AQ112" s="2" t="n"/>
      <c r="AR112" s="2" t="n"/>
      <c r="AS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  <c r="AO113" s="2" t="n"/>
      <c r="AP113" s="2" t="n"/>
      <c r="AQ113" s="2" t="n"/>
      <c r="AR113" s="2" t="n"/>
      <c r="AS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  <c r="AO114" s="2" t="n"/>
      <c r="AP114" s="2" t="n"/>
      <c r="AQ114" s="2" t="n"/>
      <c r="AR114" s="2" t="n"/>
      <c r="AS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  <c r="AO115" s="2" t="n"/>
      <c r="AP115" s="2" t="n"/>
      <c r="AQ115" s="2" t="n"/>
      <c r="AR115" s="2" t="n"/>
      <c r="AS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  <c r="AO116" s="2" t="n"/>
      <c r="AP116" s="2" t="n"/>
      <c r="AQ116" s="2" t="n"/>
      <c r="AR116" s="2" t="n"/>
      <c r="AS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  <c r="AO117" s="2" t="n"/>
      <c r="AP117" s="2" t="n"/>
      <c r="AQ117" s="2" t="n"/>
      <c r="AR117" s="2" t="n"/>
      <c r="AS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  <c r="AO118" s="2" t="n"/>
      <c r="AP118" s="2" t="n"/>
      <c r="AQ118" s="2" t="n"/>
      <c r="AR118" s="2" t="n"/>
      <c r="AS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  <c r="AO119" s="2" t="n"/>
      <c r="AP119" s="2" t="n"/>
      <c r="AQ119" s="2" t="n"/>
      <c r="AR119" s="2" t="n"/>
      <c r="AS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  <c r="AO120" s="2" t="n"/>
      <c r="AP120" s="2" t="n"/>
      <c r="AQ120" s="2" t="n"/>
      <c r="AR120" s="2" t="n"/>
      <c r="AS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  <c r="AO121" s="2" t="n"/>
      <c r="AP121" s="2" t="n"/>
      <c r="AQ121" s="2" t="n"/>
      <c r="AR121" s="2" t="n"/>
      <c r="AS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  <c r="AO122" s="2" t="n"/>
      <c r="AP122" s="2" t="n"/>
      <c r="AQ122" s="2" t="n"/>
      <c r="AR122" s="2" t="n"/>
      <c r="AS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  <c r="AO123" s="2" t="n"/>
      <c r="AP123" s="2" t="n"/>
      <c r="AQ123" s="2" t="n"/>
      <c r="AR123" s="2" t="n"/>
      <c r="AS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  <c r="AO124" s="2" t="n"/>
      <c r="AP124" s="2" t="n"/>
      <c r="AQ124" s="2" t="n"/>
      <c r="AR124" s="2" t="n"/>
      <c r="AS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  <c r="AO125" s="2" t="n"/>
      <c r="AP125" s="2" t="n"/>
      <c r="AQ125" s="2" t="n"/>
      <c r="AR125" s="2" t="n"/>
      <c r="AS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  <c r="AO126" s="2" t="n"/>
      <c r="AP126" s="2" t="n"/>
      <c r="AQ126" s="2" t="n"/>
      <c r="AR126" s="2" t="n"/>
      <c r="AS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  <c r="AO127" s="2" t="n"/>
      <c r="AP127" s="2" t="n"/>
      <c r="AQ127" s="2" t="n"/>
      <c r="AR127" s="2" t="n"/>
      <c r="AS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  <c r="AO128" s="2" t="n"/>
      <c r="AP128" s="2" t="n"/>
      <c r="AQ128" s="2" t="n"/>
      <c r="AR128" s="2" t="n"/>
      <c r="AS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  <c r="AO129" s="2" t="n"/>
      <c r="AP129" s="2" t="n"/>
      <c r="AQ129" s="2" t="n"/>
      <c r="AR129" s="2" t="n"/>
      <c r="AS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  <c r="AO130" s="2" t="n"/>
      <c r="AP130" s="2" t="n"/>
      <c r="AQ130" s="2" t="n"/>
      <c r="AR130" s="2" t="n"/>
      <c r="AS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  <c r="AO131" s="2" t="n"/>
      <c r="AP131" s="2" t="n"/>
      <c r="AQ131" s="2" t="n"/>
      <c r="AR131" s="2" t="n"/>
      <c r="AS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  <c r="AO132" s="2" t="n"/>
      <c r="AP132" s="2" t="n"/>
      <c r="AQ132" s="2" t="n"/>
      <c r="AR132" s="2" t="n"/>
      <c r="AS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  <c r="AO133" s="2" t="n"/>
      <c r="AP133" s="2" t="n"/>
      <c r="AQ133" s="2" t="n"/>
      <c r="AR133" s="2" t="n"/>
      <c r="AS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  <c r="AO134" s="2" t="n"/>
      <c r="AP134" s="2" t="n"/>
      <c r="AQ134" s="2" t="n"/>
      <c r="AR134" s="2" t="n"/>
      <c r="AS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  <c r="AO135" s="2" t="n"/>
      <c r="AP135" s="2" t="n"/>
      <c r="AQ135" s="2" t="n"/>
      <c r="AR135" s="2" t="n"/>
      <c r="AS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  <c r="AO136" s="2" t="n"/>
      <c r="AP136" s="2" t="n"/>
      <c r="AQ136" s="2" t="n"/>
      <c r="AR136" s="2" t="n"/>
      <c r="AS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  <c r="AO137" s="2" t="n"/>
      <c r="AP137" s="2" t="n"/>
      <c r="AQ137" s="2" t="n"/>
      <c r="AR137" s="2" t="n"/>
      <c r="AS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  <c r="AO138" s="2" t="n"/>
      <c r="AP138" s="2" t="n"/>
      <c r="AQ138" s="2" t="n"/>
      <c r="AR138" s="2" t="n"/>
      <c r="AS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  <c r="AO139" s="2" t="n"/>
      <c r="AP139" s="2" t="n"/>
      <c r="AQ139" s="2" t="n"/>
      <c r="AR139" s="2" t="n"/>
      <c r="AS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  <c r="AO140" s="2" t="n"/>
      <c r="AP140" s="2" t="n"/>
      <c r="AQ140" s="2" t="n"/>
      <c r="AR140" s="2" t="n"/>
      <c r="AS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  <c r="AO141" s="2" t="n"/>
      <c r="AP141" s="2" t="n"/>
      <c r="AQ141" s="2" t="n"/>
      <c r="AR141" s="2" t="n"/>
      <c r="AS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  <c r="AO142" s="2" t="n"/>
      <c r="AP142" s="2" t="n"/>
      <c r="AQ142" s="2" t="n"/>
      <c r="AR142" s="2" t="n"/>
      <c r="AS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  <c r="AO143" s="2" t="n"/>
      <c r="AP143" s="2" t="n"/>
      <c r="AQ143" s="2" t="n"/>
      <c r="AR143" s="2" t="n"/>
      <c r="AS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  <c r="AO144" s="2" t="n"/>
      <c r="AP144" s="2" t="n"/>
      <c r="AQ144" s="2" t="n"/>
      <c r="AR144" s="2" t="n"/>
      <c r="AS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  <c r="AO145" s="2" t="n"/>
      <c r="AP145" s="2" t="n"/>
      <c r="AQ145" s="2" t="n"/>
      <c r="AR145" s="2" t="n"/>
      <c r="AS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  <c r="AO146" s="2" t="n"/>
      <c r="AP146" s="2" t="n"/>
      <c r="AQ146" s="2" t="n"/>
      <c r="AR146" s="2" t="n"/>
      <c r="AS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  <c r="AO147" s="2" t="n"/>
      <c r="AP147" s="2" t="n"/>
      <c r="AQ147" s="2" t="n"/>
      <c r="AR147" s="2" t="n"/>
      <c r="AS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  <c r="AO148" s="2" t="n"/>
      <c r="AP148" s="2" t="n"/>
      <c r="AQ148" s="2" t="n"/>
      <c r="AR148" s="2" t="n"/>
      <c r="AS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  <c r="AO149" s="2" t="n"/>
      <c r="AP149" s="2" t="n"/>
      <c r="AQ149" s="2" t="n"/>
      <c r="AR149" s="2" t="n"/>
      <c r="AS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  <c r="AO150" s="2" t="n"/>
      <c r="AP150" s="2" t="n"/>
      <c r="AQ150" s="2" t="n"/>
      <c r="AR150" s="2" t="n"/>
      <c r="AS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  <c r="AO151" s="2" t="n"/>
      <c r="AP151" s="2" t="n"/>
      <c r="AQ151" s="2" t="n"/>
      <c r="AR151" s="2" t="n"/>
      <c r="AS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  <c r="AO152" s="2" t="n"/>
      <c r="AP152" s="2" t="n"/>
      <c r="AQ152" s="2" t="n"/>
      <c r="AR152" s="2" t="n"/>
      <c r="AS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  <c r="AO153" s="2" t="n"/>
      <c r="AP153" s="2" t="n"/>
      <c r="AQ153" s="2" t="n"/>
      <c r="AR153" s="2" t="n"/>
      <c r="AS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  <c r="AO154" s="2" t="n"/>
      <c r="AP154" s="2" t="n"/>
      <c r="AQ154" s="2" t="n"/>
      <c r="AR154" s="2" t="n"/>
      <c r="AS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  <c r="AO155" s="2" t="n"/>
      <c r="AP155" s="2" t="n"/>
      <c r="AQ155" s="2" t="n"/>
      <c r="AR155" s="2" t="n"/>
      <c r="AS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  <c r="AO156" s="2" t="n"/>
      <c r="AP156" s="2" t="n"/>
      <c r="AQ156" s="2" t="n"/>
      <c r="AR156" s="2" t="n"/>
      <c r="AS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  <c r="AO157" s="2" t="n"/>
      <c r="AP157" s="2" t="n"/>
      <c r="AQ157" s="2" t="n"/>
      <c r="AR157" s="2" t="n"/>
      <c r="AS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  <c r="AO158" s="2" t="n"/>
      <c r="AP158" s="2" t="n"/>
      <c r="AQ158" s="2" t="n"/>
      <c r="AR158" s="2" t="n"/>
      <c r="AS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  <c r="AO159" s="2" t="n"/>
      <c r="AP159" s="2" t="n"/>
      <c r="AQ159" s="2" t="n"/>
      <c r="AR159" s="2" t="n"/>
      <c r="AS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  <c r="AO160" s="2" t="n"/>
      <c r="AP160" s="2" t="n"/>
      <c r="AQ160" s="2" t="n"/>
      <c r="AR160" s="2" t="n"/>
      <c r="AS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  <c r="AO161" s="2" t="n"/>
      <c r="AP161" s="2" t="n"/>
      <c r="AQ161" s="2" t="n"/>
      <c r="AR161" s="2" t="n"/>
      <c r="AS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  <c r="AO162" s="2" t="n"/>
      <c r="AP162" s="2" t="n"/>
      <c r="AQ162" s="2" t="n"/>
      <c r="AR162" s="2" t="n"/>
      <c r="AS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  <c r="AO163" s="2" t="n"/>
      <c r="AP163" s="2" t="n"/>
      <c r="AQ163" s="2" t="n"/>
      <c r="AR163" s="2" t="n"/>
      <c r="AS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  <c r="AO164" s="2" t="n"/>
      <c r="AP164" s="2" t="n"/>
      <c r="AQ164" s="2" t="n"/>
      <c r="AR164" s="2" t="n"/>
      <c r="AS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  <c r="AO165" s="2" t="n"/>
      <c r="AP165" s="2" t="n"/>
      <c r="AQ165" s="2" t="n"/>
      <c r="AR165" s="2" t="n"/>
      <c r="AS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  <c r="AO166" s="2" t="n"/>
      <c r="AP166" s="2" t="n"/>
      <c r="AQ166" s="2" t="n"/>
      <c r="AR166" s="2" t="n"/>
      <c r="AS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  <c r="AO167" s="2" t="n"/>
      <c r="AP167" s="2" t="n"/>
      <c r="AQ167" s="2" t="n"/>
      <c r="AR167" s="2" t="n"/>
      <c r="AS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  <c r="AO168" s="2" t="n"/>
      <c r="AP168" s="2" t="n"/>
      <c r="AQ168" s="2" t="n"/>
      <c r="AR168" s="2" t="n"/>
      <c r="AS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  <c r="AO169" s="2" t="n"/>
      <c r="AP169" s="2" t="n"/>
      <c r="AQ169" s="2" t="n"/>
      <c r="AR169" s="2" t="n"/>
      <c r="AS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  <c r="AO170" s="2" t="n"/>
      <c r="AP170" s="2" t="n"/>
      <c r="AQ170" s="2" t="n"/>
      <c r="AR170" s="2" t="n"/>
      <c r="AS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  <c r="AO171" s="2" t="n"/>
      <c r="AP171" s="2" t="n"/>
      <c r="AQ171" s="2" t="n"/>
      <c r="AR171" s="2" t="n"/>
      <c r="AS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  <c r="AO172" s="2" t="n"/>
      <c r="AP172" s="2" t="n"/>
      <c r="AQ172" s="2" t="n"/>
      <c r="AR172" s="2" t="n"/>
      <c r="AS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  <c r="AO173" s="2" t="n"/>
      <c r="AP173" s="2" t="n"/>
      <c r="AQ173" s="2" t="n"/>
      <c r="AR173" s="2" t="n"/>
      <c r="AS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  <c r="AO174" s="2" t="n"/>
      <c r="AP174" s="2" t="n"/>
      <c r="AQ174" s="2" t="n"/>
      <c r="AR174" s="2" t="n"/>
      <c r="AS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  <c r="AO175" s="2" t="n"/>
      <c r="AP175" s="2" t="n"/>
      <c r="AQ175" s="2" t="n"/>
      <c r="AR175" s="2" t="n"/>
      <c r="AS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  <c r="AO176" s="2" t="n"/>
      <c r="AP176" s="2" t="n"/>
      <c r="AQ176" s="2" t="n"/>
      <c r="AR176" s="2" t="n"/>
      <c r="AS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  <c r="AO177" s="2" t="n"/>
      <c r="AP177" s="2" t="n"/>
      <c r="AQ177" s="2" t="n"/>
      <c r="AR177" s="2" t="n"/>
      <c r="AS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  <c r="AO178" s="2" t="n"/>
      <c r="AP178" s="2" t="n"/>
      <c r="AQ178" s="2" t="n"/>
      <c r="AR178" s="2" t="n"/>
      <c r="AS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  <c r="AO179" s="2" t="n"/>
      <c r="AP179" s="2" t="n"/>
      <c r="AQ179" s="2" t="n"/>
      <c r="AR179" s="2" t="n"/>
      <c r="AS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  <c r="AO180" s="2" t="n"/>
      <c r="AP180" s="2" t="n"/>
      <c r="AQ180" s="2" t="n"/>
      <c r="AR180" s="2" t="n"/>
      <c r="AS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  <c r="AO181" s="2" t="n"/>
      <c r="AP181" s="2" t="n"/>
      <c r="AQ181" s="2" t="n"/>
      <c r="AR181" s="2" t="n"/>
      <c r="AS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  <c r="AO182" s="2" t="n"/>
      <c r="AP182" s="2" t="n"/>
      <c r="AQ182" s="2" t="n"/>
      <c r="AR182" s="2" t="n"/>
      <c r="AS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  <c r="AO183" s="2" t="n"/>
      <c r="AP183" s="2" t="n"/>
      <c r="AQ183" s="2" t="n"/>
      <c r="AR183" s="2" t="n"/>
      <c r="AS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  <c r="AO184" s="2" t="n"/>
      <c r="AP184" s="2" t="n"/>
      <c r="AQ184" s="2" t="n"/>
      <c r="AR184" s="2" t="n"/>
      <c r="AS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  <c r="AO185" s="2" t="n"/>
      <c r="AP185" s="2" t="n"/>
      <c r="AQ185" s="2" t="n"/>
      <c r="AR185" s="2" t="n"/>
      <c r="AS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  <c r="AO186" s="2" t="n"/>
      <c r="AP186" s="2" t="n"/>
      <c r="AQ186" s="2" t="n"/>
      <c r="AR186" s="2" t="n"/>
      <c r="AS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  <c r="AO187" s="2" t="n"/>
      <c r="AP187" s="2" t="n"/>
      <c r="AQ187" s="2" t="n"/>
      <c r="AR187" s="2" t="n"/>
      <c r="AS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  <c r="AO188" s="2" t="n"/>
      <c r="AP188" s="2" t="n"/>
      <c r="AQ188" s="2" t="n"/>
      <c r="AR188" s="2" t="n"/>
      <c r="AS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  <c r="AO189" s="2" t="n"/>
      <c r="AP189" s="2" t="n"/>
      <c r="AQ189" s="2" t="n"/>
      <c r="AR189" s="2" t="n"/>
      <c r="AS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  <c r="AO190" s="2" t="n"/>
      <c r="AP190" s="2" t="n"/>
      <c r="AQ190" s="2" t="n"/>
      <c r="AR190" s="2" t="n"/>
      <c r="AS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  <c r="AO191" s="2" t="n"/>
      <c r="AP191" s="2" t="n"/>
      <c r="AQ191" s="2" t="n"/>
      <c r="AR191" s="2" t="n"/>
      <c r="AS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  <c r="AO192" s="2" t="n"/>
      <c r="AP192" s="2" t="n"/>
      <c r="AQ192" s="2" t="n"/>
      <c r="AR192" s="2" t="n"/>
      <c r="AS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  <c r="AO193" s="2" t="n"/>
      <c r="AP193" s="2" t="n"/>
      <c r="AQ193" s="2" t="n"/>
      <c r="AR193" s="2" t="n"/>
      <c r="AS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  <c r="AO194" s="2" t="n"/>
      <c r="AP194" s="2" t="n"/>
      <c r="AQ194" s="2" t="n"/>
      <c r="AR194" s="2" t="n"/>
      <c r="AS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  <c r="AO195" s="2" t="n"/>
      <c r="AP195" s="2" t="n"/>
      <c r="AQ195" s="2" t="n"/>
      <c r="AR195" s="2" t="n"/>
      <c r="AS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  <c r="AO196" s="2" t="n"/>
      <c r="AP196" s="2" t="n"/>
      <c r="AQ196" s="2" t="n"/>
      <c r="AR196" s="2" t="n"/>
      <c r="AS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  <c r="AO197" s="2" t="n"/>
      <c r="AP197" s="2" t="n"/>
      <c r="AQ197" s="2" t="n"/>
      <c r="AR197" s="2" t="n"/>
      <c r="AS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  <c r="AO198" s="2" t="n"/>
      <c r="AP198" s="2" t="n"/>
      <c r="AQ198" s="2" t="n"/>
      <c r="AR198" s="2" t="n"/>
      <c r="AS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  <c r="AO199" s="2" t="n"/>
      <c r="AP199" s="2" t="n"/>
      <c r="AQ199" s="2" t="n"/>
      <c r="AR199" s="2" t="n"/>
      <c r="AS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  <c r="AO200" s="2" t="n"/>
      <c r="AP200" s="2" t="n"/>
      <c r="AQ200" s="2" t="n"/>
      <c r="AR200" s="2" t="n"/>
      <c r="AS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  <c r="AO201" s="2" t="n"/>
      <c r="AP201" s="2" t="n"/>
      <c r="AQ201" s="2" t="n"/>
      <c r="AR201" s="2" t="n"/>
      <c r="AS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  <c r="AO202" s="2" t="n"/>
      <c r="AP202" s="2" t="n"/>
      <c r="AQ202" s="2" t="n"/>
      <c r="AR202" s="2" t="n"/>
      <c r="AS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  <c r="AO203" s="2" t="n"/>
      <c r="AP203" s="2" t="n"/>
      <c r="AQ203" s="2" t="n"/>
      <c r="AR203" s="2" t="n"/>
      <c r="AS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  <c r="AO204" s="2" t="n"/>
      <c r="AP204" s="2" t="n"/>
      <c r="AQ204" s="2" t="n"/>
      <c r="AR204" s="2" t="n"/>
      <c r="AS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  <c r="AO205" s="2" t="n"/>
      <c r="AP205" s="2" t="n"/>
      <c r="AQ205" s="2" t="n"/>
      <c r="AR205" s="2" t="n"/>
      <c r="AS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  <c r="AO206" s="2" t="n"/>
      <c r="AP206" s="2" t="n"/>
      <c r="AQ206" s="2" t="n"/>
      <c r="AR206" s="2" t="n"/>
      <c r="AS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  <c r="AO207" s="2" t="n"/>
      <c r="AP207" s="2" t="n"/>
      <c r="AQ207" s="2" t="n"/>
      <c r="AR207" s="2" t="n"/>
      <c r="AS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  <c r="AO208" s="2" t="n"/>
      <c r="AP208" s="2" t="n"/>
      <c r="AQ208" s="2" t="n"/>
      <c r="AR208" s="2" t="n"/>
      <c r="AS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  <c r="AO209" s="2" t="n"/>
      <c r="AP209" s="2" t="n"/>
      <c r="AQ209" s="2" t="n"/>
      <c r="AR209" s="2" t="n"/>
      <c r="AS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  <c r="AO210" s="2" t="n"/>
      <c r="AP210" s="2" t="n"/>
      <c r="AQ210" s="2" t="n"/>
      <c r="AR210" s="2" t="n"/>
      <c r="AS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  <c r="AO211" s="2" t="n"/>
      <c r="AP211" s="2" t="n"/>
      <c r="AQ211" s="2" t="n"/>
      <c r="AR211" s="2" t="n"/>
      <c r="AS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  <c r="AO212" s="2" t="n"/>
      <c r="AP212" s="2" t="n"/>
      <c r="AQ212" s="2" t="n"/>
      <c r="AR212" s="2" t="n"/>
      <c r="AS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  <c r="AO213" s="2" t="n"/>
      <c r="AP213" s="2" t="n"/>
      <c r="AQ213" s="2" t="n"/>
      <c r="AR213" s="2" t="n"/>
      <c r="AS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  <c r="AO214" s="2" t="n"/>
      <c r="AP214" s="2" t="n"/>
      <c r="AQ214" s="2" t="n"/>
      <c r="AR214" s="2" t="n"/>
      <c r="AS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  <c r="AO215" s="2" t="n"/>
      <c r="AP215" s="2" t="n"/>
      <c r="AQ215" s="2" t="n"/>
      <c r="AR215" s="2" t="n"/>
      <c r="AS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  <c r="AO216" s="2" t="n"/>
      <c r="AP216" s="2" t="n"/>
      <c r="AQ216" s="2" t="n"/>
      <c r="AR216" s="2" t="n"/>
      <c r="AS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  <c r="AO217" s="2" t="n"/>
      <c r="AP217" s="2" t="n"/>
      <c r="AQ217" s="2" t="n"/>
      <c r="AR217" s="2" t="n"/>
      <c r="AS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  <c r="AO218" s="2" t="n"/>
      <c r="AP218" s="2" t="n"/>
      <c r="AQ218" s="2" t="n"/>
      <c r="AR218" s="2" t="n"/>
      <c r="AS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  <c r="AO219" s="2" t="n"/>
      <c r="AP219" s="2" t="n"/>
      <c r="AQ219" s="2" t="n"/>
      <c r="AR219" s="2" t="n"/>
      <c r="AS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  <c r="AO220" s="2" t="n"/>
      <c r="AP220" s="2" t="n"/>
      <c r="AQ220" s="2" t="n"/>
      <c r="AR220" s="2" t="n"/>
      <c r="AS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  <c r="AO221" s="2" t="n"/>
      <c r="AP221" s="2" t="n"/>
      <c r="AQ221" s="2" t="n"/>
      <c r="AR221" s="2" t="n"/>
      <c r="AS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  <c r="AO222" s="2" t="n"/>
      <c r="AP222" s="2" t="n"/>
      <c r="AQ222" s="2" t="n"/>
      <c r="AR222" s="2" t="n"/>
      <c r="AS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  <c r="AO223" s="2" t="n"/>
      <c r="AP223" s="2" t="n"/>
      <c r="AQ223" s="2" t="n"/>
      <c r="AR223" s="2" t="n"/>
      <c r="AS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  <c r="AO224" s="2" t="n"/>
      <c r="AP224" s="2" t="n"/>
      <c r="AQ224" s="2" t="n"/>
      <c r="AR224" s="2" t="n"/>
      <c r="AS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  <c r="AO225" s="2" t="n"/>
      <c r="AP225" s="2" t="n"/>
      <c r="AQ225" s="2" t="n"/>
      <c r="AR225" s="2" t="n"/>
      <c r="AS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  <c r="AO226" s="2" t="n"/>
      <c r="AP226" s="2" t="n"/>
      <c r="AQ226" s="2" t="n"/>
      <c r="AR226" s="2" t="n"/>
      <c r="AS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  <c r="AO227" s="2" t="n"/>
      <c r="AP227" s="2" t="n"/>
      <c r="AQ227" s="2" t="n"/>
      <c r="AR227" s="2" t="n"/>
      <c r="AS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  <c r="AO228" s="2" t="n"/>
      <c r="AP228" s="2" t="n"/>
      <c r="AQ228" s="2" t="n"/>
      <c r="AR228" s="2" t="n"/>
      <c r="AS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  <c r="AO229" s="2" t="n"/>
      <c r="AP229" s="2" t="n"/>
      <c r="AQ229" s="2" t="n"/>
      <c r="AR229" s="2" t="n"/>
      <c r="AS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  <c r="AO230" s="2" t="n"/>
      <c r="AP230" s="2" t="n"/>
      <c r="AQ230" s="2" t="n"/>
      <c r="AR230" s="2" t="n"/>
      <c r="AS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  <c r="AO231" s="2" t="n"/>
      <c r="AP231" s="2" t="n"/>
      <c r="AQ231" s="2" t="n"/>
      <c r="AR231" s="2" t="n"/>
      <c r="AS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  <c r="AO232" s="2" t="n"/>
      <c r="AP232" s="2" t="n"/>
      <c r="AQ232" s="2" t="n"/>
      <c r="AR232" s="2" t="n"/>
      <c r="AS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  <c r="AO233" s="2" t="n"/>
      <c r="AP233" s="2" t="n"/>
      <c r="AQ233" s="2" t="n"/>
      <c r="AR233" s="2" t="n"/>
      <c r="AS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  <c r="AO234" s="2" t="n"/>
      <c r="AP234" s="2" t="n"/>
      <c r="AQ234" s="2" t="n"/>
      <c r="AR234" s="2" t="n"/>
      <c r="AS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  <c r="AO235" s="2" t="n"/>
      <c r="AP235" s="2" t="n"/>
      <c r="AQ235" s="2" t="n"/>
      <c r="AR235" s="2" t="n"/>
      <c r="AS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  <c r="AO236" s="2" t="n"/>
      <c r="AP236" s="2" t="n"/>
      <c r="AQ236" s="2" t="n"/>
      <c r="AR236" s="2" t="n"/>
      <c r="AS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  <c r="AO237" s="2" t="n"/>
      <c r="AP237" s="2" t="n"/>
      <c r="AQ237" s="2" t="n"/>
      <c r="AR237" s="2" t="n"/>
      <c r="AS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  <c r="AO238" s="2" t="n"/>
      <c r="AP238" s="2" t="n"/>
      <c r="AQ238" s="2" t="n"/>
      <c r="AR238" s="2" t="n"/>
      <c r="AS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  <c r="AO239" s="2" t="n"/>
      <c r="AP239" s="2" t="n"/>
      <c r="AQ239" s="2" t="n"/>
      <c r="AR239" s="2" t="n"/>
      <c r="AS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  <c r="AO240" s="2" t="n"/>
      <c r="AP240" s="2" t="n"/>
      <c r="AQ240" s="2" t="n"/>
      <c r="AR240" s="2" t="n"/>
      <c r="AS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  <c r="AO241" s="2" t="n"/>
      <c r="AP241" s="2" t="n"/>
      <c r="AQ241" s="2" t="n"/>
      <c r="AR241" s="2" t="n"/>
      <c r="AS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  <c r="AO242" s="2" t="n"/>
      <c r="AP242" s="2" t="n"/>
      <c r="AQ242" s="2" t="n"/>
      <c r="AR242" s="2" t="n"/>
      <c r="AS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  <c r="AO243" s="2" t="n"/>
      <c r="AP243" s="2" t="n"/>
      <c r="AQ243" s="2" t="n"/>
      <c r="AR243" s="2" t="n"/>
      <c r="AS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  <c r="AO244" s="2" t="n"/>
      <c r="AP244" s="2" t="n"/>
      <c r="AQ244" s="2" t="n"/>
      <c r="AR244" s="2" t="n"/>
      <c r="AS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  <c r="AO245" s="2" t="n"/>
      <c r="AP245" s="2" t="n"/>
      <c r="AQ245" s="2" t="n"/>
      <c r="AR245" s="2" t="n"/>
      <c r="AS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  <c r="AO246" s="2" t="n"/>
      <c r="AP246" s="2" t="n"/>
      <c r="AQ246" s="2" t="n"/>
      <c r="AR246" s="2" t="n"/>
      <c r="AS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  <c r="AO247" s="2" t="n"/>
      <c r="AP247" s="2" t="n"/>
      <c r="AQ247" s="2" t="n"/>
      <c r="AR247" s="2" t="n"/>
      <c r="AS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  <c r="AO248" s="2" t="n"/>
      <c r="AP248" s="2" t="n"/>
      <c r="AQ248" s="2" t="n"/>
      <c r="AR248" s="2" t="n"/>
      <c r="AS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  <c r="AO249" s="2" t="n"/>
      <c r="AP249" s="2" t="n"/>
      <c r="AQ249" s="2" t="n"/>
      <c r="AR249" s="2" t="n"/>
      <c r="AS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  <c r="AO250" s="2" t="n"/>
      <c r="AP250" s="2" t="n"/>
      <c r="AQ250" s="2" t="n"/>
      <c r="AR250" s="2" t="n"/>
      <c r="AS250" s="2" t="n"/>
    </row>
  </sheetData>
  <autoFilter ref="A13:K19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66609B"/>
    <outlinePr summaryBelow="1" summaryRight="1"/>
    <pageSetUpPr/>
  </sheetPr>
  <dimension ref="A1:AS250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14" customWidth="1" min="3" max="3"/>
    <col width="14" customWidth="1" min="4" max="4"/>
    <col width="22" customWidth="1" min="5" max="5"/>
    <col width="20" customWidth="1" min="6" max="6"/>
    <col width="12" customWidth="1" min="7" max="7"/>
    <col width="16" customWidth="1" min="8" max="8"/>
    <col width="12" customWidth="1" min="9" max="9"/>
    <col width="12" customWidth="1" min="10" max="10"/>
    <col width="14" customWidth="1" min="11" max="11"/>
  </cols>
  <sheetData>
    <row r="1">
      <c r="A1" s="3" t="inlineStr">
        <is>
          <t>Leavers - paste raw iTrent export below from row 11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  <c r="AP2" s="2" t="n"/>
      <c r="AQ2" s="2" t="n"/>
      <c r="AR2" s="2" t="n"/>
      <c r="AS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  <c r="AO3" s="2" t="n"/>
      <c r="AP3" s="2" t="n"/>
      <c r="AQ3" s="2" t="n"/>
      <c r="AR3" s="2" t="n"/>
      <c r="AS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  <c r="AO4" s="2" t="n"/>
      <c r="AP4" s="2" t="n"/>
      <c r="AQ4" s="2" t="n"/>
      <c r="AR4" s="2" t="n"/>
      <c r="AS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  <c r="AO5" s="2" t="n"/>
      <c r="AP5" s="2" t="n"/>
      <c r="AQ5" s="2" t="n"/>
      <c r="AR5" s="2" t="n"/>
      <c r="AS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  <c r="AO6" s="2" t="n"/>
      <c r="AP6" s="2" t="n"/>
      <c r="AQ6" s="2" t="n"/>
      <c r="AR6" s="2" t="n"/>
      <c r="AS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  <c r="AO7" s="2" t="n"/>
      <c r="AP7" s="2" t="n"/>
      <c r="AQ7" s="2" t="n"/>
      <c r="AR7" s="2" t="n"/>
      <c r="AS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  <c r="AO8" s="2" t="n"/>
      <c r="AP8" s="2" t="n"/>
      <c r="AQ8" s="2" t="n"/>
      <c r="AR8" s="2" t="n"/>
      <c r="AS8" s="2" t="n"/>
    </row>
    <row r="9">
      <c r="A9" s="22" t="inlineStr">
        <is>
          <t>Paste the full export starting at A11 (headers) so data begins row 12.</t>
        </is>
      </c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  <c r="AO9" s="2" t="n"/>
      <c r="AP9" s="2" t="n"/>
      <c r="AQ9" s="2" t="n"/>
      <c r="AR9" s="2" t="n"/>
      <c r="AS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  <c r="AO10" s="2" t="n"/>
      <c r="AP10" s="2" t="n"/>
      <c r="AQ10" s="2" t="n"/>
      <c r="AR10" s="2" t="n"/>
      <c r="AS10" s="2" t="n"/>
    </row>
    <row r="11" ht="22" customHeight="1">
      <c r="A11" s="14" t="inlineStr">
        <is>
          <t>Row</t>
        </is>
      </c>
      <c r="B11" s="14" t="inlineStr">
        <is>
          <t>Title</t>
        </is>
      </c>
      <c r="C11" s="14" t="inlineStr">
        <is>
          <t>Surname</t>
        </is>
      </c>
      <c r="D11" s="14" t="inlineStr">
        <is>
          <t>Payroll Number</t>
        </is>
      </c>
      <c r="E11" s="14" t="inlineStr">
        <is>
          <t>Practice</t>
        </is>
      </c>
      <c r="F11" s="14" t="inlineStr">
        <is>
          <t>Position Name</t>
        </is>
      </c>
      <c r="G11" s="14" t="inlineStr">
        <is>
          <t>Leave Date</t>
        </is>
      </c>
      <c r="H11" s="14" t="inlineStr">
        <is>
          <t>Category</t>
        </is>
      </c>
      <c r="I11" s="14" t="inlineStr">
        <is>
          <t>Basis</t>
        </is>
      </c>
      <c r="J11" s="14" t="inlineStr">
        <is>
          <t>Department</t>
        </is>
      </c>
      <c r="K11" s="14" t="inlineStr">
        <is>
          <t>Personal Reference</t>
        </is>
      </c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</row>
    <row r="12">
      <c r="A12" s="11" t="n">
        <v>1</v>
      </c>
      <c r="B12" s="11" t="inlineStr">
        <is>
          <t>Mr/Mrs</t>
        </is>
      </c>
      <c r="C12" s="11" t="inlineStr">
        <is>
          <t>Surname638</t>
        </is>
      </c>
      <c r="D12" s="11" t="inlineStr">
        <is>
          <t>P69638</t>
        </is>
      </c>
      <c r="E12" s="11" t="inlineStr">
        <is>
          <t>Oakfield Dental Practice</t>
        </is>
      </c>
      <c r="F12" s="11" t="inlineStr">
        <is>
          <t>Orthodontist</t>
        </is>
      </c>
      <c r="G12" s="11" t="inlineStr">
        <is>
          <t>July 2026</t>
        </is>
      </c>
      <c r="H12" s="11" t="inlineStr">
        <is>
          <t>Practice Clinical</t>
        </is>
      </c>
      <c r="I12" s="11" t="inlineStr">
        <is>
          <t>Permanent</t>
        </is>
      </c>
      <c r="J12" s="11" t="inlineStr">
        <is>
          <t>N/A</t>
        </is>
      </c>
      <c r="K12" s="11" t="inlineStr">
        <is>
          <t>PR69638</t>
        </is>
      </c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  <c r="AO12" s="2" t="n"/>
      <c r="AP12" s="2" t="n"/>
      <c r="AQ12" s="2" t="n"/>
      <c r="AR12" s="2" t="n"/>
      <c r="AS12" s="2" t="n"/>
    </row>
    <row r="13">
      <c r="A13" s="11" t="n">
        <v>2</v>
      </c>
      <c r="B13" s="11" t="inlineStr">
        <is>
          <t>Mr/Mrs</t>
        </is>
      </c>
      <c r="C13" s="11" t="inlineStr">
        <is>
          <t>Surname890</t>
        </is>
      </c>
      <c r="D13" s="11" t="inlineStr">
        <is>
          <t>P48890</t>
        </is>
      </c>
      <c r="E13" s="11" t="inlineStr">
        <is>
          <t>Elm Park Dental Practice</t>
        </is>
      </c>
      <c r="F13" s="11" t="inlineStr">
        <is>
          <t>Orthodontist</t>
        </is>
      </c>
      <c r="G13" s="11" t="inlineStr">
        <is>
          <t>July 2026</t>
        </is>
      </c>
      <c r="H13" s="11" t="inlineStr">
        <is>
          <t>Practice Clinical</t>
        </is>
      </c>
      <c r="I13" s="11" t="inlineStr">
        <is>
          <t>Permanent</t>
        </is>
      </c>
      <c r="J13" s="11" t="inlineStr">
        <is>
          <t>N/A</t>
        </is>
      </c>
      <c r="K13" s="11" t="inlineStr">
        <is>
          <t>PR48890</t>
        </is>
      </c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  <c r="AO13" s="2" t="n"/>
      <c r="AP13" s="2" t="n"/>
      <c r="AQ13" s="2" t="n"/>
      <c r="AR13" s="2" t="n"/>
      <c r="AS13" s="2" t="n"/>
    </row>
    <row r="14">
      <c r="A14" s="11" t="n">
        <v>3</v>
      </c>
      <c r="B14" s="11" t="inlineStr">
        <is>
          <t>Mr/Mrs</t>
        </is>
      </c>
      <c r="C14" s="11" t="inlineStr">
        <is>
          <t>Surname492</t>
        </is>
      </c>
      <c r="D14" s="11" t="inlineStr">
        <is>
          <t>P17492</t>
        </is>
      </c>
      <c r="E14" s="11" t="inlineStr">
        <is>
          <t>Kings Road Dental Practice</t>
        </is>
      </c>
      <c r="F14" s="11" t="inlineStr">
        <is>
          <t>Regional Support Officer</t>
        </is>
      </c>
      <c r="G14" s="11" t="inlineStr">
        <is>
          <t>July 2026</t>
        </is>
      </c>
      <c r="H14" s="11" t="inlineStr">
        <is>
          <t>Employee</t>
        </is>
      </c>
      <c r="I14" s="11" t="inlineStr">
        <is>
          <t>Permanent</t>
        </is>
      </c>
      <c r="J14" s="11" t="inlineStr">
        <is>
          <t>N/A</t>
        </is>
      </c>
      <c r="K14" s="11" t="inlineStr">
        <is>
          <t>PR17492</t>
        </is>
      </c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  <c r="AO14" s="2" t="n"/>
      <c r="AP14" s="2" t="n"/>
      <c r="AQ14" s="2" t="n"/>
      <c r="AR14" s="2" t="n"/>
      <c r="AS14" s="2" t="n"/>
    </row>
    <row r="15">
      <c r="A15" s="11" t="n">
        <v>4</v>
      </c>
      <c r="B15" s="11" t="inlineStr">
        <is>
          <t>Mr/Mrs</t>
        </is>
      </c>
      <c r="C15" s="11" t="inlineStr">
        <is>
          <t>Surname615</t>
        </is>
      </c>
      <c r="D15" s="11" t="inlineStr">
        <is>
          <t>P79615</t>
        </is>
      </c>
      <c r="E15" s="11" t="inlineStr">
        <is>
          <t>Riverside Dental Practice</t>
        </is>
      </c>
      <c r="F15" s="11" t="inlineStr">
        <is>
          <t>Practice Administrator</t>
        </is>
      </c>
      <c r="G15" s="11" t="inlineStr">
        <is>
          <t>July 2026</t>
        </is>
      </c>
      <c r="H15" s="11" t="inlineStr">
        <is>
          <t>Practice Support</t>
        </is>
      </c>
      <c r="I15" s="11" t="inlineStr">
        <is>
          <t>Permanent</t>
        </is>
      </c>
      <c r="J15" s="11" t="inlineStr">
        <is>
          <t>N/A</t>
        </is>
      </c>
      <c r="K15" s="11" t="inlineStr">
        <is>
          <t>PR79615</t>
        </is>
      </c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  <c r="AO15" s="2" t="n"/>
      <c r="AP15" s="2" t="n"/>
      <c r="AQ15" s="2" t="n"/>
      <c r="AR15" s="2" t="n"/>
      <c r="AS15" s="2" t="n"/>
    </row>
    <row r="16">
      <c r="A16" s="11" t="n">
        <v>5</v>
      </c>
      <c r="B16" s="11" t="inlineStr">
        <is>
          <t>Mr/Mrs</t>
        </is>
      </c>
      <c r="C16" s="11" t="inlineStr">
        <is>
          <t>Surname602</t>
        </is>
      </c>
      <c r="D16" s="11" t="inlineStr">
        <is>
          <t>P19602</t>
        </is>
      </c>
      <c r="E16" s="11" t="inlineStr">
        <is>
          <t>Riverside Dental Practice</t>
        </is>
      </c>
      <c r="F16" s="11" t="inlineStr">
        <is>
          <t>Practice Administrator</t>
        </is>
      </c>
      <c r="G16" s="11" t="inlineStr">
        <is>
          <t>July 2026</t>
        </is>
      </c>
      <c r="H16" s="11" t="inlineStr">
        <is>
          <t>Practice Support</t>
        </is>
      </c>
      <c r="I16" s="11" t="inlineStr">
        <is>
          <t>Permanent</t>
        </is>
      </c>
      <c r="J16" s="11" t="inlineStr">
        <is>
          <t>N/A</t>
        </is>
      </c>
      <c r="K16" s="11" t="inlineStr">
        <is>
          <t>PRTRF1000</t>
        </is>
      </c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  <c r="AO16" s="2" t="n"/>
      <c r="AP16" s="2" t="n"/>
      <c r="AQ16" s="2" t="n"/>
      <c r="AR16" s="2" t="n"/>
      <c r="AS16" s="2" t="n"/>
    </row>
    <row r="17">
      <c r="A17" s="11" t="n">
        <v>6</v>
      </c>
      <c r="B17" s="11" t="inlineStr">
        <is>
          <t>Mr/Mrs</t>
        </is>
      </c>
      <c r="C17" s="11" t="inlineStr">
        <is>
          <t>Surname745</t>
        </is>
      </c>
      <c r="D17" s="11" t="inlineStr">
        <is>
          <t>P55745</t>
        </is>
      </c>
      <c r="E17" s="11" t="inlineStr">
        <is>
          <t>Kings Road Dental Practice</t>
        </is>
      </c>
      <c r="F17" s="11" t="inlineStr">
        <is>
          <t>Finance Analyst</t>
        </is>
      </c>
      <c r="G17" s="11" t="inlineStr">
        <is>
          <t>July 2026</t>
        </is>
      </c>
      <c r="H17" s="11" t="inlineStr">
        <is>
          <t>HGHQ</t>
        </is>
      </c>
      <c r="I17" s="11" t="inlineStr">
        <is>
          <t>Permanent</t>
        </is>
      </c>
      <c r="J17" s="11" t="inlineStr">
        <is>
          <t>N/A</t>
        </is>
      </c>
      <c r="K17" s="11" t="inlineStr">
        <is>
          <t>PRTRF1001</t>
        </is>
      </c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  <c r="AO17" s="2" t="n"/>
      <c r="AP17" s="2" t="n"/>
      <c r="AQ17" s="2" t="n"/>
      <c r="AR17" s="2" t="n"/>
      <c r="AS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  <c r="AO18" s="2" t="n"/>
      <c r="AP18" s="2" t="n"/>
      <c r="AQ18" s="2" t="n"/>
      <c r="AR18" s="2" t="n"/>
      <c r="AS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  <c r="AO19" s="2" t="n"/>
      <c r="AP19" s="2" t="n"/>
      <c r="AQ19" s="2" t="n"/>
      <c r="AR19" s="2" t="n"/>
      <c r="AS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  <c r="AO20" s="2" t="n"/>
      <c r="AP20" s="2" t="n"/>
      <c r="AQ20" s="2" t="n"/>
      <c r="AR20" s="2" t="n"/>
      <c r="AS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  <c r="AO21" s="2" t="n"/>
      <c r="AP21" s="2" t="n"/>
      <c r="AQ21" s="2" t="n"/>
      <c r="AR21" s="2" t="n"/>
      <c r="AS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  <c r="AO22" s="2" t="n"/>
      <c r="AP22" s="2" t="n"/>
      <c r="AQ22" s="2" t="n"/>
      <c r="AR22" s="2" t="n"/>
      <c r="AS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  <c r="AO23" s="2" t="n"/>
      <c r="AP23" s="2" t="n"/>
      <c r="AQ23" s="2" t="n"/>
      <c r="AR23" s="2" t="n"/>
      <c r="AS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  <c r="AO24" s="2" t="n"/>
      <c r="AP24" s="2" t="n"/>
      <c r="AQ24" s="2" t="n"/>
      <c r="AR24" s="2" t="n"/>
      <c r="AS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  <c r="AO25" s="2" t="n"/>
      <c r="AP25" s="2" t="n"/>
      <c r="AQ25" s="2" t="n"/>
      <c r="AR25" s="2" t="n"/>
      <c r="AS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  <c r="AO26" s="2" t="n"/>
      <c r="AP26" s="2" t="n"/>
      <c r="AQ26" s="2" t="n"/>
      <c r="AR26" s="2" t="n"/>
      <c r="AS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  <c r="AO27" s="2" t="n"/>
      <c r="AP27" s="2" t="n"/>
      <c r="AQ27" s="2" t="n"/>
      <c r="AR27" s="2" t="n"/>
      <c r="AS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  <c r="AO28" s="2" t="n"/>
      <c r="AP28" s="2" t="n"/>
      <c r="AQ28" s="2" t="n"/>
      <c r="AR28" s="2" t="n"/>
      <c r="AS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  <c r="AO29" s="2" t="n"/>
      <c r="AP29" s="2" t="n"/>
      <c r="AQ29" s="2" t="n"/>
      <c r="AR29" s="2" t="n"/>
      <c r="AS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  <c r="AO30" s="2" t="n"/>
      <c r="AP30" s="2" t="n"/>
      <c r="AQ30" s="2" t="n"/>
      <c r="AR30" s="2" t="n"/>
      <c r="AS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  <c r="AO31" s="2" t="n"/>
      <c r="AP31" s="2" t="n"/>
      <c r="AQ31" s="2" t="n"/>
      <c r="AR31" s="2" t="n"/>
      <c r="AS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  <c r="AO32" s="2" t="n"/>
      <c r="AP32" s="2" t="n"/>
      <c r="AQ32" s="2" t="n"/>
      <c r="AR32" s="2" t="n"/>
      <c r="AS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  <c r="AO33" s="2" t="n"/>
      <c r="AP33" s="2" t="n"/>
      <c r="AQ33" s="2" t="n"/>
      <c r="AR33" s="2" t="n"/>
      <c r="AS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  <c r="AO34" s="2" t="n"/>
      <c r="AP34" s="2" t="n"/>
      <c r="AQ34" s="2" t="n"/>
      <c r="AR34" s="2" t="n"/>
      <c r="AS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  <c r="AO35" s="2" t="n"/>
      <c r="AP35" s="2" t="n"/>
      <c r="AQ35" s="2" t="n"/>
      <c r="AR35" s="2" t="n"/>
      <c r="AS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  <c r="AO36" s="2" t="n"/>
      <c r="AP36" s="2" t="n"/>
      <c r="AQ36" s="2" t="n"/>
      <c r="AR36" s="2" t="n"/>
      <c r="AS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  <c r="AO37" s="2" t="n"/>
      <c r="AP37" s="2" t="n"/>
      <c r="AQ37" s="2" t="n"/>
      <c r="AR37" s="2" t="n"/>
      <c r="AS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  <c r="AO38" s="2" t="n"/>
      <c r="AP38" s="2" t="n"/>
      <c r="AQ38" s="2" t="n"/>
      <c r="AR38" s="2" t="n"/>
      <c r="AS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  <c r="AO39" s="2" t="n"/>
      <c r="AP39" s="2" t="n"/>
      <c r="AQ39" s="2" t="n"/>
      <c r="AR39" s="2" t="n"/>
      <c r="AS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  <c r="AO40" s="2" t="n"/>
      <c r="AP40" s="2" t="n"/>
      <c r="AQ40" s="2" t="n"/>
      <c r="AR40" s="2" t="n"/>
      <c r="AS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  <c r="AO41" s="2" t="n"/>
      <c r="AP41" s="2" t="n"/>
      <c r="AQ41" s="2" t="n"/>
      <c r="AR41" s="2" t="n"/>
      <c r="AS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  <c r="AO42" s="2" t="n"/>
      <c r="AP42" s="2" t="n"/>
      <c r="AQ42" s="2" t="n"/>
      <c r="AR42" s="2" t="n"/>
      <c r="AS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  <c r="AO43" s="2" t="n"/>
      <c r="AP43" s="2" t="n"/>
      <c r="AQ43" s="2" t="n"/>
      <c r="AR43" s="2" t="n"/>
      <c r="AS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  <c r="AO44" s="2" t="n"/>
      <c r="AP44" s="2" t="n"/>
      <c r="AQ44" s="2" t="n"/>
      <c r="AR44" s="2" t="n"/>
      <c r="AS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  <c r="AO45" s="2" t="n"/>
      <c r="AP45" s="2" t="n"/>
      <c r="AQ45" s="2" t="n"/>
      <c r="AR45" s="2" t="n"/>
      <c r="AS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  <c r="AO46" s="2" t="n"/>
      <c r="AP46" s="2" t="n"/>
      <c r="AQ46" s="2" t="n"/>
      <c r="AR46" s="2" t="n"/>
      <c r="AS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  <c r="AO47" s="2" t="n"/>
      <c r="AP47" s="2" t="n"/>
      <c r="AQ47" s="2" t="n"/>
      <c r="AR47" s="2" t="n"/>
      <c r="AS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  <c r="AO48" s="2" t="n"/>
      <c r="AP48" s="2" t="n"/>
      <c r="AQ48" s="2" t="n"/>
      <c r="AR48" s="2" t="n"/>
      <c r="AS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  <c r="AO49" s="2" t="n"/>
      <c r="AP49" s="2" t="n"/>
      <c r="AQ49" s="2" t="n"/>
      <c r="AR49" s="2" t="n"/>
      <c r="AS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  <c r="AO50" s="2" t="n"/>
      <c r="AP50" s="2" t="n"/>
      <c r="AQ50" s="2" t="n"/>
      <c r="AR50" s="2" t="n"/>
      <c r="AS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  <c r="AO51" s="2" t="n"/>
      <c r="AP51" s="2" t="n"/>
      <c r="AQ51" s="2" t="n"/>
      <c r="AR51" s="2" t="n"/>
      <c r="AS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  <c r="AO52" s="2" t="n"/>
      <c r="AP52" s="2" t="n"/>
      <c r="AQ52" s="2" t="n"/>
      <c r="AR52" s="2" t="n"/>
      <c r="AS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  <c r="AO53" s="2" t="n"/>
      <c r="AP53" s="2" t="n"/>
      <c r="AQ53" s="2" t="n"/>
      <c r="AR53" s="2" t="n"/>
      <c r="AS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  <c r="AO54" s="2" t="n"/>
      <c r="AP54" s="2" t="n"/>
      <c r="AQ54" s="2" t="n"/>
      <c r="AR54" s="2" t="n"/>
      <c r="AS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  <c r="AO55" s="2" t="n"/>
      <c r="AP55" s="2" t="n"/>
      <c r="AQ55" s="2" t="n"/>
      <c r="AR55" s="2" t="n"/>
      <c r="AS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  <c r="AO56" s="2" t="n"/>
      <c r="AP56" s="2" t="n"/>
      <c r="AQ56" s="2" t="n"/>
      <c r="AR56" s="2" t="n"/>
      <c r="AS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  <c r="AO57" s="2" t="n"/>
      <c r="AP57" s="2" t="n"/>
      <c r="AQ57" s="2" t="n"/>
      <c r="AR57" s="2" t="n"/>
      <c r="AS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  <c r="AO58" s="2" t="n"/>
      <c r="AP58" s="2" t="n"/>
      <c r="AQ58" s="2" t="n"/>
      <c r="AR58" s="2" t="n"/>
      <c r="AS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  <c r="AO59" s="2" t="n"/>
      <c r="AP59" s="2" t="n"/>
      <c r="AQ59" s="2" t="n"/>
      <c r="AR59" s="2" t="n"/>
      <c r="AS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  <c r="AO60" s="2" t="n"/>
      <c r="AP60" s="2" t="n"/>
      <c r="AQ60" s="2" t="n"/>
      <c r="AR60" s="2" t="n"/>
      <c r="AS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  <c r="AO61" s="2" t="n"/>
      <c r="AP61" s="2" t="n"/>
      <c r="AQ61" s="2" t="n"/>
      <c r="AR61" s="2" t="n"/>
      <c r="AS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  <c r="AO62" s="2" t="n"/>
      <c r="AP62" s="2" t="n"/>
      <c r="AQ62" s="2" t="n"/>
      <c r="AR62" s="2" t="n"/>
      <c r="AS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  <c r="AO63" s="2" t="n"/>
      <c r="AP63" s="2" t="n"/>
      <c r="AQ63" s="2" t="n"/>
      <c r="AR63" s="2" t="n"/>
      <c r="AS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  <c r="AO64" s="2" t="n"/>
      <c r="AP64" s="2" t="n"/>
      <c r="AQ64" s="2" t="n"/>
      <c r="AR64" s="2" t="n"/>
      <c r="AS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  <c r="AO65" s="2" t="n"/>
      <c r="AP65" s="2" t="n"/>
      <c r="AQ65" s="2" t="n"/>
      <c r="AR65" s="2" t="n"/>
      <c r="AS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  <c r="AO66" s="2" t="n"/>
      <c r="AP66" s="2" t="n"/>
      <c r="AQ66" s="2" t="n"/>
      <c r="AR66" s="2" t="n"/>
      <c r="AS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  <c r="AO67" s="2" t="n"/>
      <c r="AP67" s="2" t="n"/>
      <c r="AQ67" s="2" t="n"/>
      <c r="AR67" s="2" t="n"/>
      <c r="AS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  <c r="AO68" s="2" t="n"/>
      <c r="AP68" s="2" t="n"/>
      <c r="AQ68" s="2" t="n"/>
      <c r="AR68" s="2" t="n"/>
      <c r="AS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  <c r="AO69" s="2" t="n"/>
      <c r="AP69" s="2" t="n"/>
      <c r="AQ69" s="2" t="n"/>
      <c r="AR69" s="2" t="n"/>
      <c r="AS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  <c r="AO70" s="2" t="n"/>
      <c r="AP70" s="2" t="n"/>
      <c r="AQ70" s="2" t="n"/>
      <c r="AR70" s="2" t="n"/>
      <c r="AS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  <c r="AO71" s="2" t="n"/>
      <c r="AP71" s="2" t="n"/>
      <c r="AQ71" s="2" t="n"/>
      <c r="AR71" s="2" t="n"/>
      <c r="AS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  <c r="AO72" s="2" t="n"/>
      <c r="AP72" s="2" t="n"/>
      <c r="AQ72" s="2" t="n"/>
      <c r="AR72" s="2" t="n"/>
      <c r="AS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  <c r="AO73" s="2" t="n"/>
      <c r="AP73" s="2" t="n"/>
      <c r="AQ73" s="2" t="n"/>
      <c r="AR73" s="2" t="n"/>
      <c r="AS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  <c r="AO74" s="2" t="n"/>
      <c r="AP74" s="2" t="n"/>
      <c r="AQ74" s="2" t="n"/>
      <c r="AR74" s="2" t="n"/>
      <c r="AS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  <c r="AO75" s="2" t="n"/>
      <c r="AP75" s="2" t="n"/>
      <c r="AQ75" s="2" t="n"/>
      <c r="AR75" s="2" t="n"/>
      <c r="AS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  <c r="AO76" s="2" t="n"/>
      <c r="AP76" s="2" t="n"/>
      <c r="AQ76" s="2" t="n"/>
      <c r="AR76" s="2" t="n"/>
      <c r="AS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  <c r="AO77" s="2" t="n"/>
      <c r="AP77" s="2" t="n"/>
      <c r="AQ77" s="2" t="n"/>
      <c r="AR77" s="2" t="n"/>
      <c r="AS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  <c r="AO78" s="2" t="n"/>
      <c r="AP78" s="2" t="n"/>
      <c r="AQ78" s="2" t="n"/>
      <c r="AR78" s="2" t="n"/>
      <c r="AS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  <c r="AO79" s="2" t="n"/>
      <c r="AP79" s="2" t="n"/>
      <c r="AQ79" s="2" t="n"/>
      <c r="AR79" s="2" t="n"/>
      <c r="AS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  <c r="AO80" s="2" t="n"/>
      <c r="AP80" s="2" t="n"/>
      <c r="AQ80" s="2" t="n"/>
      <c r="AR80" s="2" t="n"/>
      <c r="AS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  <c r="AO81" s="2" t="n"/>
      <c r="AP81" s="2" t="n"/>
      <c r="AQ81" s="2" t="n"/>
      <c r="AR81" s="2" t="n"/>
      <c r="AS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  <c r="AO82" s="2" t="n"/>
      <c r="AP82" s="2" t="n"/>
      <c r="AQ82" s="2" t="n"/>
      <c r="AR82" s="2" t="n"/>
      <c r="AS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  <c r="AO83" s="2" t="n"/>
      <c r="AP83" s="2" t="n"/>
      <c r="AQ83" s="2" t="n"/>
      <c r="AR83" s="2" t="n"/>
      <c r="AS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  <c r="AO84" s="2" t="n"/>
      <c r="AP84" s="2" t="n"/>
      <c r="AQ84" s="2" t="n"/>
      <c r="AR84" s="2" t="n"/>
      <c r="AS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  <c r="AO85" s="2" t="n"/>
      <c r="AP85" s="2" t="n"/>
      <c r="AQ85" s="2" t="n"/>
      <c r="AR85" s="2" t="n"/>
      <c r="AS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  <c r="AO86" s="2" t="n"/>
      <c r="AP86" s="2" t="n"/>
      <c r="AQ86" s="2" t="n"/>
      <c r="AR86" s="2" t="n"/>
      <c r="AS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  <c r="AO87" s="2" t="n"/>
      <c r="AP87" s="2" t="n"/>
      <c r="AQ87" s="2" t="n"/>
      <c r="AR87" s="2" t="n"/>
      <c r="AS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  <c r="AO88" s="2" t="n"/>
      <c r="AP88" s="2" t="n"/>
      <c r="AQ88" s="2" t="n"/>
      <c r="AR88" s="2" t="n"/>
      <c r="AS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  <c r="AO89" s="2" t="n"/>
      <c r="AP89" s="2" t="n"/>
      <c r="AQ89" s="2" t="n"/>
      <c r="AR89" s="2" t="n"/>
      <c r="AS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  <c r="AO90" s="2" t="n"/>
      <c r="AP90" s="2" t="n"/>
      <c r="AQ90" s="2" t="n"/>
      <c r="AR90" s="2" t="n"/>
      <c r="AS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  <c r="AO91" s="2" t="n"/>
      <c r="AP91" s="2" t="n"/>
      <c r="AQ91" s="2" t="n"/>
      <c r="AR91" s="2" t="n"/>
      <c r="AS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  <c r="AO92" s="2" t="n"/>
      <c r="AP92" s="2" t="n"/>
      <c r="AQ92" s="2" t="n"/>
      <c r="AR92" s="2" t="n"/>
      <c r="AS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  <c r="AO93" s="2" t="n"/>
      <c r="AP93" s="2" t="n"/>
      <c r="AQ93" s="2" t="n"/>
      <c r="AR93" s="2" t="n"/>
      <c r="AS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  <c r="AO94" s="2" t="n"/>
      <c r="AP94" s="2" t="n"/>
      <c r="AQ94" s="2" t="n"/>
      <c r="AR94" s="2" t="n"/>
      <c r="AS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  <c r="AO95" s="2" t="n"/>
      <c r="AP95" s="2" t="n"/>
      <c r="AQ95" s="2" t="n"/>
      <c r="AR95" s="2" t="n"/>
      <c r="AS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  <c r="AO96" s="2" t="n"/>
      <c r="AP96" s="2" t="n"/>
      <c r="AQ96" s="2" t="n"/>
      <c r="AR96" s="2" t="n"/>
      <c r="AS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  <c r="AO97" s="2" t="n"/>
      <c r="AP97" s="2" t="n"/>
      <c r="AQ97" s="2" t="n"/>
      <c r="AR97" s="2" t="n"/>
      <c r="AS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  <c r="AO98" s="2" t="n"/>
      <c r="AP98" s="2" t="n"/>
      <c r="AQ98" s="2" t="n"/>
      <c r="AR98" s="2" t="n"/>
      <c r="AS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  <c r="AO99" s="2" t="n"/>
      <c r="AP99" s="2" t="n"/>
      <c r="AQ99" s="2" t="n"/>
      <c r="AR99" s="2" t="n"/>
      <c r="AS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  <c r="AO100" s="2" t="n"/>
      <c r="AP100" s="2" t="n"/>
      <c r="AQ100" s="2" t="n"/>
      <c r="AR100" s="2" t="n"/>
      <c r="AS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  <c r="AO101" s="2" t="n"/>
      <c r="AP101" s="2" t="n"/>
      <c r="AQ101" s="2" t="n"/>
      <c r="AR101" s="2" t="n"/>
      <c r="AS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  <c r="AO102" s="2" t="n"/>
      <c r="AP102" s="2" t="n"/>
      <c r="AQ102" s="2" t="n"/>
      <c r="AR102" s="2" t="n"/>
      <c r="AS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  <c r="AO103" s="2" t="n"/>
      <c r="AP103" s="2" t="n"/>
      <c r="AQ103" s="2" t="n"/>
      <c r="AR103" s="2" t="n"/>
      <c r="AS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  <c r="AO104" s="2" t="n"/>
      <c r="AP104" s="2" t="n"/>
      <c r="AQ104" s="2" t="n"/>
      <c r="AR104" s="2" t="n"/>
      <c r="AS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  <c r="AO105" s="2" t="n"/>
      <c r="AP105" s="2" t="n"/>
      <c r="AQ105" s="2" t="n"/>
      <c r="AR105" s="2" t="n"/>
      <c r="AS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  <c r="AO106" s="2" t="n"/>
      <c r="AP106" s="2" t="n"/>
      <c r="AQ106" s="2" t="n"/>
      <c r="AR106" s="2" t="n"/>
      <c r="AS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  <c r="AO107" s="2" t="n"/>
      <c r="AP107" s="2" t="n"/>
      <c r="AQ107" s="2" t="n"/>
      <c r="AR107" s="2" t="n"/>
      <c r="AS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  <c r="AO108" s="2" t="n"/>
      <c r="AP108" s="2" t="n"/>
      <c r="AQ108" s="2" t="n"/>
      <c r="AR108" s="2" t="n"/>
      <c r="AS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  <c r="AO109" s="2" t="n"/>
      <c r="AP109" s="2" t="n"/>
      <c r="AQ109" s="2" t="n"/>
      <c r="AR109" s="2" t="n"/>
      <c r="AS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  <c r="AO110" s="2" t="n"/>
      <c r="AP110" s="2" t="n"/>
      <c r="AQ110" s="2" t="n"/>
      <c r="AR110" s="2" t="n"/>
      <c r="AS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  <c r="AO111" s="2" t="n"/>
      <c r="AP111" s="2" t="n"/>
      <c r="AQ111" s="2" t="n"/>
      <c r="AR111" s="2" t="n"/>
      <c r="AS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  <c r="AO112" s="2" t="n"/>
      <c r="AP112" s="2" t="n"/>
      <c r="AQ112" s="2" t="n"/>
      <c r="AR112" s="2" t="n"/>
      <c r="AS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  <c r="AO113" s="2" t="n"/>
      <c r="AP113" s="2" t="n"/>
      <c r="AQ113" s="2" t="n"/>
      <c r="AR113" s="2" t="n"/>
      <c r="AS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  <c r="AO114" s="2" t="n"/>
      <c r="AP114" s="2" t="n"/>
      <c r="AQ114" s="2" t="n"/>
      <c r="AR114" s="2" t="n"/>
      <c r="AS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  <c r="AO115" s="2" t="n"/>
      <c r="AP115" s="2" t="n"/>
      <c r="AQ115" s="2" t="n"/>
      <c r="AR115" s="2" t="n"/>
      <c r="AS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  <c r="AO116" s="2" t="n"/>
      <c r="AP116" s="2" t="n"/>
      <c r="AQ116" s="2" t="n"/>
      <c r="AR116" s="2" t="n"/>
      <c r="AS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  <c r="AO117" s="2" t="n"/>
      <c r="AP117" s="2" t="n"/>
      <c r="AQ117" s="2" t="n"/>
      <c r="AR117" s="2" t="n"/>
      <c r="AS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  <c r="AO118" s="2" t="n"/>
      <c r="AP118" s="2" t="n"/>
      <c r="AQ118" s="2" t="n"/>
      <c r="AR118" s="2" t="n"/>
      <c r="AS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  <c r="AO119" s="2" t="n"/>
      <c r="AP119" s="2" t="n"/>
      <c r="AQ119" s="2" t="n"/>
      <c r="AR119" s="2" t="n"/>
      <c r="AS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  <c r="AO120" s="2" t="n"/>
      <c r="AP120" s="2" t="n"/>
      <c r="AQ120" s="2" t="n"/>
      <c r="AR120" s="2" t="n"/>
      <c r="AS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  <c r="AO121" s="2" t="n"/>
      <c r="AP121" s="2" t="n"/>
      <c r="AQ121" s="2" t="n"/>
      <c r="AR121" s="2" t="n"/>
      <c r="AS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  <c r="AO122" s="2" t="n"/>
      <c r="AP122" s="2" t="n"/>
      <c r="AQ122" s="2" t="n"/>
      <c r="AR122" s="2" t="n"/>
      <c r="AS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  <c r="AO123" s="2" t="n"/>
      <c r="AP123" s="2" t="n"/>
      <c r="AQ123" s="2" t="n"/>
      <c r="AR123" s="2" t="n"/>
      <c r="AS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  <c r="AO124" s="2" t="n"/>
      <c r="AP124" s="2" t="n"/>
      <c r="AQ124" s="2" t="n"/>
      <c r="AR124" s="2" t="n"/>
      <c r="AS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  <c r="AO125" s="2" t="n"/>
      <c r="AP125" s="2" t="n"/>
      <c r="AQ125" s="2" t="n"/>
      <c r="AR125" s="2" t="n"/>
      <c r="AS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  <c r="AO126" s="2" t="n"/>
      <c r="AP126" s="2" t="n"/>
      <c r="AQ126" s="2" t="n"/>
      <c r="AR126" s="2" t="n"/>
      <c r="AS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  <c r="AO127" s="2" t="n"/>
      <c r="AP127" s="2" t="n"/>
      <c r="AQ127" s="2" t="n"/>
      <c r="AR127" s="2" t="n"/>
      <c r="AS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  <c r="AO128" s="2" t="n"/>
      <c r="AP128" s="2" t="n"/>
      <c r="AQ128" s="2" t="n"/>
      <c r="AR128" s="2" t="n"/>
      <c r="AS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  <c r="AO129" s="2" t="n"/>
      <c r="AP129" s="2" t="n"/>
      <c r="AQ129" s="2" t="n"/>
      <c r="AR129" s="2" t="n"/>
      <c r="AS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  <c r="AO130" s="2" t="n"/>
      <c r="AP130" s="2" t="n"/>
      <c r="AQ130" s="2" t="n"/>
      <c r="AR130" s="2" t="n"/>
      <c r="AS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  <c r="AO131" s="2" t="n"/>
      <c r="AP131" s="2" t="n"/>
      <c r="AQ131" s="2" t="n"/>
      <c r="AR131" s="2" t="n"/>
      <c r="AS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  <c r="AO132" s="2" t="n"/>
      <c r="AP132" s="2" t="n"/>
      <c r="AQ132" s="2" t="n"/>
      <c r="AR132" s="2" t="n"/>
      <c r="AS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  <c r="AO133" s="2" t="n"/>
      <c r="AP133" s="2" t="n"/>
      <c r="AQ133" s="2" t="n"/>
      <c r="AR133" s="2" t="n"/>
      <c r="AS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  <c r="AO134" s="2" t="n"/>
      <c r="AP134" s="2" t="n"/>
      <c r="AQ134" s="2" t="n"/>
      <c r="AR134" s="2" t="n"/>
      <c r="AS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  <c r="AO135" s="2" t="n"/>
      <c r="AP135" s="2" t="n"/>
      <c r="AQ135" s="2" t="n"/>
      <c r="AR135" s="2" t="n"/>
      <c r="AS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  <c r="AO136" s="2" t="n"/>
      <c r="AP136" s="2" t="n"/>
      <c r="AQ136" s="2" t="n"/>
      <c r="AR136" s="2" t="n"/>
      <c r="AS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  <c r="AO137" s="2" t="n"/>
      <c r="AP137" s="2" t="n"/>
      <c r="AQ137" s="2" t="n"/>
      <c r="AR137" s="2" t="n"/>
      <c r="AS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  <c r="AO138" s="2" t="n"/>
      <c r="AP138" s="2" t="n"/>
      <c r="AQ138" s="2" t="n"/>
      <c r="AR138" s="2" t="n"/>
      <c r="AS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  <c r="AO139" s="2" t="n"/>
      <c r="AP139" s="2" t="n"/>
      <c r="AQ139" s="2" t="n"/>
      <c r="AR139" s="2" t="n"/>
      <c r="AS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  <c r="AO140" s="2" t="n"/>
      <c r="AP140" s="2" t="n"/>
      <c r="AQ140" s="2" t="n"/>
      <c r="AR140" s="2" t="n"/>
      <c r="AS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  <c r="AO141" s="2" t="n"/>
      <c r="AP141" s="2" t="n"/>
      <c r="AQ141" s="2" t="n"/>
      <c r="AR141" s="2" t="n"/>
      <c r="AS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  <c r="AO142" s="2" t="n"/>
      <c r="AP142" s="2" t="n"/>
      <c r="AQ142" s="2" t="n"/>
      <c r="AR142" s="2" t="n"/>
      <c r="AS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  <c r="AO143" s="2" t="n"/>
      <c r="AP143" s="2" t="n"/>
      <c r="AQ143" s="2" t="n"/>
      <c r="AR143" s="2" t="n"/>
      <c r="AS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  <c r="AO144" s="2" t="n"/>
      <c r="AP144" s="2" t="n"/>
      <c r="AQ144" s="2" t="n"/>
      <c r="AR144" s="2" t="n"/>
      <c r="AS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  <c r="AO145" s="2" t="n"/>
      <c r="AP145" s="2" t="n"/>
      <c r="AQ145" s="2" t="n"/>
      <c r="AR145" s="2" t="n"/>
      <c r="AS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  <c r="AO146" s="2" t="n"/>
      <c r="AP146" s="2" t="n"/>
      <c r="AQ146" s="2" t="n"/>
      <c r="AR146" s="2" t="n"/>
      <c r="AS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  <c r="AO147" s="2" t="n"/>
      <c r="AP147" s="2" t="n"/>
      <c r="AQ147" s="2" t="n"/>
      <c r="AR147" s="2" t="n"/>
      <c r="AS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  <c r="AO148" s="2" t="n"/>
      <c r="AP148" s="2" t="n"/>
      <c r="AQ148" s="2" t="n"/>
      <c r="AR148" s="2" t="n"/>
      <c r="AS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  <c r="AO149" s="2" t="n"/>
      <c r="AP149" s="2" t="n"/>
      <c r="AQ149" s="2" t="n"/>
      <c r="AR149" s="2" t="n"/>
      <c r="AS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  <c r="AO150" s="2" t="n"/>
      <c r="AP150" s="2" t="n"/>
      <c r="AQ150" s="2" t="n"/>
      <c r="AR150" s="2" t="n"/>
      <c r="AS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  <c r="AO151" s="2" t="n"/>
      <c r="AP151" s="2" t="n"/>
      <c r="AQ151" s="2" t="n"/>
      <c r="AR151" s="2" t="n"/>
      <c r="AS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  <c r="AO152" s="2" t="n"/>
      <c r="AP152" s="2" t="n"/>
      <c r="AQ152" s="2" t="n"/>
      <c r="AR152" s="2" t="n"/>
      <c r="AS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  <c r="AO153" s="2" t="n"/>
      <c r="AP153" s="2" t="n"/>
      <c r="AQ153" s="2" t="n"/>
      <c r="AR153" s="2" t="n"/>
      <c r="AS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  <c r="AO154" s="2" t="n"/>
      <c r="AP154" s="2" t="n"/>
      <c r="AQ154" s="2" t="n"/>
      <c r="AR154" s="2" t="n"/>
      <c r="AS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  <c r="AO155" s="2" t="n"/>
      <c r="AP155" s="2" t="n"/>
      <c r="AQ155" s="2" t="n"/>
      <c r="AR155" s="2" t="n"/>
      <c r="AS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  <c r="AO156" s="2" t="n"/>
      <c r="AP156" s="2" t="n"/>
      <c r="AQ156" s="2" t="n"/>
      <c r="AR156" s="2" t="n"/>
      <c r="AS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  <c r="AO157" s="2" t="n"/>
      <c r="AP157" s="2" t="n"/>
      <c r="AQ157" s="2" t="n"/>
      <c r="AR157" s="2" t="n"/>
      <c r="AS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  <c r="AO158" s="2" t="n"/>
      <c r="AP158" s="2" t="n"/>
      <c r="AQ158" s="2" t="n"/>
      <c r="AR158" s="2" t="n"/>
      <c r="AS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  <c r="AO159" s="2" t="n"/>
      <c r="AP159" s="2" t="n"/>
      <c r="AQ159" s="2" t="n"/>
      <c r="AR159" s="2" t="n"/>
      <c r="AS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  <c r="AO160" s="2" t="n"/>
      <c r="AP160" s="2" t="n"/>
      <c r="AQ160" s="2" t="n"/>
      <c r="AR160" s="2" t="n"/>
      <c r="AS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  <c r="AO161" s="2" t="n"/>
      <c r="AP161" s="2" t="n"/>
      <c r="AQ161" s="2" t="n"/>
      <c r="AR161" s="2" t="n"/>
      <c r="AS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  <c r="AO162" s="2" t="n"/>
      <c r="AP162" s="2" t="n"/>
      <c r="AQ162" s="2" t="n"/>
      <c r="AR162" s="2" t="n"/>
      <c r="AS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  <c r="AO163" s="2" t="n"/>
      <c r="AP163" s="2" t="n"/>
      <c r="AQ163" s="2" t="n"/>
      <c r="AR163" s="2" t="n"/>
      <c r="AS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  <c r="AO164" s="2" t="n"/>
      <c r="AP164" s="2" t="n"/>
      <c r="AQ164" s="2" t="n"/>
      <c r="AR164" s="2" t="n"/>
      <c r="AS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  <c r="AO165" s="2" t="n"/>
      <c r="AP165" s="2" t="n"/>
      <c r="AQ165" s="2" t="n"/>
      <c r="AR165" s="2" t="n"/>
      <c r="AS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  <c r="AO166" s="2" t="n"/>
      <c r="AP166" s="2" t="n"/>
      <c r="AQ166" s="2" t="n"/>
      <c r="AR166" s="2" t="n"/>
      <c r="AS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  <c r="AO167" s="2" t="n"/>
      <c r="AP167" s="2" t="n"/>
      <c r="AQ167" s="2" t="n"/>
      <c r="AR167" s="2" t="n"/>
      <c r="AS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  <c r="AO168" s="2" t="n"/>
      <c r="AP168" s="2" t="n"/>
      <c r="AQ168" s="2" t="n"/>
      <c r="AR168" s="2" t="n"/>
      <c r="AS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  <c r="AO169" s="2" t="n"/>
      <c r="AP169" s="2" t="n"/>
      <c r="AQ169" s="2" t="n"/>
      <c r="AR169" s="2" t="n"/>
      <c r="AS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  <c r="AO170" s="2" t="n"/>
      <c r="AP170" s="2" t="n"/>
      <c r="AQ170" s="2" t="n"/>
      <c r="AR170" s="2" t="n"/>
      <c r="AS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  <c r="AO171" s="2" t="n"/>
      <c r="AP171" s="2" t="n"/>
      <c r="AQ171" s="2" t="n"/>
      <c r="AR171" s="2" t="n"/>
      <c r="AS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  <c r="AO172" s="2" t="n"/>
      <c r="AP172" s="2" t="n"/>
      <c r="AQ172" s="2" t="n"/>
      <c r="AR172" s="2" t="n"/>
      <c r="AS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  <c r="AO173" s="2" t="n"/>
      <c r="AP173" s="2" t="n"/>
      <c r="AQ173" s="2" t="n"/>
      <c r="AR173" s="2" t="n"/>
      <c r="AS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  <c r="AO174" s="2" t="n"/>
      <c r="AP174" s="2" t="n"/>
      <c r="AQ174" s="2" t="n"/>
      <c r="AR174" s="2" t="n"/>
      <c r="AS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  <c r="AO175" s="2" t="n"/>
      <c r="AP175" s="2" t="n"/>
      <c r="AQ175" s="2" t="n"/>
      <c r="AR175" s="2" t="n"/>
      <c r="AS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  <c r="AO176" s="2" t="n"/>
      <c r="AP176" s="2" t="n"/>
      <c r="AQ176" s="2" t="n"/>
      <c r="AR176" s="2" t="n"/>
      <c r="AS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  <c r="AO177" s="2" t="n"/>
      <c r="AP177" s="2" t="n"/>
      <c r="AQ177" s="2" t="n"/>
      <c r="AR177" s="2" t="n"/>
      <c r="AS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  <c r="AO178" s="2" t="n"/>
      <c r="AP178" s="2" t="n"/>
      <c r="AQ178" s="2" t="n"/>
      <c r="AR178" s="2" t="n"/>
      <c r="AS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  <c r="AO179" s="2" t="n"/>
      <c r="AP179" s="2" t="n"/>
      <c r="AQ179" s="2" t="n"/>
      <c r="AR179" s="2" t="n"/>
      <c r="AS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  <c r="AO180" s="2" t="n"/>
      <c r="AP180" s="2" t="n"/>
      <c r="AQ180" s="2" t="n"/>
      <c r="AR180" s="2" t="n"/>
      <c r="AS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  <c r="AO181" s="2" t="n"/>
      <c r="AP181" s="2" t="n"/>
      <c r="AQ181" s="2" t="n"/>
      <c r="AR181" s="2" t="n"/>
      <c r="AS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  <c r="AO182" s="2" t="n"/>
      <c r="AP182" s="2" t="n"/>
      <c r="AQ182" s="2" t="n"/>
      <c r="AR182" s="2" t="n"/>
      <c r="AS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  <c r="AO183" s="2" t="n"/>
      <c r="AP183" s="2" t="n"/>
      <c r="AQ183" s="2" t="n"/>
      <c r="AR183" s="2" t="n"/>
      <c r="AS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  <c r="AO184" s="2" t="n"/>
      <c r="AP184" s="2" t="n"/>
      <c r="AQ184" s="2" t="n"/>
      <c r="AR184" s="2" t="n"/>
      <c r="AS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  <c r="AO185" s="2" t="n"/>
      <c r="AP185" s="2" t="n"/>
      <c r="AQ185" s="2" t="n"/>
      <c r="AR185" s="2" t="n"/>
      <c r="AS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  <c r="AO186" s="2" t="n"/>
      <c r="AP186" s="2" t="n"/>
      <c r="AQ186" s="2" t="n"/>
      <c r="AR186" s="2" t="n"/>
      <c r="AS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  <c r="AO187" s="2" t="n"/>
      <c r="AP187" s="2" t="n"/>
      <c r="AQ187" s="2" t="n"/>
      <c r="AR187" s="2" t="n"/>
      <c r="AS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  <c r="AO188" s="2" t="n"/>
      <c r="AP188" s="2" t="n"/>
      <c r="AQ188" s="2" t="n"/>
      <c r="AR188" s="2" t="n"/>
      <c r="AS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  <c r="AO189" s="2" t="n"/>
      <c r="AP189" s="2" t="n"/>
      <c r="AQ189" s="2" t="n"/>
      <c r="AR189" s="2" t="n"/>
      <c r="AS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  <c r="AO190" s="2" t="n"/>
      <c r="AP190" s="2" t="n"/>
      <c r="AQ190" s="2" t="n"/>
      <c r="AR190" s="2" t="n"/>
      <c r="AS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  <c r="AO191" s="2" t="n"/>
      <c r="AP191" s="2" t="n"/>
      <c r="AQ191" s="2" t="n"/>
      <c r="AR191" s="2" t="n"/>
      <c r="AS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  <c r="AO192" s="2" t="n"/>
      <c r="AP192" s="2" t="n"/>
      <c r="AQ192" s="2" t="n"/>
      <c r="AR192" s="2" t="n"/>
      <c r="AS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  <c r="AO193" s="2" t="n"/>
      <c r="AP193" s="2" t="n"/>
      <c r="AQ193" s="2" t="n"/>
      <c r="AR193" s="2" t="n"/>
      <c r="AS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  <c r="AO194" s="2" t="n"/>
      <c r="AP194" s="2" t="n"/>
      <c r="AQ194" s="2" t="n"/>
      <c r="AR194" s="2" t="n"/>
      <c r="AS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  <c r="AO195" s="2" t="n"/>
      <c r="AP195" s="2" t="n"/>
      <c r="AQ195" s="2" t="n"/>
      <c r="AR195" s="2" t="n"/>
      <c r="AS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  <c r="AO196" s="2" t="n"/>
      <c r="AP196" s="2" t="n"/>
      <c r="AQ196" s="2" t="n"/>
      <c r="AR196" s="2" t="n"/>
      <c r="AS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  <c r="AO197" s="2" t="n"/>
      <c r="AP197" s="2" t="n"/>
      <c r="AQ197" s="2" t="n"/>
      <c r="AR197" s="2" t="n"/>
      <c r="AS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  <c r="AO198" s="2" t="n"/>
      <c r="AP198" s="2" t="n"/>
      <c r="AQ198" s="2" t="n"/>
      <c r="AR198" s="2" t="n"/>
      <c r="AS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  <c r="AO199" s="2" t="n"/>
      <c r="AP199" s="2" t="n"/>
      <c r="AQ199" s="2" t="n"/>
      <c r="AR199" s="2" t="n"/>
      <c r="AS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  <c r="AO200" s="2" t="n"/>
      <c r="AP200" s="2" t="n"/>
      <c r="AQ200" s="2" t="n"/>
      <c r="AR200" s="2" t="n"/>
      <c r="AS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  <c r="AO201" s="2" t="n"/>
      <c r="AP201" s="2" t="n"/>
      <c r="AQ201" s="2" t="n"/>
      <c r="AR201" s="2" t="n"/>
      <c r="AS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  <c r="AO202" s="2" t="n"/>
      <c r="AP202" s="2" t="n"/>
      <c r="AQ202" s="2" t="n"/>
      <c r="AR202" s="2" t="n"/>
      <c r="AS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  <c r="AO203" s="2" t="n"/>
      <c r="AP203" s="2" t="n"/>
      <c r="AQ203" s="2" t="n"/>
      <c r="AR203" s="2" t="n"/>
      <c r="AS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  <c r="AO204" s="2" t="n"/>
      <c r="AP204" s="2" t="n"/>
      <c r="AQ204" s="2" t="n"/>
      <c r="AR204" s="2" t="n"/>
      <c r="AS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  <c r="AO205" s="2" t="n"/>
      <c r="AP205" s="2" t="n"/>
      <c r="AQ205" s="2" t="n"/>
      <c r="AR205" s="2" t="n"/>
      <c r="AS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  <c r="AO206" s="2" t="n"/>
      <c r="AP206" s="2" t="n"/>
      <c r="AQ206" s="2" t="n"/>
      <c r="AR206" s="2" t="n"/>
      <c r="AS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  <c r="AO207" s="2" t="n"/>
      <c r="AP207" s="2" t="n"/>
      <c r="AQ207" s="2" t="n"/>
      <c r="AR207" s="2" t="n"/>
      <c r="AS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  <c r="AO208" s="2" t="n"/>
      <c r="AP208" s="2" t="n"/>
      <c r="AQ208" s="2" t="n"/>
      <c r="AR208" s="2" t="n"/>
      <c r="AS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  <c r="AO209" s="2" t="n"/>
      <c r="AP209" s="2" t="n"/>
      <c r="AQ209" s="2" t="n"/>
      <c r="AR209" s="2" t="n"/>
      <c r="AS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  <c r="AO210" s="2" t="n"/>
      <c r="AP210" s="2" t="n"/>
      <c r="AQ210" s="2" t="n"/>
      <c r="AR210" s="2" t="n"/>
      <c r="AS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  <c r="AO211" s="2" t="n"/>
      <c r="AP211" s="2" t="n"/>
      <c r="AQ211" s="2" t="n"/>
      <c r="AR211" s="2" t="n"/>
      <c r="AS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  <c r="AO212" s="2" t="n"/>
      <c r="AP212" s="2" t="n"/>
      <c r="AQ212" s="2" t="n"/>
      <c r="AR212" s="2" t="n"/>
      <c r="AS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  <c r="AO213" s="2" t="n"/>
      <c r="AP213" s="2" t="n"/>
      <c r="AQ213" s="2" t="n"/>
      <c r="AR213" s="2" t="n"/>
      <c r="AS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  <c r="AO214" s="2" t="n"/>
      <c r="AP214" s="2" t="n"/>
      <c r="AQ214" s="2" t="n"/>
      <c r="AR214" s="2" t="n"/>
      <c r="AS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  <c r="AO215" s="2" t="n"/>
      <c r="AP215" s="2" t="n"/>
      <c r="AQ215" s="2" t="n"/>
      <c r="AR215" s="2" t="n"/>
      <c r="AS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  <c r="AO216" s="2" t="n"/>
      <c r="AP216" s="2" t="n"/>
      <c r="AQ216" s="2" t="n"/>
      <c r="AR216" s="2" t="n"/>
      <c r="AS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  <c r="AO217" s="2" t="n"/>
      <c r="AP217" s="2" t="n"/>
      <c r="AQ217" s="2" t="n"/>
      <c r="AR217" s="2" t="n"/>
      <c r="AS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  <c r="AO218" s="2" t="n"/>
      <c r="AP218" s="2" t="n"/>
      <c r="AQ218" s="2" t="n"/>
      <c r="AR218" s="2" t="n"/>
      <c r="AS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  <c r="AO219" s="2" t="n"/>
      <c r="AP219" s="2" t="n"/>
      <c r="AQ219" s="2" t="n"/>
      <c r="AR219" s="2" t="n"/>
      <c r="AS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  <c r="AO220" s="2" t="n"/>
      <c r="AP220" s="2" t="n"/>
      <c r="AQ220" s="2" t="n"/>
      <c r="AR220" s="2" t="n"/>
      <c r="AS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  <c r="AO221" s="2" t="n"/>
      <c r="AP221" s="2" t="n"/>
      <c r="AQ221" s="2" t="n"/>
      <c r="AR221" s="2" t="n"/>
      <c r="AS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  <c r="AO222" s="2" t="n"/>
      <c r="AP222" s="2" t="n"/>
      <c r="AQ222" s="2" t="n"/>
      <c r="AR222" s="2" t="n"/>
      <c r="AS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  <c r="AO223" s="2" t="n"/>
      <c r="AP223" s="2" t="n"/>
      <c r="AQ223" s="2" t="n"/>
      <c r="AR223" s="2" t="n"/>
      <c r="AS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  <c r="AO224" s="2" t="n"/>
      <c r="AP224" s="2" t="n"/>
      <c r="AQ224" s="2" t="n"/>
      <c r="AR224" s="2" t="n"/>
      <c r="AS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  <c r="AO225" s="2" t="n"/>
      <c r="AP225" s="2" t="n"/>
      <c r="AQ225" s="2" t="n"/>
      <c r="AR225" s="2" t="n"/>
      <c r="AS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  <c r="AO226" s="2" t="n"/>
      <c r="AP226" s="2" t="n"/>
      <c r="AQ226" s="2" t="n"/>
      <c r="AR226" s="2" t="n"/>
      <c r="AS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  <c r="AO227" s="2" t="n"/>
      <c r="AP227" s="2" t="n"/>
      <c r="AQ227" s="2" t="n"/>
      <c r="AR227" s="2" t="n"/>
      <c r="AS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  <c r="AO228" s="2" t="n"/>
      <c r="AP228" s="2" t="n"/>
      <c r="AQ228" s="2" t="n"/>
      <c r="AR228" s="2" t="n"/>
      <c r="AS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  <c r="AO229" s="2" t="n"/>
      <c r="AP229" s="2" t="n"/>
      <c r="AQ229" s="2" t="n"/>
      <c r="AR229" s="2" t="n"/>
      <c r="AS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  <c r="AO230" s="2" t="n"/>
      <c r="AP230" s="2" t="n"/>
      <c r="AQ230" s="2" t="n"/>
      <c r="AR230" s="2" t="n"/>
      <c r="AS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  <c r="AO231" s="2" t="n"/>
      <c r="AP231" s="2" t="n"/>
      <c r="AQ231" s="2" t="n"/>
      <c r="AR231" s="2" t="n"/>
      <c r="AS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  <c r="AO232" s="2" t="n"/>
      <c r="AP232" s="2" t="n"/>
      <c r="AQ232" s="2" t="n"/>
      <c r="AR232" s="2" t="n"/>
      <c r="AS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  <c r="AO233" s="2" t="n"/>
      <c r="AP233" s="2" t="n"/>
      <c r="AQ233" s="2" t="n"/>
      <c r="AR233" s="2" t="n"/>
      <c r="AS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  <c r="AO234" s="2" t="n"/>
      <c r="AP234" s="2" t="n"/>
      <c r="AQ234" s="2" t="n"/>
      <c r="AR234" s="2" t="n"/>
      <c r="AS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  <c r="AO235" s="2" t="n"/>
      <c r="AP235" s="2" t="n"/>
      <c r="AQ235" s="2" t="n"/>
      <c r="AR235" s="2" t="n"/>
      <c r="AS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  <c r="AO236" s="2" t="n"/>
      <c r="AP236" s="2" t="n"/>
      <c r="AQ236" s="2" t="n"/>
      <c r="AR236" s="2" t="n"/>
      <c r="AS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  <c r="AO237" s="2" t="n"/>
      <c r="AP237" s="2" t="n"/>
      <c r="AQ237" s="2" t="n"/>
      <c r="AR237" s="2" t="n"/>
      <c r="AS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  <c r="AO238" s="2" t="n"/>
      <c r="AP238" s="2" t="n"/>
      <c r="AQ238" s="2" t="n"/>
      <c r="AR238" s="2" t="n"/>
      <c r="AS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  <c r="AO239" s="2" t="n"/>
      <c r="AP239" s="2" t="n"/>
      <c r="AQ239" s="2" t="n"/>
      <c r="AR239" s="2" t="n"/>
      <c r="AS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  <c r="AO240" s="2" t="n"/>
      <c r="AP240" s="2" t="n"/>
      <c r="AQ240" s="2" t="n"/>
      <c r="AR240" s="2" t="n"/>
      <c r="AS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  <c r="AO241" s="2" t="n"/>
      <c r="AP241" s="2" t="n"/>
      <c r="AQ241" s="2" t="n"/>
      <c r="AR241" s="2" t="n"/>
      <c r="AS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  <c r="AO242" s="2" t="n"/>
      <c r="AP242" s="2" t="n"/>
      <c r="AQ242" s="2" t="n"/>
      <c r="AR242" s="2" t="n"/>
      <c r="AS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  <c r="AO243" s="2" t="n"/>
      <c r="AP243" s="2" t="n"/>
      <c r="AQ243" s="2" t="n"/>
      <c r="AR243" s="2" t="n"/>
      <c r="AS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  <c r="AO244" s="2" t="n"/>
      <c r="AP244" s="2" t="n"/>
      <c r="AQ244" s="2" t="n"/>
      <c r="AR244" s="2" t="n"/>
      <c r="AS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  <c r="AO245" s="2" t="n"/>
      <c r="AP245" s="2" t="n"/>
      <c r="AQ245" s="2" t="n"/>
      <c r="AR245" s="2" t="n"/>
      <c r="AS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  <c r="AO246" s="2" t="n"/>
      <c r="AP246" s="2" t="n"/>
      <c r="AQ246" s="2" t="n"/>
      <c r="AR246" s="2" t="n"/>
      <c r="AS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  <c r="AO247" s="2" t="n"/>
      <c r="AP247" s="2" t="n"/>
      <c r="AQ247" s="2" t="n"/>
      <c r="AR247" s="2" t="n"/>
      <c r="AS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  <c r="AO248" s="2" t="n"/>
      <c r="AP248" s="2" t="n"/>
      <c r="AQ248" s="2" t="n"/>
      <c r="AR248" s="2" t="n"/>
      <c r="AS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  <c r="AO249" s="2" t="n"/>
      <c r="AP249" s="2" t="n"/>
      <c r="AQ249" s="2" t="n"/>
      <c r="AR249" s="2" t="n"/>
      <c r="AS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  <c r="AO250" s="2" t="n"/>
      <c r="AP250" s="2" t="n"/>
      <c r="AQ250" s="2" t="n"/>
      <c r="AR250" s="2" t="n"/>
      <c r="AS250" s="2" t="n"/>
    </row>
  </sheetData>
  <autoFilter ref="A11:K17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66609B"/>
    <outlinePr summaryBelow="1" summaryRight="1"/>
    <pageSetUpPr/>
  </sheetPr>
  <dimension ref="A1:AS250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14" customWidth="1" min="3" max="3"/>
    <col width="14" customWidth="1" min="4" max="4"/>
    <col width="22" customWidth="1" min="5" max="5"/>
    <col width="10" customWidth="1" min="6" max="6"/>
    <col width="10" customWidth="1" min="7" max="7"/>
    <col width="11" customWidth="1" min="8" max="8"/>
    <col width="11" customWidth="1" min="9" max="9"/>
    <col width="10" customWidth="1" min="10" max="10"/>
    <col width="10" customWidth="1" min="11" max="11"/>
    <col width="22" customWidth="1" min="12" max="12"/>
    <col width="9" customWidth="1" min="13" max="13"/>
    <col width="13" customWidth="1" min="14" max="14"/>
    <col width="7" customWidth="1" min="15" max="15"/>
    <col width="14" customWidth="1" min="16" max="16"/>
  </cols>
  <sheetData>
    <row r="1">
      <c r="A1" s="3" t="inlineStr">
        <is>
          <t>Structure Report - paste raw iTrent export below from row 12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  <c r="AP2" s="2" t="n"/>
      <c r="AQ2" s="2" t="n"/>
      <c r="AR2" s="2" t="n"/>
      <c r="AS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  <c r="AO3" s="2" t="n"/>
      <c r="AP3" s="2" t="n"/>
      <c r="AQ3" s="2" t="n"/>
      <c r="AR3" s="2" t="n"/>
      <c r="AS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  <c r="AO4" s="2" t="n"/>
      <c r="AP4" s="2" t="n"/>
      <c r="AQ4" s="2" t="n"/>
      <c r="AR4" s="2" t="n"/>
      <c r="AS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  <c r="AO5" s="2" t="n"/>
      <c r="AP5" s="2" t="n"/>
      <c r="AQ5" s="2" t="n"/>
      <c r="AR5" s="2" t="n"/>
      <c r="AS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  <c r="AO6" s="2" t="n"/>
      <c r="AP6" s="2" t="n"/>
      <c r="AQ6" s="2" t="n"/>
      <c r="AR6" s="2" t="n"/>
      <c r="AS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  <c r="AO7" s="2" t="n"/>
      <c r="AP7" s="2" t="n"/>
      <c r="AQ7" s="2" t="n"/>
      <c r="AR7" s="2" t="n"/>
      <c r="AS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  <c r="AO8" s="2" t="n"/>
      <c r="AP8" s="2" t="n"/>
      <c r="AQ8" s="2" t="n"/>
      <c r="AR8" s="2" t="n"/>
      <c r="AS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  <c r="AO9" s="2" t="n"/>
      <c r="AP9" s="2" t="n"/>
      <c r="AQ9" s="2" t="n"/>
      <c r="AR9" s="2" t="n"/>
      <c r="AS9" s="2" t="n"/>
    </row>
    <row r="10">
      <c r="A10" s="22" t="inlineStr">
        <is>
          <t>Paste the full export starting at A12 (headers) so data begins row 13. One row per assignment - staff with more than one contract (e.g. Zero Hours + Permanent) appear on multiple rows.</t>
        </is>
      </c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  <c r="AO10" s="2" t="n"/>
      <c r="AP10" s="2" t="n"/>
      <c r="AQ10" s="2" t="n"/>
      <c r="AR10" s="2" t="n"/>
      <c r="AS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</row>
    <row r="12" ht="22" customHeight="1">
      <c r="A12" s="14" t="inlineStr">
        <is>
          <t>Structure ID</t>
        </is>
      </c>
      <c r="B12" s="14" t="inlineStr">
        <is>
          <t>Title</t>
        </is>
      </c>
      <c r="C12" s="14" t="inlineStr">
        <is>
          <t>First Name</t>
        </is>
      </c>
      <c r="D12" s="14" t="inlineStr">
        <is>
          <t>Last Name</t>
        </is>
      </c>
      <c r="E12" s="14" t="inlineStr">
        <is>
          <t>Practice</t>
        </is>
      </c>
      <c r="F12" s="14" t="inlineStr">
        <is>
          <t>Department</t>
        </is>
      </c>
      <c r="G12" s="14" t="inlineStr">
        <is>
          <t>Cost Centre</t>
        </is>
      </c>
      <c r="H12" s="14" t="inlineStr">
        <is>
          <t>Start Date</t>
        </is>
      </c>
      <c r="I12" s="14" t="inlineStr">
        <is>
          <t>End Date</t>
        </is>
      </c>
      <c r="J12" s="14" t="inlineStr">
        <is>
          <t>Employment Status</t>
        </is>
      </c>
      <c r="K12" s="14" t="inlineStr">
        <is>
          <t>Contracted Hours</t>
        </is>
      </c>
      <c r="L12" s="14" t="inlineStr">
        <is>
          <t>Position Name</t>
        </is>
      </c>
      <c r="M12" s="14" t="inlineStr">
        <is>
          <t>Grade</t>
        </is>
      </c>
      <c r="N12" s="14" t="inlineStr">
        <is>
          <t>Basis</t>
        </is>
      </c>
      <c r="O12" s="14" t="inlineStr">
        <is>
          <t>FTE</t>
        </is>
      </c>
      <c r="P12" s="14" t="inlineStr">
        <is>
          <t>Payroll Reference</t>
        </is>
      </c>
      <c r="Q12" s="14" t="inlineStr">
        <is>
          <t>Line Manager</t>
        </is>
      </c>
      <c r="R12" s="14" t="inlineStr">
        <is>
          <t>Region</t>
        </is>
      </c>
      <c r="S12" s="14" t="inlineStr">
        <is>
          <t>Division</t>
        </is>
      </c>
      <c r="T12" s="14" t="inlineStr">
        <is>
          <t>Pay Group</t>
        </is>
      </c>
      <c r="U12" s="14" t="inlineStr">
        <is>
          <t>Tax Code</t>
        </is>
      </c>
      <c r="V12" s="14" t="inlineStr">
        <is>
          <t>NI Category</t>
        </is>
      </c>
      <c r="W12" s="14" t="inlineStr">
        <is>
          <t>Pension Scheme</t>
        </is>
      </c>
      <c r="X12" s="14" t="inlineStr">
        <is>
          <t>Pension Status</t>
        </is>
      </c>
      <c r="Y12" s="14" t="inlineStr">
        <is>
          <t>Address Line 1</t>
        </is>
      </c>
      <c r="Z12" s="14" t="inlineStr">
        <is>
          <t>Address Line 2</t>
        </is>
      </c>
      <c r="AA12" s="14" t="inlineStr">
        <is>
          <t>Town</t>
        </is>
      </c>
      <c r="AB12" s="14" t="inlineStr">
        <is>
          <t>Postcode</t>
        </is>
      </c>
      <c r="AC12" s="14" t="inlineStr">
        <is>
          <t>Email</t>
        </is>
      </c>
      <c r="AD12" s="14" t="inlineStr">
        <is>
          <t>Phone</t>
        </is>
      </c>
      <c r="AE12" s="14" t="inlineStr">
        <is>
          <t>Bank Name</t>
        </is>
      </c>
      <c r="AF12" s="14" t="inlineStr">
        <is>
          <t>Account Ref</t>
        </is>
      </c>
      <c r="AG12" s="14" t="inlineStr">
        <is>
          <t>Union Member</t>
        </is>
      </c>
      <c r="AH12" s="14" t="inlineStr">
        <is>
          <t>Notes</t>
        </is>
      </c>
      <c r="AI12" s="14" t="inlineStr">
        <is>
          <t>Category</t>
        </is>
      </c>
      <c r="AJ12" s="2" t="n"/>
      <c r="AK12" s="2" t="n"/>
      <c r="AL12" s="2" t="n"/>
      <c r="AM12" s="2" t="n"/>
      <c r="AN12" s="2" t="n"/>
      <c r="AO12" s="2" t="n"/>
      <c r="AP12" s="2" t="n"/>
      <c r="AQ12" s="2" t="n"/>
      <c r="AR12" s="2" t="n"/>
      <c r="AS12" s="2" t="n"/>
    </row>
    <row r="13">
      <c r="A13" s="11" t="n">
        <v>1</v>
      </c>
      <c r="B13" s="11" t="inlineStr">
        <is>
          <t>Mr/Mrs</t>
        </is>
      </c>
      <c r="C13" s="11" t="inlineStr">
        <is>
          <t>Forename434</t>
        </is>
      </c>
      <c r="D13" s="11" t="inlineStr">
        <is>
          <t>Surname434</t>
        </is>
      </c>
      <c r="E13" s="11" t="inlineStr">
        <is>
          <t>Riverside Dental Practice</t>
        </is>
      </c>
      <c r="F13" s="11" t="inlineStr">
        <is>
          <t>Clinical</t>
        </is>
      </c>
      <c r="G13" s="11" t="inlineStr">
        <is>
          <t>CC-RIV</t>
        </is>
      </c>
      <c r="H13" s="11" t="inlineStr">
        <is>
          <t>01/01/2022</t>
        </is>
      </c>
      <c r="I13" s="11" t="inlineStr"/>
      <c r="J13" s="11" t="inlineStr">
        <is>
          <t>Active</t>
        </is>
      </c>
      <c r="K13" s="11" t="n">
        <v>37.5</v>
      </c>
      <c r="L13" s="11" t="inlineStr">
        <is>
          <t>Dental Nurse</t>
        </is>
      </c>
      <c r="M13" s="11" t="inlineStr">
        <is>
          <t>Band 4</t>
        </is>
      </c>
      <c r="N13" s="11" t="inlineStr">
        <is>
          <t>Permanent</t>
        </is>
      </c>
      <c r="O13" s="11" t="n">
        <v>1</v>
      </c>
      <c r="P13" s="11" t="inlineStr">
        <is>
          <t>P23434</t>
        </is>
      </c>
      <c r="Q13" s="11" t="inlineStr">
        <is>
          <t>N/A</t>
        </is>
      </c>
      <c r="R13" s="11" t="inlineStr">
        <is>
          <t>N/A</t>
        </is>
      </c>
      <c r="S13" s="11" t="inlineStr">
        <is>
          <t>N/A</t>
        </is>
      </c>
      <c r="T13" s="11" t="inlineStr">
        <is>
          <t>N/A</t>
        </is>
      </c>
      <c r="U13" s="11" t="inlineStr">
        <is>
          <t>N/A</t>
        </is>
      </c>
      <c r="V13" s="11" t="inlineStr">
        <is>
          <t>N/A</t>
        </is>
      </c>
      <c r="W13" s="11" t="inlineStr">
        <is>
          <t>N/A</t>
        </is>
      </c>
      <c r="X13" s="11" t="inlineStr">
        <is>
          <t>N/A</t>
        </is>
      </c>
      <c r="Y13" s="11" t="inlineStr">
        <is>
          <t>N/A</t>
        </is>
      </c>
      <c r="Z13" s="11" t="inlineStr">
        <is>
          <t>N/A</t>
        </is>
      </c>
      <c r="AA13" s="11" t="inlineStr">
        <is>
          <t>N/A</t>
        </is>
      </c>
      <c r="AB13" s="11" t="inlineStr">
        <is>
          <t>N/A</t>
        </is>
      </c>
      <c r="AC13" s="11" t="inlineStr">
        <is>
          <t>N/A</t>
        </is>
      </c>
      <c r="AD13" s="11" t="inlineStr">
        <is>
          <t>N/A</t>
        </is>
      </c>
      <c r="AE13" s="11" t="inlineStr">
        <is>
          <t>N/A</t>
        </is>
      </c>
      <c r="AF13" s="11" t="inlineStr">
        <is>
          <t>N/A</t>
        </is>
      </c>
      <c r="AG13" s="11" t="inlineStr">
        <is>
          <t>N/A</t>
        </is>
      </c>
      <c r="AH13" s="11" t="inlineStr">
        <is>
          <t>N/A</t>
        </is>
      </c>
      <c r="AI13" s="11" t="inlineStr">
        <is>
          <t>Practice Clinical</t>
        </is>
      </c>
      <c r="AJ13" s="2" t="n"/>
      <c r="AK13" s="2" t="n"/>
      <c r="AL13" s="2" t="n"/>
      <c r="AM13" s="2" t="n"/>
      <c r="AN13" s="2" t="n"/>
      <c r="AO13" s="2" t="n"/>
      <c r="AP13" s="2" t="n"/>
      <c r="AQ13" s="2" t="n"/>
      <c r="AR13" s="2" t="n"/>
      <c r="AS13" s="2" t="n"/>
    </row>
    <row r="14">
      <c r="A14" s="11" t="n">
        <v>2</v>
      </c>
      <c r="B14" s="11" t="inlineStr">
        <is>
          <t>Mr/Mrs</t>
        </is>
      </c>
      <c r="C14" s="11" t="inlineStr">
        <is>
          <t>Forename280</t>
        </is>
      </c>
      <c r="D14" s="11" t="inlineStr">
        <is>
          <t>Surname280</t>
        </is>
      </c>
      <c r="E14" s="11" t="inlineStr">
        <is>
          <t>Hakim Group Head Office</t>
        </is>
      </c>
      <c r="F14" s="11" t="inlineStr">
        <is>
          <t>Support</t>
        </is>
      </c>
      <c r="G14" s="11" t="inlineStr">
        <is>
          <t>CC-HAK</t>
        </is>
      </c>
      <c r="H14" s="11" t="inlineStr">
        <is>
          <t>01/01/2022</t>
        </is>
      </c>
      <c r="I14" s="11" t="inlineStr"/>
      <c r="J14" s="11" t="inlineStr">
        <is>
          <t>Active</t>
        </is>
      </c>
      <c r="K14" s="11" t="n">
        <v>37.5</v>
      </c>
      <c r="L14" s="11" t="inlineStr">
        <is>
          <t>Payroll Advisor</t>
        </is>
      </c>
      <c r="M14" s="11" t="inlineStr">
        <is>
          <t>Band 4</t>
        </is>
      </c>
      <c r="N14" s="11" t="inlineStr">
        <is>
          <t>Permanent</t>
        </is>
      </c>
      <c r="O14" s="11" t="n">
        <v>1</v>
      </c>
      <c r="P14" s="11" t="inlineStr">
        <is>
          <t>P22280</t>
        </is>
      </c>
      <c r="Q14" s="11" t="inlineStr">
        <is>
          <t>N/A</t>
        </is>
      </c>
      <c r="R14" s="11" t="inlineStr">
        <is>
          <t>N/A</t>
        </is>
      </c>
      <c r="S14" s="11" t="inlineStr">
        <is>
          <t>N/A</t>
        </is>
      </c>
      <c r="T14" s="11" t="inlineStr">
        <is>
          <t>N/A</t>
        </is>
      </c>
      <c r="U14" s="11" t="inlineStr">
        <is>
          <t>N/A</t>
        </is>
      </c>
      <c r="V14" s="11" t="inlineStr">
        <is>
          <t>N/A</t>
        </is>
      </c>
      <c r="W14" s="11" t="inlineStr">
        <is>
          <t>N/A</t>
        </is>
      </c>
      <c r="X14" s="11" t="inlineStr">
        <is>
          <t>N/A</t>
        </is>
      </c>
      <c r="Y14" s="11" t="inlineStr">
        <is>
          <t>N/A</t>
        </is>
      </c>
      <c r="Z14" s="11" t="inlineStr">
        <is>
          <t>N/A</t>
        </is>
      </c>
      <c r="AA14" s="11" t="inlineStr">
        <is>
          <t>N/A</t>
        </is>
      </c>
      <c r="AB14" s="11" t="inlineStr">
        <is>
          <t>N/A</t>
        </is>
      </c>
      <c r="AC14" s="11" t="inlineStr">
        <is>
          <t>N/A</t>
        </is>
      </c>
      <c r="AD14" s="11" t="inlineStr">
        <is>
          <t>N/A</t>
        </is>
      </c>
      <c r="AE14" s="11" t="inlineStr">
        <is>
          <t>N/A</t>
        </is>
      </c>
      <c r="AF14" s="11" t="inlineStr">
        <is>
          <t>N/A</t>
        </is>
      </c>
      <c r="AG14" s="11" t="inlineStr">
        <is>
          <t>N/A</t>
        </is>
      </c>
      <c r="AH14" s="11" t="inlineStr">
        <is>
          <t>N/A</t>
        </is>
      </c>
      <c r="AI14" s="11" t="inlineStr">
        <is>
          <t>HGHQ</t>
        </is>
      </c>
      <c r="AJ14" s="2" t="n"/>
      <c r="AK14" s="2" t="n"/>
      <c r="AL14" s="2" t="n"/>
      <c r="AM14" s="2" t="n"/>
      <c r="AN14" s="2" t="n"/>
      <c r="AO14" s="2" t="n"/>
      <c r="AP14" s="2" t="n"/>
      <c r="AQ14" s="2" t="n"/>
      <c r="AR14" s="2" t="n"/>
      <c r="AS14" s="2" t="n"/>
    </row>
    <row r="15">
      <c r="A15" s="11" t="n">
        <v>3</v>
      </c>
      <c r="B15" s="11" t="inlineStr">
        <is>
          <t>Mr/Mrs</t>
        </is>
      </c>
      <c r="C15" s="11" t="inlineStr">
        <is>
          <t>Forename426</t>
        </is>
      </c>
      <c r="D15" s="11" t="inlineStr">
        <is>
          <t>Surname426</t>
        </is>
      </c>
      <c r="E15" s="11" t="inlineStr">
        <is>
          <t>Kings Road Dental Practice</t>
        </is>
      </c>
      <c r="F15" s="11" t="inlineStr">
        <is>
          <t>Clinical</t>
        </is>
      </c>
      <c r="G15" s="11" t="inlineStr">
        <is>
          <t>CC-KIN</t>
        </is>
      </c>
      <c r="H15" s="11" t="inlineStr">
        <is>
          <t>01/01/2022</t>
        </is>
      </c>
      <c r="I15" s="11" t="inlineStr"/>
      <c r="J15" s="11" t="inlineStr">
        <is>
          <t>Active</t>
        </is>
      </c>
      <c r="K15" s="11" t="n">
        <v>37.5</v>
      </c>
      <c r="L15" s="11" t="inlineStr">
        <is>
          <t>Dentist</t>
        </is>
      </c>
      <c r="M15" s="11" t="inlineStr">
        <is>
          <t>Band 4</t>
        </is>
      </c>
      <c r="N15" s="11" t="inlineStr">
        <is>
          <t>Permanent</t>
        </is>
      </c>
      <c r="O15" s="11" t="n">
        <v>1</v>
      </c>
      <c r="P15" s="11" t="inlineStr">
        <is>
          <t>P81426</t>
        </is>
      </c>
      <c r="Q15" s="11" t="inlineStr">
        <is>
          <t>N/A</t>
        </is>
      </c>
      <c r="R15" s="11" t="inlineStr">
        <is>
          <t>N/A</t>
        </is>
      </c>
      <c r="S15" s="11" t="inlineStr">
        <is>
          <t>N/A</t>
        </is>
      </c>
      <c r="T15" s="11" t="inlineStr">
        <is>
          <t>N/A</t>
        </is>
      </c>
      <c r="U15" s="11" t="inlineStr">
        <is>
          <t>N/A</t>
        </is>
      </c>
      <c r="V15" s="11" t="inlineStr">
        <is>
          <t>N/A</t>
        </is>
      </c>
      <c r="W15" s="11" t="inlineStr">
        <is>
          <t>N/A</t>
        </is>
      </c>
      <c r="X15" s="11" t="inlineStr">
        <is>
          <t>N/A</t>
        </is>
      </c>
      <c r="Y15" s="11" t="inlineStr">
        <is>
          <t>N/A</t>
        </is>
      </c>
      <c r="Z15" s="11" t="inlineStr">
        <is>
          <t>N/A</t>
        </is>
      </c>
      <c r="AA15" s="11" t="inlineStr">
        <is>
          <t>N/A</t>
        </is>
      </c>
      <c r="AB15" s="11" t="inlineStr">
        <is>
          <t>N/A</t>
        </is>
      </c>
      <c r="AC15" s="11" t="inlineStr">
        <is>
          <t>N/A</t>
        </is>
      </c>
      <c r="AD15" s="11" t="inlineStr">
        <is>
          <t>N/A</t>
        </is>
      </c>
      <c r="AE15" s="11" t="inlineStr">
        <is>
          <t>N/A</t>
        </is>
      </c>
      <c r="AF15" s="11" t="inlineStr">
        <is>
          <t>N/A</t>
        </is>
      </c>
      <c r="AG15" s="11" t="inlineStr">
        <is>
          <t>N/A</t>
        </is>
      </c>
      <c r="AH15" s="11" t="inlineStr">
        <is>
          <t>N/A</t>
        </is>
      </c>
      <c r="AI15" s="11" t="inlineStr">
        <is>
          <t>Practice Clinical</t>
        </is>
      </c>
      <c r="AJ15" s="2" t="n"/>
      <c r="AK15" s="2" t="n"/>
      <c r="AL15" s="2" t="n"/>
      <c r="AM15" s="2" t="n"/>
      <c r="AN15" s="2" t="n"/>
      <c r="AO15" s="2" t="n"/>
      <c r="AP15" s="2" t="n"/>
      <c r="AQ15" s="2" t="n"/>
      <c r="AR15" s="2" t="n"/>
      <c r="AS15" s="2" t="n"/>
    </row>
    <row r="16">
      <c r="A16" s="11" t="n">
        <v>4</v>
      </c>
      <c r="B16" s="11" t="inlineStr">
        <is>
          <t>Mr/Mrs</t>
        </is>
      </c>
      <c r="C16" s="11" t="inlineStr">
        <is>
          <t>Forename926</t>
        </is>
      </c>
      <c r="D16" s="11" t="inlineStr">
        <is>
          <t>Surname926</t>
        </is>
      </c>
      <c r="E16" s="11" t="inlineStr">
        <is>
          <t>Oakfield Dental Practice</t>
        </is>
      </c>
      <c r="F16" s="11" t="inlineStr">
        <is>
          <t>Clinical</t>
        </is>
      </c>
      <c r="G16" s="11" t="inlineStr">
        <is>
          <t>CC-OAK</t>
        </is>
      </c>
      <c r="H16" s="11" t="inlineStr">
        <is>
          <t>01/01/2022</t>
        </is>
      </c>
      <c r="I16" s="11" t="inlineStr"/>
      <c r="J16" s="11" t="inlineStr">
        <is>
          <t>Active</t>
        </is>
      </c>
      <c r="K16" s="11" t="n">
        <v>37.5</v>
      </c>
      <c r="L16" s="11" t="inlineStr">
        <is>
          <t>Dental Nurse</t>
        </is>
      </c>
      <c r="M16" s="11" t="inlineStr">
        <is>
          <t>Band 4</t>
        </is>
      </c>
      <c r="N16" s="11" t="inlineStr">
        <is>
          <t>Permanent</t>
        </is>
      </c>
      <c r="O16" s="11" t="n">
        <v>1</v>
      </c>
      <c r="P16" s="11" t="inlineStr">
        <is>
          <t>P30926</t>
        </is>
      </c>
      <c r="Q16" s="11" t="inlineStr">
        <is>
          <t>N/A</t>
        </is>
      </c>
      <c r="R16" s="11" t="inlineStr">
        <is>
          <t>N/A</t>
        </is>
      </c>
      <c r="S16" s="11" t="inlineStr">
        <is>
          <t>N/A</t>
        </is>
      </c>
      <c r="T16" s="11" t="inlineStr">
        <is>
          <t>N/A</t>
        </is>
      </c>
      <c r="U16" s="11" t="inlineStr">
        <is>
          <t>N/A</t>
        </is>
      </c>
      <c r="V16" s="11" t="inlineStr">
        <is>
          <t>N/A</t>
        </is>
      </c>
      <c r="W16" s="11" t="inlineStr">
        <is>
          <t>N/A</t>
        </is>
      </c>
      <c r="X16" s="11" t="inlineStr">
        <is>
          <t>N/A</t>
        </is>
      </c>
      <c r="Y16" s="11" t="inlineStr">
        <is>
          <t>N/A</t>
        </is>
      </c>
      <c r="Z16" s="11" t="inlineStr">
        <is>
          <t>N/A</t>
        </is>
      </c>
      <c r="AA16" s="11" t="inlineStr">
        <is>
          <t>N/A</t>
        </is>
      </c>
      <c r="AB16" s="11" t="inlineStr">
        <is>
          <t>N/A</t>
        </is>
      </c>
      <c r="AC16" s="11" t="inlineStr">
        <is>
          <t>N/A</t>
        </is>
      </c>
      <c r="AD16" s="11" t="inlineStr">
        <is>
          <t>N/A</t>
        </is>
      </c>
      <c r="AE16" s="11" t="inlineStr">
        <is>
          <t>N/A</t>
        </is>
      </c>
      <c r="AF16" s="11" t="inlineStr">
        <is>
          <t>N/A</t>
        </is>
      </c>
      <c r="AG16" s="11" t="inlineStr">
        <is>
          <t>N/A</t>
        </is>
      </c>
      <c r="AH16" s="11" t="inlineStr">
        <is>
          <t>N/A</t>
        </is>
      </c>
      <c r="AI16" s="11" t="inlineStr">
        <is>
          <t>Practice Clinical</t>
        </is>
      </c>
      <c r="AJ16" s="2" t="n"/>
      <c r="AK16" s="2" t="n"/>
      <c r="AL16" s="2" t="n"/>
      <c r="AM16" s="2" t="n"/>
      <c r="AN16" s="2" t="n"/>
      <c r="AO16" s="2" t="n"/>
      <c r="AP16" s="2" t="n"/>
      <c r="AQ16" s="2" t="n"/>
      <c r="AR16" s="2" t="n"/>
      <c r="AS16" s="2" t="n"/>
    </row>
    <row r="17">
      <c r="A17" s="11" t="n">
        <v>5</v>
      </c>
      <c r="B17" s="11" t="inlineStr">
        <is>
          <t>Mr/Mrs</t>
        </is>
      </c>
      <c r="C17" s="11" t="inlineStr">
        <is>
          <t>Forename396</t>
        </is>
      </c>
      <c r="D17" s="11" t="inlineStr">
        <is>
          <t>Surname396</t>
        </is>
      </c>
      <c r="E17" s="11" t="inlineStr">
        <is>
          <t>Oakfield Dental Practice</t>
        </is>
      </c>
      <c r="F17" s="11" t="inlineStr">
        <is>
          <t>Clinical</t>
        </is>
      </c>
      <c r="G17" s="11" t="inlineStr">
        <is>
          <t>CC-OAK</t>
        </is>
      </c>
      <c r="H17" s="11" t="inlineStr">
        <is>
          <t>01/01/2022</t>
        </is>
      </c>
      <c r="I17" s="11" t="inlineStr"/>
      <c r="J17" s="11" t="inlineStr">
        <is>
          <t>Active</t>
        </is>
      </c>
      <c r="K17" s="11" t="n">
        <v>37.5</v>
      </c>
      <c r="L17" s="11" t="inlineStr">
        <is>
          <t>Dental Hygienist</t>
        </is>
      </c>
      <c r="M17" s="11" t="inlineStr">
        <is>
          <t>Band 4</t>
        </is>
      </c>
      <c r="N17" s="11" t="inlineStr">
        <is>
          <t>Permanent</t>
        </is>
      </c>
      <c r="O17" s="11" t="n">
        <v>1</v>
      </c>
      <c r="P17" s="11" t="inlineStr">
        <is>
          <t>P23396</t>
        </is>
      </c>
      <c r="Q17" s="11" t="inlineStr">
        <is>
          <t>N/A</t>
        </is>
      </c>
      <c r="R17" s="11" t="inlineStr">
        <is>
          <t>N/A</t>
        </is>
      </c>
      <c r="S17" s="11" t="inlineStr">
        <is>
          <t>N/A</t>
        </is>
      </c>
      <c r="T17" s="11" t="inlineStr">
        <is>
          <t>N/A</t>
        </is>
      </c>
      <c r="U17" s="11" t="inlineStr">
        <is>
          <t>N/A</t>
        </is>
      </c>
      <c r="V17" s="11" t="inlineStr">
        <is>
          <t>N/A</t>
        </is>
      </c>
      <c r="W17" s="11" t="inlineStr">
        <is>
          <t>N/A</t>
        </is>
      </c>
      <c r="X17" s="11" t="inlineStr">
        <is>
          <t>N/A</t>
        </is>
      </c>
      <c r="Y17" s="11" t="inlineStr">
        <is>
          <t>N/A</t>
        </is>
      </c>
      <c r="Z17" s="11" t="inlineStr">
        <is>
          <t>N/A</t>
        </is>
      </c>
      <c r="AA17" s="11" t="inlineStr">
        <is>
          <t>N/A</t>
        </is>
      </c>
      <c r="AB17" s="11" t="inlineStr">
        <is>
          <t>N/A</t>
        </is>
      </c>
      <c r="AC17" s="11" t="inlineStr">
        <is>
          <t>N/A</t>
        </is>
      </c>
      <c r="AD17" s="11" t="inlineStr">
        <is>
          <t>N/A</t>
        </is>
      </c>
      <c r="AE17" s="11" t="inlineStr">
        <is>
          <t>N/A</t>
        </is>
      </c>
      <c r="AF17" s="11" t="inlineStr">
        <is>
          <t>N/A</t>
        </is>
      </c>
      <c r="AG17" s="11" t="inlineStr">
        <is>
          <t>N/A</t>
        </is>
      </c>
      <c r="AH17" s="11" t="inlineStr">
        <is>
          <t>N/A</t>
        </is>
      </c>
      <c r="AI17" s="11" t="inlineStr">
        <is>
          <t>Practice Clinical</t>
        </is>
      </c>
      <c r="AJ17" s="2" t="n"/>
      <c r="AK17" s="2" t="n"/>
      <c r="AL17" s="2" t="n"/>
      <c r="AM17" s="2" t="n"/>
      <c r="AN17" s="2" t="n"/>
      <c r="AO17" s="2" t="n"/>
      <c r="AP17" s="2" t="n"/>
      <c r="AQ17" s="2" t="n"/>
      <c r="AR17" s="2" t="n"/>
      <c r="AS17" s="2" t="n"/>
    </row>
    <row r="18">
      <c r="A18" s="11" t="n">
        <v>6</v>
      </c>
      <c r="B18" s="11" t="inlineStr">
        <is>
          <t>Mr/Mrs</t>
        </is>
      </c>
      <c r="C18" s="11" t="inlineStr">
        <is>
          <t>Forename695</t>
        </is>
      </c>
      <c r="D18" s="11" t="inlineStr">
        <is>
          <t>Surname695</t>
        </is>
      </c>
      <c r="E18" s="11" t="inlineStr">
        <is>
          <t>Riverside Dental Practice</t>
        </is>
      </c>
      <c r="F18" s="11" t="inlineStr">
        <is>
          <t>Clinical</t>
        </is>
      </c>
      <c r="G18" s="11" t="inlineStr">
        <is>
          <t>CC-RIV</t>
        </is>
      </c>
      <c r="H18" s="11" t="inlineStr">
        <is>
          <t>01/01/2022</t>
        </is>
      </c>
      <c r="I18" s="11" t="inlineStr"/>
      <c r="J18" s="11" t="inlineStr">
        <is>
          <t>Active</t>
        </is>
      </c>
      <c r="K18" s="11" t="n">
        <v>37.5</v>
      </c>
      <c r="L18" s="11" t="inlineStr">
        <is>
          <t>Dental Nurse</t>
        </is>
      </c>
      <c r="M18" s="11" t="inlineStr">
        <is>
          <t>Band 4</t>
        </is>
      </c>
      <c r="N18" s="11" t="inlineStr">
        <is>
          <t>Permanent</t>
        </is>
      </c>
      <c r="O18" s="11" t="n">
        <v>1</v>
      </c>
      <c r="P18" s="11" t="inlineStr">
        <is>
          <t>P15695</t>
        </is>
      </c>
      <c r="Q18" s="11" t="inlineStr">
        <is>
          <t>N/A</t>
        </is>
      </c>
      <c r="R18" s="11" t="inlineStr">
        <is>
          <t>N/A</t>
        </is>
      </c>
      <c r="S18" s="11" t="inlineStr">
        <is>
          <t>N/A</t>
        </is>
      </c>
      <c r="T18" s="11" t="inlineStr">
        <is>
          <t>N/A</t>
        </is>
      </c>
      <c r="U18" s="11" t="inlineStr">
        <is>
          <t>N/A</t>
        </is>
      </c>
      <c r="V18" s="11" t="inlineStr">
        <is>
          <t>N/A</t>
        </is>
      </c>
      <c r="W18" s="11" t="inlineStr">
        <is>
          <t>N/A</t>
        </is>
      </c>
      <c r="X18" s="11" t="inlineStr">
        <is>
          <t>N/A</t>
        </is>
      </c>
      <c r="Y18" s="11" t="inlineStr">
        <is>
          <t>N/A</t>
        </is>
      </c>
      <c r="Z18" s="11" t="inlineStr">
        <is>
          <t>N/A</t>
        </is>
      </c>
      <c r="AA18" s="11" t="inlineStr">
        <is>
          <t>N/A</t>
        </is>
      </c>
      <c r="AB18" s="11" t="inlineStr">
        <is>
          <t>N/A</t>
        </is>
      </c>
      <c r="AC18" s="11" t="inlineStr">
        <is>
          <t>N/A</t>
        </is>
      </c>
      <c r="AD18" s="11" t="inlineStr">
        <is>
          <t>N/A</t>
        </is>
      </c>
      <c r="AE18" s="11" t="inlineStr">
        <is>
          <t>N/A</t>
        </is>
      </c>
      <c r="AF18" s="11" t="inlineStr">
        <is>
          <t>N/A</t>
        </is>
      </c>
      <c r="AG18" s="11" t="inlineStr">
        <is>
          <t>N/A</t>
        </is>
      </c>
      <c r="AH18" s="11" t="inlineStr">
        <is>
          <t>N/A</t>
        </is>
      </c>
      <c r="AI18" s="11" t="inlineStr">
        <is>
          <t>Practice Clinical</t>
        </is>
      </c>
      <c r="AJ18" s="2" t="n"/>
      <c r="AK18" s="2" t="n"/>
      <c r="AL18" s="2" t="n"/>
      <c r="AM18" s="2" t="n"/>
      <c r="AN18" s="2" t="n"/>
      <c r="AO18" s="2" t="n"/>
      <c r="AP18" s="2" t="n"/>
      <c r="AQ18" s="2" t="n"/>
      <c r="AR18" s="2" t="n"/>
      <c r="AS18" s="2" t="n"/>
    </row>
    <row r="19">
      <c r="A19" s="11" t="n">
        <v>7</v>
      </c>
      <c r="B19" s="11" t="inlineStr">
        <is>
          <t>Mr/Mrs</t>
        </is>
      </c>
      <c r="C19" s="11" t="inlineStr">
        <is>
          <t>Forename397</t>
        </is>
      </c>
      <c r="D19" s="11" t="inlineStr">
        <is>
          <t>Surname397</t>
        </is>
      </c>
      <c r="E19" s="11" t="inlineStr">
        <is>
          <t>Oakfield Dental Practice</t>
        </is>
      </c>
      <c r="F19" s="11" t="inlineStr">
        <is>
          <t>Support</t>
        </is>
      </c>
      <c r="G19" s="11" t="inlineStr">
        <is>
          <t>CC-OAK</t>
        </is>
      </c>
      <c r="H19" s="11" t="inlineStr">
        <is>
          <t>01/01/2022</t>
        </is>
      </c>
      <c r="I19" s="11" t="inlineStr"/>
      <c r="J19" s="11" t="inlineStr">
        <is>
          <t>Active</t>
        </is>
      </c>
      <c r="K19" s="11" t="n">
        <v>37.5</v>
      </c>
      <c r="L19" s="11" t="inlineStr">
        <is>
          <t>Treatment Coordinator</t>
        </is>
      </c>
      <c r="M19" s="11" t="inlineStr">
        <is>
          <t>Band 4</t>
        </is>
      </c>
      <c r="N19" s="11" t="inlineStr">
        <is>
          <t>Permanent</t>
        </is>
      </c>
      <c r="O19" s="11" t="n">
        <v>1</v>
      </c>
      <c r="P19" s="11" t="inlineStr">
        <is>
          <t>P92397</t>
        </is>
      </c>
      <c r="Q19" s="11" t="inlineStr">
        <is>
          <t>N/A</t>
        </is>
      </c>
      <c r="R19" s="11" t="inlineStr">
        <is>
          <t>N/A</t>
        </is>
      </c>
      <c r="S19" s="11" t="inlineStr">
        <is>
          <t>N/A</t>
        </is>
      </c>
      <c r="T19" s="11" t="inlineStr">
        <is>
          <t>N/A</t>
        </is>
      </c>
      <c r="U19" s="11" t="inlineStr">
        <is>
          <t>N/A</t>
        </is>
      </c>
      <c r="V19" s="11" t="inlineStr">
        <is>
          <t>N/A</t>
        </is>
      </c>
      <c r="W19" s="11" t="inlineStr">
        <is>
          <t>N/A</t>
        </is>
      </c>
      <c r="X19" s="11" t="inlineStr">
        <is>
          <t>N/A</t>
        </is>
      </c>
      <c r="Y19" s="11" t="inlineStr">
        <is>
          <t>N/A</t>
        </is>
      </c>
      <c r="Z19" s="11" t="inlineStr">
        <is>
          <t>N/A</t>
        </is>
      </c>
      <c r="AA19" s="11" t="inlineStr">
        <is>
          <t>N/A</t>
        </is>
      </c>
      <c r="AB19" s="11" t="inlineStr">
        <is>
          <t>N/A</t>
        </is>
      </c>
      <c r="AC19" s="11" t="inlineStr">
        <is>
          <t>N/A</t>
        </is>
      </c>
      <c r="AD19" s="11" t="inlineStr">
        <is>
          <t>N/A</t>
        </is>
      </c>
      <c r="AE19" s="11" t="inlineStr">
        <is>
          <t>N/A</t>
        </is>
      </c>
      <c r="AF19" s="11" t="inlineStr">
        <is>
          <t>N/A</t>
        </is>
      </c>
      <c r="AG19" s="11" t="inlineStr">
        <is>
          <t>N/A</t>
        </is>
      </c>
      <c r="AH19" s="11" t="inlineStr">
        <is>
          <t>N/A</t>
        </is>
      </c>
      <c r="AI19" s="11" t="inlineStr">
        <is>
          <t>Practice Support</t>
        </is>
      </c>
      <c r="AJ19" s="2" t="n"/>
      <c r="AK19" s="2" t="n"/>
      <c r="AL19" s="2" t="n"/>
      <c r="AM19" s="2" t="n"/>
      <c r="AN19" s="2" t="n"/>
      <c r="AO19" s="2" t="n"/>
      <c r="AP19" s="2" t="n"/>
      <c r="AQ19" s="2" t="n"/>
      <c r="AR19" s="2" t="n"/>
      <c r="AS19" s="2" t="n"/>
    </row>
    <row r="20">
      <c r="A20" s="11" t="n">
        <v>8</v>
      </c>
      <c r="B20" s="11" t="inlineStr">
        <is>
          <t>Mr/Mrs</t>
        </is>
      </c>
      <c r="C20" s="11" t="inlineStr">
        <is>
          <t>Forename006</t>
        </is>
      </c>
      <c r="D20" s="11" t="inlineStr">
        <is>
          <t>Surname006</t>
        </is>
      </c>
      <c r="E20" s="11" t="inlineStr">
        <is>
          <t>Hakim Group Head Office</t>
        </is>
      </c>
      <c r="F20" s="11" t="inlineStr">
        <is>
          <t>Support</t>
        </is>
      </c>
      <c r="G20" s="11" t="inlineStr">
        <is>
          <t>CC-HAK</t>
        </is>
      </c>
      <c r="H20" s="11" t="inlineStr">
        <is>
          <t>01/01/2022</t>
        </is>
      </c>
      <c r="I20" s="11" t="inlineStr"/>
      <c r="J20" s="11" t="inlineStr">
        <is>
          <t>Active</t>
        </is>
      </c>
      <c r="K20" s="11" t="n">
        <v>37.5</v>
      </c>
      <c r="L20" s="11" t="inlineStr">
        <is>
          <t>Finance Analyst</t>
        </is>
      </c>
      <c r="M20" s="11" t="inlineStr">
        <is>
          <t>Band 4</t>
        </is>
      </c>
      <c r="N20" s="11" t="inlineStr">
        <is>
          <t>Permanent</t>
        </is>
      </c>
      <c r="O20" s="11" t="n">
        <v>1</v>
      </c>
      <c r="P20" s="11" t="inlineStr">
        <is>
          <t>P16006</t>
        </is>
      </c>
      <c r="Q20" s="11" t="inlineStr">
        <is>
          <t>N/A</t>
        </is>
      </c>
      <c r="R20" s="11" t="inlineStr">
        <is>
          <t>N/A</t>
        </is>
      </c>
      <c r="S20" s="11" t="inlineStr">
        <is>
          <t>N/A</t>
        </is>
      </c>
      <c r="T20" s="11" t="inlineStr">
        <is>
          <t>N/A</t>
        </is>
      </c>
      <c r="U20" s="11" t="inlineStr">
        <is>
          <t>N/A</t>
        </is>
      </c>
      <c r="V20" s="11" t="inlineStr">
        <is>
          <t>N/A</t>
        </is>
      </c>
      <c r="W20" s="11" t="inlineStr">
        <is>
          <t>N/A</t>
        </is>
      </c>
      <c r="X20" s="11" t="inlineStr">
        <is>
          <t>N/A</t>
        </is>
      </c>
      <c r="Y20" s="11" t="inlineStr">
        <is>
          <t>N/A</t>
        </is>
      </c>
      <c r="Z20" s="11" t="inlineStr">
        <is>
          <t>N/A</t>
        </is>
      </c>
      <c r="AA20" s="11" t="inlineStr">
        <is>
          <t>N/A</t>
        </is>
      </c>
      <c r="AB20" s="11" t="inlineStr">
        <is>
          <t>N/A</t>
        </is>
      </c>
      <c r="AC20" s="11" t="inlineStr">
        <is>
          <t>N/A</t>
        </is>
      </c>
      <c r="AD20" s="11" t="inlineStr">
        <is>
          <t>N/A</t>
        </is>
      </c>
      <c r="AE20" s="11" t="inlineStr">
        <is>
          <t>N/A</t>
        </is>
      </c>
      <c r="AF20" s="11" t="inlineStr">
        <is>
          <t>N/A</t>
        </is>
      </c>
      <c r="AG20" s="11" t="inlineStr">
        <is>
          <t>N/A</t>
        </is>
      </c>
      <c r="AH20" s="11" t="inlineStr">
        <is>
          <t>N/A</t>
        </is>
      </c>
      <c r="AI20" s="11" t="inlineStr">
        <is>
          <t>HGHQ</t>
        </is>
      </c>
      <c r="AJ20" s="2" t="n"/>
      <c r="AK20" s="2" t="n"/>
      <c r="AL20" s="2" t="n"/>
      <c r="AM20" s="2" t="n"/>
      <c r="AN20" s="2" t="n"/>
      <c r="AO20" s="2" t="n"/>
      <c r="AP20" s="2" t="n"/>
      <c r="AQ20" s="2" t="n"/>
      <c r="AR20" s="2" t="n"/>
      <c r="AS20" s="2" t="n"/>
    </row>
    <row r="21">
      <c r="A21" s="11" t="n">
        <v>9</v>
      </c>
      <c r="B21" s="11" t="inlineStr">
        <is>
          <t>Mr/Mrs</t>
        </is>
      </c>
      <c r="C21" s="11" t="inlineStr">
        <is>
          <t>Forename823</t>
        </is>
      </c>
      <c r="D21" s="11" t="inlineStr">
        <is>
          <t>Surname823</t>
        </is>
      </c>
      <c r="E21" s="11" t="inlineStr">
        <is>
          <t>Kings Road Dental Practice</t>
        </is>
      </c>
      <c r="F21" s="11" t="inlineStr">
        <is>
          <t>Support</t>
        </is>
      </c>
      <c r="G21" s="11" t="inlineStr">
        <is>
          <t>CC-KIN</t>
        </is>
      </c>
      <c r="H21" s="11" t="inlineStr">
        <is>
          <t>01/01/2022</t>
        </is>
      </c>
      <c r="I21" s="11" t="inlineStr"/>
      <c r="J21" s="11" t="inlineStr">
        <is>
          <t>Active</t>
        </is>
      </c>
      <c r="K21" s="11" t="n">
        <v>37.5</v>
      </c>
      <c r="L21" s="11" t="inlineStr">
        <is>
          <t>Practice Receptionist</t>
        </is>
      </c>
      <c r="M21" s="11" t="inlineStr">
        <is>
          <t>Band 4</t>
        </is>
      </c>
      <c r="N21" s="11" t="inlineStr">
        <is>
          <t>Permanent</t>
        </is>
      </c>
      <c r="O21" s="11" t="n">
        <v>1</v>
      </c>
      <c r="P21" s="11" t="inlineStr">
        <is>
          <t>P59823</t>
        </is>
      </c>
      <c r="Q21" s="11" t="inlineStr">
        <is>
          <t>N/A</t>
        </is>
      </c>
      <c r="R21" s="11" t="inlineStr">
        <is>
          <t>N/A</t>
        </is>
      </c>
      <c r="S21" s="11" t="inlineStr">
        <is>
          <t>N/A</t>
        </is>
      </c>
      <c r="T21" s="11" t="inlineStr">
        <is>
          <t>N/A</t>
        </is>
      </c>
      <c r="U21" s="11" t="inlineStr">
        <is>
          <t>N/A</t>
        </is>
      </c>
      <c r="V21" s="11" t="inlineStr">
        <is>
          <t>N/A</t>
        </is>
      </c>
      <c r="W21" s="11" t="inlineStr">
        <is>
          <t>N/A</t>
        </is>
      </c>
      <c r="X21" s="11" t="inlineStr">
        <is>
          <t>N/A</t>
        </is>
      </c>
      <c r="Y21" s="11" t="inlineStr">
        <is>
          <t>N/A</t>
        </is>
      </c>
      <c r="Z21" s="11" t="inlineStr">
        <is>
          <t>N/A</t>
        </is>
      </c>
      <c r="AA21" s="11" t="inlineStr">
        <is>
          <t>N/A</t>
        </is>
      </c>
      <c r="AB21" s="11" t="inlineStr">
        <is>
          <t>N/A</t>
        </is>
      </c>
      <c r="AC21" s="11" t="inlineStr">
        <is>
          <t>N/A</t>
        </is>
      </c>
      <c r="AD21" s="11" t="inlineStr">
        <is>
          <t>N/A</t>
        </is>
      </c>
      <c r="AE21" s="11" t="inlineStr">
        <is>
          <t>N/A</t>
        </is>
      </c>
      <c r="AF21" s="11" t="inlineStr">
        <is>
          <t>N/A</t>
        </is>
      </c>
      <c r="AG21" s="11" t="inlineStr">
        <is>
          <t>N/A</t>
        </is>
      </c>
      <c r="AH21" s="11" t="inlineStr">
        <is>
          <t>N/A</t>
        </is>
      </c>
      <c r="AI21" s="11" t="inlineStr">
        <is>
          <t>Practice Support</t>
        </is>
      </c>
      <c r="AJ21" s="2" t="n"/>
      <c r="AK21" s="2" t="n"/>
      <c r="AL21" s="2" t="n"/>
      <c r="AM21" s="2" t="n"/>
      <c r="AN21" s="2" t="n"/>
      <c r="AO21" s="2" t="n"/>
      <c r="AP21" s="2" t="n"/>
      <c r="AQ21" s="2" t="n"/>
      <c r="AR21" s="2" t="n"/>
      <c r="AS21" s="2" t="n"/>
    </row>
    <row r="22">
      <c r="A22" s="11" t="n">
        <v>10</v>
      </c>
      <c r="B22" s="11" t="inlineStr">
        <is>
          <t>Mr/Mrs</t>
        </is>
      </c>
      <c r="C22" s="11" t="inlineStr">
        <is>
          <t>Forename841</t>
        </is>
      </c>
      <c r="D22" s="11" t="inlineStr">
        <is>
          <t>Surname841</t>
        </is>
      </c>
      <c r="E22" s="11" t="inlineStr">
        <is>
          <t>Elm Park Dental Practice</t>
        </is>
      </c>
      <c r="F22" s="11" t="inlineStr">
        <is>
          <t>Support</t>
        </is>
      </c>
      <c r="G22" s="11" t="inlineStr">
        <is>
          <t>CC-ELM</t>
        </is>
      </c>
      <c r="H22" s="11" t="inlineStr">
        <is>
          <t>01/01/2022</t>
        </is>
      </c>
      <c r="I22" s="11" t="inlineStr"/>
      <c r="J22" s="11" t="inlineStr">
        <is>
          <t>Active</t>
        </is>
      </c>
      <c r="K22" s="11" t="n">
        <v>37.5</v>
      </c>
      <c r="L22" s="11" t="inlineStr">
        <is>
          <t>Treatment Coordinator</t>
        </is>
      </c>
      <c r="M22" s="11" t="inlineStr">
        <is>
          <t>Band 4</t>
        </is>
      </c>
      <c r="N22" s="11" t="inlineStr">
        <is>
          <t>Permanent</t>
        </is>
      </c>
      <c r="O22" s="11" t="n">
        <v>1</v>
      </c>
      <c r="P22" s="11" t="inlineStr">
        <is>
          <t>P97841</t>
        </is>
      </c>
      <c r="Q22" s="11" t="inlineStr">
        <is>
          <t>N/A</t>
        </is>
      </c>
      <c r="R22" s="11" t="inlineStr">
        <is>
          <t>N/A</t>
        </is>
      </c>
      <c r="S22" s="11" t="inlineStr">
        <is>
          <t>N/A</t>
        </is>
      </c>
      <c r="T22" s="11" t="inlineStr">
        <is>
          <t>N/A</t>
        </is>
      </c>
      <c r="U22" s="11" t="inlineStr">
        <is>
          <t>N/A</t>
        </is>
      </c>
      <c r="V22" s="11" t="inlineStr">
        <is>
          <t>N/A</t>
        </is>
      </c>
      <c r="W22" s="11" t="inlineStr">
        <is>
          <t>N/A</t>
        </is>
      </c>
      <c r="X22" s="11" t="inlineStr">
        <is>
          <t>N/A</t>
        </is>
      </c>
      <c r="Y22" s="11" t="inlineStr">
        <is>
          <t>N/A</t>
        </is>
      </c>
      <c r="Z22" s="11" t="inlineStr">
        <is>
          <t>N/A</t>
        </is>
      </c>
      <c r="AA22" s="11" t="inlineStr">
        <is>
          <t>N/A</t>
        </is>
      </c>
      <c r="AB22" s="11" t="inlineStr">
        <is>
          <t>N/A</t>
        </is>
      </c>
      <c r="AC22" s="11" t="inlineStr">
        <is>
          <t>N/A</t>
        </is>
      </c>
      <c r="AD22" s="11" t="inlineStr">
        <is>
          <t>N/A</t>
        </is>
      </c>
      <c r="AE22" s="11" t="inlineStr">
        <is>
          <t>N/A</t>
        </is>
      </c>
      <c r="AF22" s="11" t="inlineStr">
        <is>
          <t>N/A</t>
        </is>
      </c>
      <c r="AG22" s="11" t="inlineStr">
        <is>
          <t>N/A</t>
        </is>
      </c>
      <c r="AH22" s="11" t="inlineStr">
        <is>
          <t>N/A</t>
        </is>
      </c>
      <c r="AI22" s="11" t="inlineStr">
        <is>
          <t>Practice Support</t>
        </is>
      </c>
      <c r="AJ22" s="2" t="n"/>
      <c r="AK22" s="2" t="n"/>
      <c r="AL22" s="2" t="n"/>
      <c r="AM22" s="2" t="n"/>
      <c r="AN22" s="2" t="n"/>
      <c r="AO22" s="2" t="n"/>
      <c r="AP22" s="2" t="n"/>
      <c r="AQ22" s="2" t="n"/>
      <c r="AR22" s="2" t="n"/>
      <c r="AS22" s="2" t="n"/>
    </row>
    <row r="23">
      <c r="A23" s="11" t="n">
        <v>11</v>
      </c>
      <c r="B23" s="11" t="inlineStr">
        <is>
          <t>Mr/Mrs</t>
        </is>
      </c>
      <c r="C23" s="11" t="inlineStr">
        <is>
          <t>Forename431</t>
        </is>
      </c>
      <c r="D23" s="11" t="inlineStr">
        <is>
          <t>Surname431</t>
        </is>
      </c>
      <c r="E23" s="11" t="inlineStr">
        <is>
          <t>Elm Park Dental Practice</t>
        </is>
      </c>
      <c r="F23" s="11" t="inlineStr">
        <is>
          <t>Support</t>
        </is>
      </c>
      <c r="G23" s="11" t="inlineStr">
        <is>
          <t>CC-ELM</t>
        </is>
      </c>
      <c r="H23" s="11" t="inlineStr">
        <is>
          <t>01/01/2022</t>
        </is>
      </c>
      <c r="I23" s="11" t="inlineStr"/>
      <c r="J23" s="11" t="inlineStr">
        <is>
          <t>Active</t>
        </is>
      </c>
      <c r="K23" s="11" t="n">
        <v>37.5</v>
      </c>
      <c r="L23" s="11" t="inlineStr">
        <is>
          <t>Practice Administrator</t>
        </is>
      </c>
      <c r="M23" s="11" t="inlineStr">
        <is>
          <t>Band 4</t>
        </is>
      </c>
      <c r="N23" s="11" t="inlineStr">
        <is>
          <t>Permanent</t>
        </is>
      </c>
      <c r="O23" s="11" t="n">
        <v>1</v>
      </c>
      <c r="P23" s="11" t="inlineStr">
        <is>
          <t>P32431</t>
        </is>
      </c>
      <c r="Q23" s="11" t="inlineStr">
        <is>
          <t>N/A</t>
        </is>
      </c>
      <c r="R23" s="11" t="inlineStr">
        <is>
          <t>N/A</t>
        </is>
      </c>
      <c r="S23" s="11" t="inlineStr">
        <is>
          <t>N/A</t>
        </is>
      </c>
      <c r="T23" s="11" t="inlineStr">
        <is>
          <t>N/A</t>
        </is>
      </c>
      <c r="U23" s="11" t="inlineStr">
        <is>
          <t>N/A</t>
        </is>
      </c>
      <c r="V23" s="11" t="inlineStr">
        <is>
          <t>N/A</t>
        </is>
      </c>
      <c r="W23" s="11" t="inlineStr">
        <is>
          <t>N/A</t>
        </is>
      </c>
      <c r="X23" s="11" t="inlineStr">
        <is>
          <t>N/A</t>
        </is>
      </c>
      <c r="Y23" s="11" t="inlineStr">
        <is>
          <t>N/A</t>
        </is>
      </c>
      <c r="Z23" s="11" t="inlineStr">
        <is>
          <t>N/A</t>
        </is>
      </c>
      <c r="AA23" s="11" t="inlineStr">
        <is>
          <t>N/A</t>
        </is>
      </c>
      <c r="AB23" s="11" t="inlineStr">
        <is>
          <t>N/A</t>
        </is>
      </c>
      <c r="AC23" s="11" t="inlineStr">
        <is>
          <t>N/A</t>
        </is>
      </c>
      <c r="AD23" s="11" t="inlineStr">
        <is>
          <t>N/A</t>
        </is>
      </c>
      <c r="AE23" s="11" t="inlineStr">
        <is>
          <t>N/A</t>
        </is>
      </c>
      <c r="AF23" s="11" t="inlineStr">
        <is>
          <t>N/A</t>
        </is>
      </c>
      <c r="AG23" s="11" t="inlineStr">
        <is>
          <t>N/A</t>
        </is>
      </c>
      <c r="AH23" s="11" t="inlineStr">
        <is>
          <t>N/A</t>
        </is>
      </c>
      <c r="AI23" s="11" t="inlineStr">
        <is>
          <t>Practice Support</t>
        </is>
      </c>
      <c r="AJ23" s="2" t="n"/>
      <c r="AK23" s="2" t="n"/>
      <c r="AL23" s="2" t="n"/>
      <c r="AM23" s="2" t="n"/>
      <c r="AN23" s="2" t="n"/>
      <c r="AO23" s="2" t="n"/>
      <c r="AP23" s="2" t="n"/>
      <c r="AQ23" s="2" t="n"/>
      <c r="AR23" s="2" t="n"/>
      <c r="AS23" s="2" t="n"/>
    </row>
    <row r="24">
      <c r="A24" s="11" t="n">
        <v>12</v>
      </c>
      <c r="B24" s="11" t="inlineStr">
        <is>
          <t>Mr/Mrs</t>
        </is>
      </c>
      <c r="C24" s="11" t="inlineStr">
        <is>
          <t>Forename886</t>
        </is>
      </c>
      <c r="D24" s="11" t="inlineStr">
        <is>
          <t>Surname886</t>
        </is>
      </c>
      <c r="E24" s="11" t="inlineStr">
        <is>
          <t>Hakim Group Head Office</t>
        </is>
      </c>
      <c r="F24" s="11" t="inlineStr">
        <is>
          <t>Support</t>
        </is>
      </c>
      <c r="G24" s="11" t="inlineStr">
        <is>
          <t>CC-HAK</t>
        </is>
      </c>
      <c r="H24" s="11" t="inlineStr">
        <is>
          <t>01/01/2022</t>
        </is>
      </c>
      <c r="I24" s="11" t="inlineStr"/>
      <c r="J24" s="11" t="inlineStr">
        <is>
          <t>Active</t>
        </is>
      </c>
      <c r="K24" s="11" t="n">
        <v>37.5</v>
      </c>
      <c r="L24" s="11" t="inlineStr">
        <is>
          <t>HR Business Partner</t>
        </is>
      </c>
      <c r="M24" s="11" t="inlineStr">
        <is>
          <t>Band 4</t>
        </is>
      </c>
      <c r="N24" s="11" t="inlineStr">
        <is>
          <t>Permanent</t>
        </is>
      </c>
      <c r="O24" s="11" t="n">
        <v>1</v>
      </c>
      <c r="P24" s="11" t="inlineStr">
        <is>
          <t>P93886</t>
        </is>
      </c>
      <c r="Q24" s="11" t="inlineStr">
        <is>
          <t>N/A</t>
        </is>
      </c>
      <c r="R24" s="11" t="inlineStr">
        <is>
          <t>N/A</t>
        </is>
      </c>
      <c r="S24" s="11" t="inlineStr">
        <is>
          <t>N/A</t>
        </is>
      </c>
      <c r="T24" s="11" t="inlineStr">
        <is>
          <t>N/A</t>
        </is>
      </c>
      <c r="U24" s="11" t="inlineStr">
        <is>
          <t>N/A</t>
        </is>
      </c>
      <c r="V24" s="11" t="inlineStr">
        <is>
          <t>N/A</t>
        </is>
      </c>
      <c r="W24" s="11" t="inlineStr">
        <is>
          <t>N/A</t>
        </is>
      </c>
      <c r="X24" s="11" t="inlineStr">
        <is>
          <t>N/A</t>
        </is>
      </c>
      <c r="Y24" s="11" t="inlineStr">
        <is>
          <t>N/A</t>
        </is>
      </c>
      <c r="Z24" s="11" t="inlineStr">
        <is>
          <t>N/A</t>
        </is>
      </c>
      <c r="AA24" s="11" t="inlineStr">
        <is>
          <t>N/A</t>
        </is>
      </c>
      <c r="AB24" s="11" t="inlineStr">
        <is>
          <t>N/A</t>
        </is>
      </c>
      <c r="AC24" s="11" t="inlineStr">
        <is>
          <t>N/A</t>
        </is>
      </c>
      <c r="AD24" s="11" t="inlineStr">
        <is>
          <t>N/A</t>
        </is>
      </c>
      <c r="AE24" s="11" t="inlineStr">
        <is>
          <t>N/A</t>
        </is>
      </c>
      <c r="AF24" s="11" t="inlineStr">
        <is>
          <t>N/A</t>
        </is>
      </c>
      <c r="AG24" s="11" t="inlineStr">
        <is>
          <t>N/A</t>
        </is>
      </c>
      <c r="AH24" s="11" t="inlineStr">
        <is>
          <t>N/A</t>
        </is>
      </c>
      <c r="AI24" s="11" t="inlineStr">
        <is>
          <t>HGHQ</t>
        </is>
      </c>
      <c r="AJ24" s="2" t="n"/>
      <c r="AK24" s="2" t="n"/>
      <c r="AL24" s="2" t="n"/>
      <c r="AM24" s="2" t="n"/>
      <c r="AN24" s="2" t="n"/>
      <c r="AO24" s="2" t="n"/>
      <c r="AP24" s="2" t="n"/>
      <c r="AQ24" s="2" t="n"/>
      <c r="AR24" s="2" t="n"/>
      <c r="AS24" s="2" t="n"/>
    </row>
    <row r="25">
      <c r="A25" s="11" t="n">
        <v>13</v>
      </c>
      <c r="B25" s="11" t="inlineStr">
        <is>
          <t>Mr/Mrs</t>
        </is>
      </c>
      <c r="C25" s="11" t="inlineStr">
        <is>
          <t>Forename331</t>
        </is>
      </c>
      <c r="D25" s="11" t="inlineStr">
        <is>
          <t>Surname331</t>
        </is>
      </c>
      <c r="E25" s="11" t="inlineStr">
        <is>
          <t>Hakim Group Head Office</t>
        </is>
      </c>
      <c r="F25" s="11" t="inlineStr">
        <is>
          <t>Support</t>
        </is>
      </c>
      <c r="G25" s="11" t="inlineStr">
        <is>
          <t>CC-HAK</t>
        </is>
      </c>
      <c r="H25" s="11" t="inlineStr">
        <is>
          <t>01/01/2022</t>
        </is>
      </c>
      <c r="I25" s="11" t="inlineStr"/>
      <c r="J25" s="11" t="inlineStr">
        <is>
          <t>Active</t>
        </is>
      </c>
      <c r="K25" s="11" t="n">
        <v>37.5</v>
      </c>
      <c r="L25" s="11" t="inlineStr">
        <is>
          <t>HR Business Partner</t>
        </is>
      </c>
      <c r="M25" s="11" t="inlineStr">
        <is>
          <t>Band 4</t>
        </is>
      </c>
      <c r="N25" s="11" t="inlineStr">
        <is>
          <t>Permanent</t>
        </is>
      </c>
      <c r="O25" s="11" t="n">
        <v>1</v>
      </c>
      <c r="P25" s="11" t="inlineStr">
        <is>
          <t>P17331</t>
        </is>
      </c>
      <c r="Q25" s="11" t="inlineStr">
        <is>
          <t>N/A</t>
        </is>
      </c>
      <c r="R25" s="11" t="inlineStr">
        <is>
          <t>N/A</t>
        </is>
      </c>
      <c r="S25" s="11" t="inlineStr">
        <is>
          <t>N/A</t>
        </is>
      </c>
      <c r="T25" s="11" t="inlineStr">
        <is>
          <t>N/A</t>
        </is>
      </c>
      <c r="U25" s="11" t="inlineStr">
        <is>
          <t>N/A</t>
        </is>
      </c>
      <c r="V25" s="11" t="inlineStr">
        <is>
          <t>N/A</t>
        </is>
      </c>
      <c r="W25" s="11" t="inlineStr">
        <is>
          <t>N/A</t>
        </is>
      </c>
      <c r="X25" s="11" t="inlineStr">
        <is>
          <t>N/A</t>
        </is>
      </c>
      <c r="Y25" s="11" t="inlineStr">
        <is>
          <t>N/A</t>
        </is>
      </c>
      <c r="Z25" s="11" t="inlineStr">
        <is>
          <t>N/A</t>
        </is>
      </c>
      <c r="AA25" s="11" t="inlineStr">
        <is>
          <t>N/A</t>
        </is>
      </c>
      <c r="AB25" s="11" t="inlineStr">
        <is>
          <t>N/A</t>
        </is>
      </c>
      <c r="AC25" s="11" t="inlineStr">
        <is>
          <t>N/A</t>
        </is>
      </c>
      <c r="AD25" s="11" t="inlineStr">
        <is>
          <t>N/A</t>
        </is>
      </c>
      <c r="AE25" s="11" t="inlineStr">
        <is>
          <t>N/A</t>
        </is>
      </c>
      <c r="AF25" s="11" t="inlineStr">
        <is>
          <t>N/A</t>
        </is>
      </c>
      <c r="AG25" s="11" t="inlineStr">
        <is>
          <t>N/A</t>
        </is>
      </c>
      <c r="AH25" s="11" t="inlineStr">
        <is>
          <t>N/A</t>
        </is>
      </c>
      <c r="AI25" s="11" t="inlineStr">
        <is>
          <t>HGHQ</t>
        </is>
      </c>
      <c r="AJ25" s="2" t="n"/>
      <c r="AK25" s="2" t="n"/>
      <c r="AL25" s="2" t="n"/>
      <c r="AM25" s="2" t="n"/>
      <c r="AN25" s="2" t="n"/>
      <c r="AO25" s="2" t="n"/>
      <c r="AP25" s="2" t="n"/>
      <c r="AQ25" s="2" t="n"/>
      <c r="AR25" s="2" t="n"/>
      <c r="AS25" s="2" t="n"/>
    </row>
    <row r="26">
      <c r="A26" s="11" t="n">
        <v>14</v>
      </c>
      <c r="B26" s="11" t="inlineStr">
        <is>
          <t>Mr/Mrs</t>
        </is>
      </c>
      <c r="C26" s="11" t="inlineStr">
        <is>
          <t>Forename341</t>
        </is>
      </c>
      <c r="D26" s="11" t="inlineStr">
        <is>
          <t>Surname341</t>
        </is>
      </c>
      <c r="E26" s="11" t="inlineStr">
        <is>
          <t>Kings Road Dental Practice</t>
        </is>
      </c>
      <c r="F26" s="11" t="inlineStr">
        <is>
          <t>Support</t>
        </is>
      </c>
      <c r="G26" s="11" t="inlineStr">
        <is>
          <t>CC-KIN</t>
        </is>
      </c>
      <c r="H26" s="11" t="inlineStr">
        <is>
          <t>01/01/2022</t>
        </is>
      </c>
      <c r="I26" s="11" t="inlineStr"/>
      <c r="J26" s="11" t="inlineStr">
        <is>
          <t>Active</t>
        </is>
      </c>
      <c r="K26" s="11" t="n">
        <v>37.5</v>
      </c>
      <c r="L26" s="11" t="inlineStr">
        <is>
          <t>Clinical Director</t>
        </is>
      </c>
      <c r="M26" s="11" t="inlineStr">
        <is>
          <t>Band 4</t>
        </is>
      </c>
      <c r="N26" s="11" t="inlineStr">
        <is>
          <t>Permanent</t>
        </is>
      </c>
      <c r="O26" s="11" t="n">
        <v>1</v>
      </c>
      <c r="P26" s="11" t="inlineStr">
        <is>
          <t>P84341</t>
        </is>
      </c>
      <c r="Q26" s="11" t="inlineStr">
        <is>
          <t>N/A</t>
        </is>
      </c>
      <c r="R26" s="11" t="inlineStr">
        <is>
          <t>N/A</t>
        </is>
      </c>
      <c r="S26" s="11" t="inlineStr">
        <is>
          <t>N/A</t>
        </is>
      </c>
      <c r="T26" s="11" t="inlineStr">
        <is>
          <t>N/A</t>
        </is>
      </c>
      <c r="U26" s="11" t="inlineStr">
        <is>
          <t>N/A</t>
        </is>
      </c>
      <c r="V26" s="11" t="inlineStr">
        <is>
          <t>N/A</t>
        </is>
      </c>
      <c r="W26" s="11" t="inlineStr">
        <is>
          <t>N/A</t>
        </is>
      </c>
      <c r="X26" s="11" t="inlineStr">
        <is>
          <t>N/A</t>
        </is>
      </c>
      <c r="Y26" s="11" t="inlineStr">
        <is>
          <t>N/A</t>
        </is>
      </c>
      <c r="Z26" s="11" t="inlineStr">
        <is>
          <t>N/A</t>
        </is>
      </c>
      <c r="AA26" s="11" t="inlineStr">
        <is>
          <t>N/A</t>
        </is>
      </c>
      <c r="AB26" s="11" t="inlineStr">
        <is>
          <t>N/A</t>
        </is>
      </c>
      <c r="AC26" s="11" t="inlineStr">
        <is>
          <t>N/A</t>
        </is>
      </c>
      <c r="AD26" s="11" t="inlineStr">
        <is>
          <t>N/A</t>
        </is>
      </c>
      <c r="AE26" s="11" t="inlineStr">
        <is>
          <t>N/A</t>
        </is>
      </c>
      <c r="AF26" s="11" t="inlineStr">
        <is>
          <t>N/A</t>
        </is>
      </c>
      <c r="AG26" s="11" t="inlineStr">
        <is>
          <t>N/A</t>
        </is>
      </c>
      <c r="AH26" s="11" t="inlineStr">
        <is>
          <t>N/A</t>
        </is>
      </c>
      <c r="AI26" s="11" t="inlineStr">
        <is>
          <t>Practice Partner</t>
        </is>
      </c>
      <c r="AJ26" s="2" t="n"/>
      <c r="AK26" s="2" t="n"/>
      <c r="AL26" s="2" t="n"/>
      <c r="AM26" s="2" t="n"/>
      <c r="AN26" s="2" t="n"/>
      <c r="AO26" s="2" t="n"/>
      <c r="AP26" s="2" t="n"/>
      <c r="AQ26" s="2" t="n"/>
      <c r="AR26" s="2" t="n"/>
      <c r="AS26" s="2" t="n"/>
    </row>
    <row r="27">
      <c r="A27" s="11" t="n">
        <v>15</v>
      </c>
      <c r="B27" s="11" t="inlineStr">
        <is>
          <t>Mr/Mrs</t>
        </is>
      </c>
      <c r="C27" s="11" t="inlineStr">
        <is>
          <t>Forename142</t>
        </is>
      </c>
      <c r="D27" s="11" t="inlineStr">
        <is>
          <t>Surname142</t>
        </is>
      </c>
      <c r="E27" s="11" t="inlineStr">
        <is>
          <t>Elm Park Dental Practice</t>
        </is>
      </c>
      <c r="F27" s="11" t="inlineStr">
        <is>
          <t>Clinical</t>
        </is>
      </c>
      <c r="G27" s="11" t="inlineStr">
        <is>
          <t>CC-ELM</t>
        </is>
      </c>
      <c r="H27" s="11" t="inlineStr">
        <is>
          <t>01/01/2022</t>
        </is>
      </c>
      <c r="I27" s="11" t="inlineStr"/>
      <c r="J27" s="11" t="inlineStr">
        <is>
          <t>Active</t>
        </is>
      </c>
      <c r="K27" s="11" t="n">
        <v>37.5</v>
      </c>
      <c r="L27" s="11" t="inlineStr">
        <is>
          <t>Orthodontist</t>
        </is>
      </c>
      <c r="M27" s="11" t="inlineStr">
        <is>
          <t>Band 4</t>
        </is>
      </c>
      <c r="N27" s="11" t="inlineStr">
        <is>
          <t>Permanent</t>
        </is>
      </c>
      <c r="O27" s="11" t="n">
        <v>1</v>
      </c>
      <c r="P27" s="11" t="inlineStr">
        <is>
          <t>P70142</t>
        </is>
      </c>
      <c r="Q27" s="11" t="inlineStr">
        <is>
          <t>N/A</t>
        </is>
      </c>
      <c r="R27" s="11" t="inlineStr">
        <is>
          <t>N/A</t>
        </is>
      </c>
      <c r="S27" s="11" t="inlineStr">
        <is>
          <t>N/A</t>
        </is>
      </c>
      <c r="T27" s="11" t="inlineStr">
        <is>
          <t>N/A</t>
        </is>
      </c>
      <c r="U27" s="11" t="inlineStr">
        <is>
          <t>N/A</t>
        </is>
      </c>
      <c r="V27" s="11" t="inlineStr">
        <is>
          <t>N/A</t>
        </is>
      </c>
      <c r="W27" s="11" t="inlineStr">
        <is>
          <t>N/A</t>
        </is>
      </c>
      <c r="X27" s="11" t="inlineStr">
        <is>
          <t>N/A</t>
        </is>
      </c>
      <c r="Y27" s="11" t="inlineStr">
        <is>
          <t>N/A</t>
        </is>
      </c>
      <c r="Z27" s="11" t="inlineStr">
        <is>
          <t>N/A</t>
        </is>
      </c>
      <c r="AA27" s="11" t="inlineStr">
        <is>
          <t>N/A</t>
        </is>
      </c>
      <c r="AB27" s="11" t="inlineStr">
        <is>
          <t>N/A</t>
        </is>
      </c>
      <c r="AC27" s="11" t="inlineStr">
        <is>
          <t>N/A</t>
        </is>
      </c>
      <c r="AD27" s="11" t="inlineStr">
        <is>
          <t>N/A</t>
        </is>
      </c>
      <c r="AE27" s="11" t="inlineStr">
        <is>
          <t>N/A</t>
        </is>
      </c>
      <c r="AF27" s="11" t="inlineStr">
        <is>
          <t>N/A</t>
        </is>
      </c>
      <c r="AG27" s="11" t="inlineStr">
        <is>
          <t>N/A</t>
        </is>
      </c>
      <c r="AH27" s="11" t="inlineStr">
        <is>
          <t>N/A</t>
        </is>
      </c>
      <c r="AI27" s="11" t="inlineStr">
        <is>
          <t>Practice Clinical</t>
        </is>
      </c>
      <c r="AJ27" s="2" t="n"/>
      <c r="AK27" s="2" t="n"/>
      <c r="AL27" s="2" t="n"/>
      <c r="AM27" s="2" t="n"/>
      <c r="AN27" s="2" t="n"/>
      <c r="AO27" s="2" t="n"/>
      <c r="AP27" s="2" t="n"/>
      <c r="AQ27" s="2" t="n"/>
      <c r="AR27" s="2" t="n"/>
      <c r="AS27" s="2" t="n"/>
    </row>
    <row r="28">
      <c r="A28" s="11" t="n">
        <v>16</v>
      </c>
      <c r="B28" s="11" t="inlineStr">
        <is>
          <t>Mr/Mrs</t>
        </is>
      </c>
      <c r="C28" s="11" t="inlineStr">
        <is>
          <t>Forename622</t>
        </is>
      </c>
      <c r="D28" s="11" t="inlineStr">
        <is>
          <t>Surname622</t>
        </is>
      </c>
      <c r="E28" s="11" t="inlineStr">
        <is>
          <t>Kings Road Dental Practice</t>
        </is>
      </c>
      <c r="F28" s="11" t="inlineStr">
        <is>
          <t>Clinical</t>
        </is>
      </c>
      <c r="G28" s="11" t="inlineStr">
        <is>
          <t>CC-KIN</t>
        </is>
      </c>
      <c r="H28" s="11" t="inlineStr">
        <is>
          <t>01/01/2022</t>
        </is>
      </c>
      <c r="I28" s="11" t="inlineStr"/>
      <c r="J28" s="11" t="inlineStr">
        <is>
          <t>Active</t>
        </is>
      </c>
      <c r="K28" s="11" t="n">
        <v>37.5</v>
      </c>
      <c r="L28" s="11" t="inlineStr">
        <is>
          <t>Dental Hygienist</t>
        </is>
      </c>
      <c r="M28" s="11" t="inlineStr">
        <is>
          <t>Band 4</t>
        </is>
      </c>
      <c r="N28" s="11" t="inlineStr">
        <is>
          <t>Permanent</t>
        </is>
      </c>
      <c r="O28" s="11" t="n">
        <v>1</v>
      </c>
      <c r="P28" s="11" t="inlineStr">
        <is>
          <t>P86622</t>
        </is>
      </c>
      <c r="Q28" s="11" t="inlineStr">
        <is>
          <t>N/A</t>
        </is>
      </c>
      <c r="R28" s="11" t="inlineStr">
        <is>
          <t>N/A</t>
        </is>
      </c>
      <c r="S28" s="11" t="inlineStr">
        <is>
          <t>N/A</t>
        </is>
      </c>
      <c r="T28" s="11" t="inlineStr">
        <is>
          <t>N/A</t>
        </is>
      </c>
      <c r="U28" s="11" t="inlineStr">
        <is>
          <t>N/A</t>
        </is>
      </c>
      <c r="V28" s="11" t="inlineStr">
        <is>
          <t>N/A</t>
        </is>
      </c>
      <c r="W28" s="11" t="inlineStr">
        <is>
          <t>N/A</t>
        </is>
      </c>
      <c r="X28" s="11" t="inlineStr">
        <is>
          <t>N/A</t>
        </is>
      </c>
      <c r="Y28" s="11" t="inlineStr">
        <is>
          <t>N/A</t>
        </is>
      </c>
      <c r="Z28" s="11" t="inlineStr">
        <is>
          <t>N/A</t>
        </is>
      </c>
      <c r="AA28" s="11" t="inlineStr">
        <is>
          <t>N/A</t>
        </is>
      </c>
      <c r="AB28" s="11" t="inlineStr">
        <is>
          <t>N/A</t>
        </is>
      </c>
      <c r="AC28" s="11" t="inlineStr">
        <is>
          <t>N/A</t>
        </is>
      </c>
      <c r="AD28" s="11" t="inlineStr">
        <is>
          <t>N/A</t>
        </is>
      </c>
      <c r="AE28" s="11" t="inlineStr">
        <is>
          <t>N/A</t>
        </is>
      </c>
      <c r="AF28" s="11" t="inlineStr">
        <is>
          <t>N/A</t>
        </is>
      </c>
      <c r="AG28" s="11" t="inlineStr">
        <is>
          <t>N/A</t>
        </is>
      </c>
      <c r="AH28" s="11" t="inlineStr">
        <is>
          <t>N/A</t>
        </is>
      </c>
      <c r="AI28" s="11" t="inlineStr">
        <is>
          <t>Practice Clinical</t>
        </is>
      </c>
      <c r="AJ28" s="2" t="n"/>
      <c r="AK28" s="2" t="n"/>
      <c r="AL28" s="2" t="n"/>
      <c r="AM28" s="2" t="n"/>
      <c r="AN28" s="2" t="n"/>
      <c r="AO28" s="2" t="n"/>
      <c r="AP28" s="2" t="n"/>
      <c r="AQ28" s="2" t="n"/>
      <c r="AR28" s="2" t="n"/>
      <c r="AS28" s="2" t="n"/>
    </row>
    <row r="29">
      <c r="A29" s="11" t="n">
        <v>17</v>
      </c>
      <c r="B29" s="11" t="inlineStr">
        <is>
          <t>Mr/Mrs</t>
        </is>
      </c>
      <c r="C29" s="11" t="inlineStr">
        <is>
          <t>Forename131</t>
        </is>
      </c>
      <c r="D29" s="11" t="inlineStr">
        <is>
          <t>Surname131</t>
        </is>
      </c>
      <c r="E29" s="11" t="inlineStr">
        <is>
          <t>Oakfield Dental Practice</t>
        </is>
      </c>
      <c r="F29" s="11" t="inlineStr">
        <is>
          <t>Support</t>
        </is>
      </c>
      <c r="G29" s="11" t="inlineStr">
        <is>
          <t>CC-OAK</t>
        </is>
      </c>
      <c r="H29" s="11" t="inlineStr">
        <is>
          <t>01/01/2022</t>
        </is>
      </c>
      <c r="I29" s="11" t="inlineStr"/>
      <c r="J29" s="11" t="inlineStr">
        <is>
          <t>Active</t>
        </is>
      </c>
      <c r="K29" s="11" t="n">
        <v>37.5</v>
      </c>
      <c r="L29" s="11" t="inlineStr">
        <is>
          <t>Clinical Director</t>
        </is>
      </c>
      <c r="M29" s="11" t="inlineStr">
        <is>
          <t>Band 4</t>
        </is>
      </c>
      <c r="N29" s="11" t="inlineStr">
        <is>
          <t>Permanent</t>
        </is>
      </c>
      <c r="O29" s="11" t="n">
        <v>1</v>
      </c>
      <c r="P29" s="11" t="inlineStr">
        <is>
          <t>P28131</t>
        </is>
      </c>
      <c r="Q29" s="11" t="inlineStr">
        <is>
          <t>N/A</t>
        </is>
      </c>
      <c r="R29" s="11" t="inlineStr">
        <is>
          <t>N/A</t>
        </is>
      </c>
      <c r="S29" s="11" t="inlineStr">
        <is>
          <t>N/A</t>
        </is>
      </c>
      <c r="T29" s="11" t="inlineStr">
        <is>
          <t>N/A</t>
        </is>
      </c>
      <c r="U29" s="11" t="inlineStr">
        <is>
          <t>N/A</t>
        </is>
      </c>
      <c r="V29" s="11" t="inlineStr">
        <is>
          <t>N/A</t>
        </is>
      </c>
      <c r="W29" s="11" t="inlineStr">
        <is>
          <t>N/A</t>
        </is>
      </c>
      <c r="X29" s="11" t="inlineStr">
        <is>
          <t>N/A</t>
        </is>
      </c>
      <c r="Y29" s="11" t="inlineStr">
        <is>
          <t>N/A</t>
        </is>
      </c>
      <c r="Z29" s="11" t="inlineStr">
        <is>
          <t>N/A</t>
        </is>
      </c>
      <c r="AA29" s="11" t="inlineStr">
        <is>
          <t>N/A</t>
        </is>
      </c>
      <c r="AB29" s="11" t="inlineStr">
        <is>
          <t>N/A</t>
        </is>
      </c>
      <c r="AC29" s="11" t="inlineStr">
        <is>
          <t>N/A</t>
        </is>
      </c>
      <c r="AD29" s="11" t="inlineStr">
        <is>
          <t>N/A</t>
        </is>
      </c>
      <c r="AE29" s="11" t="inlineStr">
        <is>
          <t>N/A</t>
        </is>
      </c>
      <c r="AF29" s="11" t="inlineStr">
        <is>
          <t>N/A</t>
        </is>
      </c>
      <c r="AG29" s="11" t="inlineStr">
        <is>
          <t>N/A</t>
        </is>
      </c>
      <c r="AH29" s="11" t="inlineStr">
        <is>
          <t>N/A</t>
        </is>
      </c>
      <c r="AI29" s="11" t="inlineStr">
        <is>
          <t>Practice Partner</t>
        </is>
      </c>
      <c r="AJ29" s="2" t="n"/>
      <c r="AK29" s="2" t="n"/>
      <c r="AL29" s="2" t="n"/>
      <c r="AM29" s="2" t="n"/>
      <c r="AN29" s="2" t="n"/>
      <c r="AO29" s="2" t="n"/>
      <c r="AP29" s="2" t="n"/>
      <c r="AQ29" s="2" t="n"/>
      <c r="AR29" s="2" t="n"/>
      <c r="AS29" s="2" t="n"/>
    </row>
    <row r="30">
      <c r="A30" s="11" t="n">
        <v>18</v>
      </c>
      <c r="B30" s="11" t="inlineStr">
        <is>
          <t>Mr/Mrs</t>
        </is>
      </c>
      <c r="C30" s="11" t="inlineStr">
        <is>
          <t>Forename371</t>
        </is>
      </c>
      <c r="D30" s="11" t="inlineStr">
        <is>
          <t>Surname371</t>
        </is>
      </c>
      <c r="E30" s="11" t="inlineStr">
        <is>
          <t>Hakim Group Head Office</t>
        </is>
      </c>
      <c r="F30" s="11" t="inlineStr">
        <is>
          <t>Support</t>
        </is>
      </c>
      <c r="G30" s="11" t="inlineStr">
        <is>
          <t>CC-HAK</t>
        </is>
      </c>
      <c r="H30" s="11" t="inlineStr">
        <is>
          <t>01/01/2022</t>
        </is>
      </c>
      <c r="I30" s="11" t="inlineStr"/>
      <c r="J30" s="11" t="inlineStr">
        <is>
          <t>Active</t>
        </is>
      </c>
      <c r="K30" s="11" t="n">
        <v>37.5</v>
      </c>
      <c r="L30" s="11" t="inlineStr">
        <is>
          <t>IT Support Engineer</t>
        </is>
      </c>
      <c r="M30" s="11" t="inlineStr">
        <is>
          <t>Band 4</t>
        </is>
      </c>
      <c r="N30" s="11" t="inlineStr">
        <is>
          <t>Permanent</t>
        </is>
      </c>
      <c r="O30" s="11" t="n">
        <v>1</v>
      </c>
      <c r="P30" s="11" t="inlineStr">
        <is>
          <t>P24371</t>
        </is>
      </c>
      <c r="Q30" s="11" t="inlineStr">
        <is>
          <t>N/A</t>
        </is>
      </c>
      <c r="R30" s="11" t="inlineStr">
        <is>
          <t>N/A</t>
        </is>
      </c>
      <c r="S30" s="11" t="inlineStr">
        <is>
          <t>N/A</t>
        </is>
      </c>
      <c r="T30" s="11" t="inlineStr">
        <is>
          <t>N/A</t>
        </is>
      </c>
      <c r="U30" s="11" t="inlineStr">
        <is>
          <t>N/A</t>
        </is>
      </c>
      <c r="V30" s="11" t="inlineStr">
        <is>
          <t>N/A</t>
        </is>
      </c>
      <c r="W30" s="11" t="inlineStr">
        <is>
          <t>N/A</t>
        </is>
      </c>
      <c r="X30" s="11" t="inlineStr">
        <is>
          <t>N/A</t>
        </is>
      </c>
      <c r="Y30" s="11" t="inlineStr">
        <is>
          <t>N/A</t>
        </is>
      </c>
      <c r="Z30" s="11" t="inlineStr">
        <is>
          <t>N/A</t>
        </is>
      </c>
      <c r="AA30" s="11" t="inlineStr">
        <is>
          <t>N/A</t>
        </is>
      </c>
      <c r="AB30" s="11" t="inlineStr">
        <is>
          <t>N/A</t>
        </is>
      </c>
      <c r="AC30" s="11" t="inlineStr">
        <is>
          <t>N/A</t>
        </is>
      </c>
      <c r="AD30" s="11" t="inlineStr">
        <is>
          <t>N/A</t>
        </is>
      </c>
      <c r="AE30" s="11" t="inlineStr">
        <is>
          <t>N/A</t>
        </is>
      </c>
      <c r="AF30" s="11" t="inlineStr">
        <is>
          <t>N/A</t>
        </is>
      </c>
      <c r="AG30" s="11" t="inlineStr">
        <is>
          <t>N/A</t>
        </is>
      </c>
      <c r="AH30" s="11" t="inlineStr">
        <is>
          <t>N/A</t>
        </is>
      </c>
      <c r="AI30" s="11" t="inlineStr">
        <is>
          <t>HGHQ</t>
        </is>
      </c>
      <c r="AJ30" s="2" t="n"/>
      <c r="AK30" s="2" t="n"/>
      <c r="AL30" s="2" t="n"/>
      <c r="AM30" s="2" t="n"/>
      <c r="AN30" s="2" t="n"/>
      <c r="AO30" s="2" t="n"/>
      <c r="AP30" s="2" t="n"/>
      <c r="AQ30" s="2" t="n"/>
      <c r="AR30" s="2" t="n"/>
      <c r="AS30" s="2" t="n"/>
    </row>
    <row r="31">
      <c r="A31" s="11" t="n">
        <v>19</v>
      </c>
      <c r="B31" s="11" t="inlineStr">
        <is>
          <t>Mr/Mrs</t>
        </is>
      </c>
      <c r="C31" s="11" t="inlineStr">
        <is>
          <t>Forename019</t>
        </is>
      </c>
      <c r="D31" s="11" t="inlineStr">
        <is>
          <t>Surname019</t>
        </is>
      </c>
      <c r="E31" s="11" t="inlineStr">
        <is>
          <t>Kings Road Dental Practice</t>
        </is>
      </c>
      <c r="F31" s="11" t="inlineStr">
        <is>
          <t>Support</t>
        </is>
      </c>
      <c r="G31" s="11" t="inlineStr">
        <is>
          <t>CC-KIN</t>
        </is>
      </c>
      <c r="H31" s="11" t="inlineStr">
        <is>
          <t>01/01/2022</t>
        </is>
      </c>
      <c r="I31" s="11" t="inlineStr"/>
      <c r="J31" s="11" t="inlineStr">
        <is>
          <t>Active</t>
        </is>
      </c>
      <c r="K31" s="11" t="n">
        <v>37.5</v>
      </c>
      <c r="L31" s="11" t="inlineStr">
        <is>
          <t>Practice Administrator</t>
        </is>
      </c>
      <c r="M31" s="11" t="inlineStr">
        <is>
          <t>Band 4</t>
        </is>
      </c>
      <c r="N31" s="11" t="inlineStr">
        <is>
          <t>Permanent</t>
        </is>
      </c>
      <c r="O31" s="11" t="n">
        <v>1</v>
      </c>
      <c r="P31" s="11" t="inlineStr">
        <is>
          <t>P60019</t>
        </is>
      </c>
      <c r="Q31" s="11" t="inlineStr">
        <is>
          <t>N/A</t>
        </is>
      </c>
      <c r="R31" s="11" t="inlineStr">
        <is>
          <t>N/A</t>
        </is>
      </c>
      <c r="S31" s="11" t="inlineStr">
        <is>
          <t>N/A</t>
        </is>
      </c>
      <c r="T31" s="11" t="inlineStr">
        <is>
          <t>N/A</t>
        </is>
      </c>
      <c r="U31" s="11" t="inlineStr">
        <is>
          <t>N/A</t>
        </is>
      </c>
      <c r="V31" s="11" t="inlineStr">
        <is>
          <t>N/A</t>
        </is>
      </c>
      <c r="W31" s="11" t="inlineStr">
        <is>
          <t>N/A</t>
        </is>
      </c>
      <c r="X31" s="11" t="inlineStr">
        <is>
          <t>N/A</t>
        </is>
      </c>
      <c r="Y31" s="11" t="inlineStr">
        <is>
          <t>N/A</t>
        </is>
      </c>
      <c r="Z31" s="11" t="inlineStr">
        <is>
          <t>N/A</t>
        </is>
      </c>
      <c r="AA31" s="11" t="inlineStr">
        <is>
          <t>N/A</t>
        </is>
      </c>
      <c r="AB31" s="11" t="inlineStr">
        <is>
          <t>N/A</t>
        </is>
      </c>
      <c r="AC31" s="11" t="inlineStr">
        <is>
          <t>N/A</t>
        </is>
      </c>
      <c r="AD31" s="11" t="inlineStr">
        <is>
          <t>N/A</t>
        </is>
      </c>
      <c r="AE31" s="11" t="inlineStr">
        <is>
          <t>N/A</t>
        </is>
      </c>
      <c r="AF31" s="11" t="inlineStr">
        <is>
          <t>N/A</t>
        </is>
      </c>
      <c r="AG31" s="11" t="inlineStr">
        <is>
          <t>N/A</t>
        </is>
      </c>
      <c r="AH31" s="11" t="inlineStr">
        <is>
          <t>N/A</t>
        </is>
      </c>
      <c r="AI31" s="11" t="inlineStr">
        <is>
          <t>Practice Support</t>
        </is>
      </c>
      <c r="AJ31" s="2" t="n"/>
      <c r="AK31" s="2" t="n"/>
      <c r="AL31" s="2" t="n"/>
      <c r="AM31" s="2" t="n"/>
      <c r="AN31" s="2" t="n"/>
      <c r="AO31" s="2" t="n"/>
      <c r="AP31" s="2" t="n"/>
      <c r="AQ31" s="2" t="n"/>
      <c r="AR31" s="2" t="n"/>
      <c r="AS31" s="2" t="n"/>
    </row>
    <row r="32">
      <c r="A32" s="11" t="n">
        <v>20</v>
      </c>
      <c r="B32" s="11" t="inlineStr">
        <is>
          <t>Mr/Mrs</t>
        </is>
      </c>
      <c r="C32" s="11" t="inlineStr">
        <is>
          <t>Forename504</t>
        </is>
      </c>
      <c r="D32" s="11" t="inlineStr">
        <is>
          <t>Surname504</t>
        </is>
      </c>
      <c r="E32" s="11" t="inlineStr">
        <is>
          <t>Hakim Group Head Office</t>
        </is>
      </c>
      <c r="F32" s="11" t="inlineStr">
        <is>
          <t>Support</t>
        </is>
      </c>
      <c r="G32" s="11" t="inlineStr">
        <is>
          <t>CC-HAK</t>
        </is>
      </c>
      <c r="H32" s="11" t="inlineStr">
        <is>
          <t>01/01/2022</t>
        </is>
      </c>
      <c r="I32" s="11" t="inlineStr"/>
      <c r="J32" s="11" t="inlineStr">
        <is>
          <t>Active</t>
        </is>
      </c>
      <c r="K32" s="11" t="n">
        <v>37.5</v>
      </c>
      <c r="L32" s="11" t="inlineStr">
        <is>
          <t>IT Support Engineer</t>
        </is>
      </c>
      <c r="M32" s="11" t="inlineStr">
        <is>
          <t>Band 4</t>
        </is>
      </c>
      <c r="N32" s="11" t="inlineStr">
        <is>
          <t>Permanent</t>
        </is>
      </c>
      <c r="O32" s="11" t="n">
        <v>1</v>
      </c>
      <c r="P32" s="11" t="inlineStr">
        <is>
          <t>P11504</t>
        </is>
      </c>
      <c r="Q32" s="11" t="inlineStr">
        <is>
          <t>N/A</t>
        </is>
      </c>
      <c r="R32" s="11" t="inlineStr">
        <is>
          <t>N/A</t>
        </is>
      </c>
      <c r="S32" s="11" t="inlineStr">
        <is>
          <t>N/A</t>
        </is>
      </c>
      <c r="T32" s="11" t="inlineStr">
        <is>
          <t>N/A</t>
        </is>
      </c>
      <c r="U32" s="11" t="inlineStr">
        <is>
          <t>N/A</t>
        </is>
      </c>
      <c r="V32" s="11" t="inlineStr">
        <is>
          <t>N/A</t>
        </is>
      </c>
      <c r="W32" s="11" t="inlineStr">
        <is>
          <t>N/A</t>
        </is>
      </c>
      <c r="X32" s="11" t="inlineStr">
        <is>
          <t>N/A</t>
        </is>
      </c>
      <c r="Y32" s="11" t="inlineStr">
        <is>
          <t>N/A</t>
        </is>
      </c>
      <c r="Z32" s="11" t="inlineStr">
        <is>
          <t>N/A</t>
        </is>
      </c>
      <c r="AA32" s="11" t="inlineStr">
        <is>
          <t>N/A</t>
        </is>
      </c>
      <c r="AB32" s="11" t="inlineStr">
        <is>
          <t>N/A</t>
        </is>
      </c>
      <c r="AC32" s="11" t="inlineStr">
        <is>
          <t>N/A</t>
        </is>
      </c>
      <c r="AD32" s="11" t="inlineStr">
        <is>
          <t>N/A</t>
        </is>
      </c>
      <c r="AE32" s="11" t="inlineStr">
        <is>
          <t>N/A</t>
        </is>
      </c>
      <c r="AF32" s="11" t="inlineStr">
        <is>
          <t>N/A</t>
        </is>
      </c>
      <c r="AG32" s="11" t="inlineStr">
        <is>
          <t>N/A</t>
        </is>
      </c>
      <c r="AH32" s="11" t="inlineStr">
        <is>
          <t>N/A</t>
        </is>
      </c>
      <c r="AI32" s="11" t="inlineStr">
        <is>
          <t>HGHQ</t>
        </is>
      </c>
      <c r="AJ32" s="2" t="n"/>
      <c r="AK32" s="2" t="n"/>
      <c r="AL32" s="2" t="n"/>
      <c r="AM32" s="2" t="n"/>
      <c r="AN32" s="2" t="n"/>
      <c r="AO32" s="2" t="n"/>
      <c r="AP32" s="2" t="n"/>
      <c r="AQ32" s="2" t="n"/>
      <c r="AR32" s="2" t="n"/>
      <c r="AS32" s="2" t="n"/>
    </row>
    <row r="33">
      <c r="A33" s="11" t="n">
        <v>21</v>
      </c>
      <c r="B33" s="11" t="inlineStr">
        <is>
          <t>Mr/Mrs</t>
        </is>
      </c>
      <c r="C33" s="11" t="inlineStr">
        <is>
          <t>Forename587</t>
        </is>
      </c>
      <c r="D33" s="11" t="inlineStr">
        <is>
          <t>Surname587</t>
        </is>
      </c>
      <c r="E33" s="11" t="inlineStr">
        <is>
          <t>Riverside Dental Practice</t>
        </is>
      </c>
      <c r="F33" s="11" t="inlineStr">
        <is>
          <t>Support</t>
        </is>
      </c>
      <c r="G33" s="11" t="inlineStr">
        <is>
          <t>CC-RIV</t>
        </is>
      </c>
      <c r="H33" s="11" t="inlineStr">
        <is>
          <t>01/01/2022</t>
        </is>
      </c>
      <c r="I33" s="11" t="inlineStr"/>
      <c r="J33" s="11" t="inlineStr">
        <is>
          <t>Active</t>
        </is>
      </c>
      <c r="K33" s="11" t="n">
        <v>37.5</v>
      </c>
      <c r="L33" s="11" t="inlineStr">
        <is>
          <t>Practice Administrator</t>
        </is>
      </c>
      <c r="M33" s="11" t="inlineStr">
        <is>
          <t>Band 4</t>
        </is>
      </c>
      <c r="N33" s="11" t="inlineStr">
        <is>
          <t>Permanent</t>
        </is>
      </c>
      <c r="O33" s="11" t="n">
        <v>1</v>
      </c>
      <c r="P33" s="11" t="inlineStr">
        <is>
          <t>P54587</t>
        </is>
      </c>
      <c r="Q33" s="11" t="inlineStr">
        <is>
          <t>N/A</t>
        </is>
      </c>
      <c r="R33" s="11" t="inlineStr">
        <is>
          <t>N/A</t>
        </is>
      </c>
      <c r="S33" s="11" t="inlineStr">
        <is>
          <t>N/A</t>
        </is>
      </c>
      <c r="T33" s="11" t="inlineStr">
        <is>
          <t>N/A</t>
        </is>
      </c>
      <c r="U33" s="11" t="inlineStr">
        <is>
          <t>N/A</t>
        </is>
      </c>
      <c r="V33" s="11" t="inlineStr">
        <is>
          <t>N/A</t>
        </is>
      </c>
      <c r="W33" s="11" t="inlineStr">
        <is>
          <t>N/A</t>
        </is>
      </c>
      <c r="X33" s="11" t="inlineStr">
        <is>
          <t>N/A</t>
        </is>
      </c>
      <c r="Y33" s="11" t="inlineStr">
        <is>
          <t>N/A</t>
        </is>
      </c>
      <c r="Z33" s="11" t="inlineStr">
        <is>
          <t>N/A</t>
        </is>
      </c>
      <c r="AA33" s="11" t="inlineStr">
        <is>
          <t>N/A</t>
        </is>
      </c>
      <c r="AB33" s="11" t="inlineStr">
        <is>
          <t>N/A</t>
        </is>
      </c>
      <c r="AC33" s="11" t="inlineStr">
        <is>
          <t>N/A</t>
        </is>
      </c>
      <c r="AD33" s="11" t="inlineStr">
        <is>
          <t>N/A</t>
        </is>
      </c>
      <c r="AE33" s="11" t="inlineStr">
        <is>
          <t>N/A</t>
        </is>
      </c>
      <c r="AF33" s="11" t="inlineStr">
        <is>
          <t>N/A</t>
        </is>
      </c>
      <c r="AG33" s="11" t="inlineStr">
        <is>
          <t>N/A</t>
        </is>
      </c>
      <c r="AH33" s="11" t="inlineStr">
        <is>
          <t>N/A</t>
        </is>
      </c>
      <c r="AI33" s="11" t="inlineStr">
        <is>
          <t>Practice Support</t>
        </is>
      </c>
      <c r="AJ33" s="2" t="n"/>
      <c r="AK33" s="2" t="n"/>
      <c r="AL33" s="2" t="n"/>
      <c r="AM33" s="2" t="n"/>
      <c r="AN33" s="2" t="n"/>
      <c r="AO33" s="2" t="n"/>
      <c r="AP33" s="2" t="n"/>
      <c r="AQ33" s="2" t="n"/>
      <c r="AR33" s="2" t="n"/>
      <c r="AS33" s="2" t="n"/>
    </row>
    <row r="34">
      <c r="A34" s="11" t="n">
        <v>22</v>
      </c>
      <c r="B34" s="11" t="inlineStr">
        <is>
          <t>Mr/Mrs</t>
        </is>
      </c>
      <c r="C34" s="11" t="inlineStr">
        <is>
          <t>Forename522</t>
        </is>
      </c>
      <c r="D34" s="11" t="inlineStr">
        <is>
          <t>Surname522</t>
        </is>
      </c>
      <c r="E34" s="11" t="inlineStr">
        <is>
          <t>Riverside Dental Practice</t>
        </is>
      </c>
      <c r="F34" s="11" t="inlineStr">
        <is>
          <t>Clinical</t>
        </is>
      </c>
      <c r="G34" s="11" t="inlineStr">
        <is>
          <t>CC-RIV</t>
        </is>
      </c>
      <c r="H34" s="11" t="inlineStr">
        <is>
          <t>01/01/2022</t>
        </is>
      </c>
      <c r="I34" s="11" t="inlineStr"/>
      <c r="J34" s="11" t="inlineStr">
        <is>
          <t>Active</t>
        </is>
      </c>
      <c r="K34" s="11" t="n">
        <v>37.5</v>
      </c>
      <c r="L34" s="11" t="inlineStr">
        <is>
          <t>Dental Hygienist</t>
        </is>
      </c>
      <c r="M34" s="11" t="inlineStr">
        <is>
          <t>Band 4</t>
        </is>
      </c>
      <c r="N34" s="11" t="inlineStr">
        <is>
          <t>Permanent</t>
        </is>
      </c>
      <c r="O34" s="11" t="n">
        <v>1</v>
      </c>
      <c r="P34" s="11" t="inlineStr">
        <is>
          <t>P44522</t>
        </is>
      </c>
      <c r="Q34" s="11" t="inlineStr">
        <is>
          <t>N/A</t>
        </is>
      </c>
      <c r="R34" s="11" t="inlineStr">
        <is>
          <t>N/A</t>
        </is>
      </c>
      <c r="S34" s="11" t="inlineStr">
        <is>
          <t>N/A</t>
        </is>
      </c>
      <c r="T34" s="11" t="inlineStr">
        <is>
          <t>N/A</t>
        </is>
      </c>
      <c r="U34" s="11" t="inlineStr">
        <is>
          <t>N/A</t>
        </is>
      </c>
      <c r="V34" s="11" t="inlineStr">
        <is>
          <t>N/A</t>
        </is>
      </c>
      <c r="W34" s="11" t="inlineStr">
        <is>
          <t>N/A</t>
        </is>
      </c>
      <c r="X34" s="11" t="inlineStr">
        <is>
          <t>N/A</t>
        </is>
      </c>
      <c r="Y34" s="11" t="inlineStr">
        <is>
          <t>N/A</t>
        </is>
      </c>
      <c r="Z34" s="11" t="inlineStr">
        <is>
          <t>N/A</t>
        </is>
      </c>
      <c r="AA34" s="11" t="inlineStr">
        <is>
          <t>N/A</t>
        </is>
      </c>
      <c r="AB34" s="11" t="inlineStr">
        <is>
          <t>N/A</t>
        </is>
      </c>
      <c r="AC34" s="11" t="inlineStr">
        <is>
          <t>N/A</t>
        </is>
      </c>
      <c r="AD34" s="11" t="inlineStr">
        <is>
          <t>N/A</t>
        </is>
      </c>
      <c r="AE34" s="11" t="inlineStr">
        <is>
          <t>N/A</t>
        </is>
      </c>
      <c r="AF34" s="11" t="inlineStr">
        <is>
          <t>N/A</t>
        </is>
      </c>
      <c r="AG34" s="11" t="inlineStr">
        <is>
          <t>N/A</t>
        </is>
      </c>
      <c r="AH34" s="11" t="inlineStr">
        <is>
          <t>N/A</t>
        </is>
      </c>
      <c r="AI34" s="11" t="inlineStr">
        <is>
          <t>Practice Clinical</t>
        </is>
      </c>
      <c r="AJ34" s="2" t="n"/>
      <c r="AK34" s="2" t="n"/>
      <c r="AL34" s="2" t="n"/>
      <c r="AM34" s="2" t="n"/>
      <c r="AN34" s="2" t="n"/>
      <c r="AO34" s="2" t="n"/>
      <c r="AP34" s="2" t="n"/>
      <c r="AQ34" s="2" t="n"/>
      <c r="AR34" s="2" t="n"/>
      <c r="AS34" s="2" t="n"/>
    </row>
    <row r="35">
      <c r="A35" s="11" t="n">
        <v>23</v>
      </c>
      <c r="B35" s="11" t="inlineStr">
        <is>
          <t>Mr/Mrs</t>
        </is>
      </c>
      <c r="C35" s="11" t="inlineStr">
        <is>
          <t>Forename959</t>
        </is>
      </c>
      <c r="D35" s="11" t="inlineStr">
        <is>
          <t>Surname959</t>
        </is>
      </c>
      <c r="E35" s="11" t="inlineStr">
        <is>
          <t>Hakim Group Head Office</t>
        </is>
      </c>
      <c r="F35" s="11" t="inlineStr">
        <is>
          <t>Support</t>
        </is>
      </c>
      <c r="G35" s="11" t="inlineStr">
        <is>
          <t>CC-HAK</t>
        </is>
      </c>
      <c r="H35" s="11" t="inlineStr">
        <is>
          <t>01/01/2022</t>
        </is>
      </c>
      <c r="I35" s="11" t="inlineStr"/>
      <c r="J35" s="11" t="inlineStr">
        <is>
          <t>Active</t>
        </is>
      </c>
      <c r="K35" s="11" t="n">
        <v>37.5</v>
      </c>
      <c r="L35" s="11" t="inlineStr">
        <is>
          <t>HR Business Partner</t>
        </is>
      </c>
      <c r="M35" s="11" t="inlineStr">
        <is>
          <t>Band 4</t>
        </is>
      </c>
      <c r="N35" s="11" t="inlineStr">
        <is>
          <t>Permanent</t>
        </is>
      </c>
      <c r="O35" s="11" t="n">
        <v>1</v>
      </c>
      <c r="P35" s="11" t="inlineStr">
        <is>
          <t>P91959</t>
        </is>
      </c>
      <c r="Q35" s="11" t="inlineStr">
        <is>
          <t>N/A</t>
        </is>
      </c>
      <c r="R35" s="11" t="inlineStr">
        <is>
          <t>N/A</t>
        </is>
      </c>
      <c r="S35" s="11" t="inlineStr">
        <is>
          <t>N/A</t>
        </is>
      </c>
      <c r="T35" s="11" t="inlineStr">
        <is>
          <t>N/A</t>
        </is>
      </c>
      <c r="U35" s="11" t="inlineStr">
        <is>
          <t>N/A</t>
        </is>
      </c>
      <c r="V35" s="11" t="inlineStr">
        <is>
          <t>N/A</t>
        </is>
      </c>
      <c r="W35" s="11" t="inlineStr">
        <is>
          <t>N/A</t>
        </is>
      </c>
      <c r="X35" s="11" t="inlineStr">
        <is>
          <t>N/A</t>
        </is>
      </c>
      <c r="Y35" s="11" t="inlineStr">
        <is>
          <t>N/A</t>
        </is>
      </c>
      <c r="Z35" s="11" t="inlineStr">
        <is>
          <t>N/A</t>
        </is>
      </c>
      <c r="AA35" s="11" t="inlineStr">
        <is>
          <t>N/A</t>
        </is>
      </c>
      <c r="AB35" s="11" t="inlineStr">
        <is>
          <t>N/A</t>
        </is>
      </c>
      <c r="AC35" s="11" t="inlineStr">
        <is>
          <t>N/A</t>
        </is>
      </c>
      <c r="AD35" s="11" t="inlineStr">
        <is>
          <t>N/A</t>
        </is>
      </c>
      <c r="AE35" s="11" t="inlineStr">
        <is>
          <t>N/A</t>
        </is>
      </c>
      <c r="AF35" s="11" t="inlineStr">
        <is>
          <t>N/A</t>
        </is>
      </c>
      <c r="AG35" s="11" t="inlineStr">
        <is>
          <t>N/A</t>
        </is>
      </c>
      <c r="AH35" s="11" t="inlineStr">
        <is>
          <t>N/A</t>
        </is>
      </c>
      <c r="AI35" s="11" t="inlineStr">
        <is>
          <t>HGHQ</t>
        </is>
      </c>
      <c r="AJ35" s="2" t="n"/>
      <c r="AK35" s="2" t="n"/>
      <c r="AL35" s="2" t="n"/>
      <c r="AM35" s="2" t="n"/>
      <c r="AN35" s="2" t="n"/>
      <c r="AO35" s="2" t="n"/>
      <c r="AP35" s="2" t="n"/>
      <c r="AQ35" s="2" t="n"/>
      <c r="AR35" s="2" t="n"/>
      <c r="AS35" s="2" t="n"/>
    </row>
    <row r="36">
      <c r="A36" s="11" t="n">
        <v>24</v>
      </c>
      <c r="B36" s="11" t="inlineStr">
        <is>
          <t>Mr/Mrs</t>
        </is>
      </c>
      <c r="C36" s="11" t="inlineStr">
        <is>
          <t>Forename697</t>
        </is>
      </c>
      <c r="D36" s="11" t="inlineStr">
        <is>
          <t>Surname697</t>
        </is>
      </c>
      <c r="E36" s="11" t="inlineStr">
        <is>
          <t>Elm Park Dental Practice</t>
        </is>
      </c>
      <c r="F36" s="11" t="inlineStr">
        <is>
          <t>Support</t>
        </is>
      </c>
      <c r="G36" s="11" t="inlineStr">
        <is>
          <t>CC-ELM</t>
        </is>
      </c>
      <c r="H36" s="11" t="inlineStr">
        <is>
          <t>01/01/2022</t>
        </is>
      </c>
      <c r="I36" s="11" t="inlineStr"/>
      <c r="J36" s="11" t="inlineStr">
        <is>
          <t>Active</t>
        </is>
      </c>
      <c r="K36" s="11" t="n">
        <v>37.5</v>
      </c>
      <c r="L36" s="11" t="inlineStr">
        <is>
          <t>Practice Partner</t>
        </is>
      </c>
      <c r="M36" s="11" t="inlineStr">
        <is>
          <t>Band 4</t>
        </is>
      </c>
      <c r="N36" s="11" t="inlineStr">
        <is>
          <t>Permanent</t>
        </is>
      </c>
      <c r="O36" s="11" t="n">
        <v>1</v>
      </c>
      <c r="P36" s="11" t="inlineStr">
        <is>
          <t>P80697</t>
        </is>
      </c>
      <c r="Q36" s="11" t="inlineStr">
        <is>
          <t>N/A</t>
        </is>
      </c>
      <c r="R36" s="11" t="inlineStr">
        <is>
          <t>N/A</t>
        </is>
      </c>
      <c r="S36" s="11" t="inlineStr">
        <is>
          <t>N/A</t>
        </is>
      </c>
      <c r="T36" s="11" t="inlineStr">
        <is>
          <t>N/A</t>
        </is>
      </c>
      <c r="U36" s="11" t="inlineStr">
        <is>
          <t>N/A</t>
        </is>
      </c>
      <c r="V36" s="11" t="inlineStr">
        <is>
          <t>N/A</t>
        </is>
      </c>
      <c r="W36" s="11" t="inlineStr">
        <is>
          <t>N/A</t>
        </is>
      </c>
      <c r="X36" s="11" t="inlineStr">
        <is>
          <t>N/A</t>
        </is>
      </c>
      <c r="Y36" s="11" t="inlineStr">
        <is>
          <t>N/A</t>
        </is>
      </c>
      <c r="Z36" s="11" t="inlineStr">
        <is>
          <t>N/A</t>
        </is>
      </c>
      <c r="AA36" s="11" t="inlineStr">
        <is>
          <t>N/A</t>
        </is>
      </c>
      <c r="AB36" s="11" t="inlineStr">
        <is>
          <t>N/A</t>
        </is>
      </c>
      <c r="AC36" s="11" t="inlineStr">
        <is>
          <t>N/A</t>
        </is>
      </c>
      <c r="AD36" s="11" t="inlineStr">
        <is>
          <t>N/A</t>
        </is>
      </c>
      <c r="AE36" s="11" t="inlineStr">
        <is>
          <t>N/A</t>
        </is>
      </c>
      <c r="AF36" s="11" t="inlineStr">
        <is>
          <t>N/A</t>
        </is>
      </c>
      <c r="AG36" s="11" t="inlineStr">
        <is>
          <t>N/A</t>
        </is>
      </c>
      <c r="AH36" s="11" t="inlineStr">
        <is>
          <t>N/A</t>
        </is>
      </c>
      <c r="AI36" s="11" t="inlineStr">
        <is>
          <t>Practice Partner</t>
        </is>
      </c>
      <c r="AJ36" s="2" t="n"/>
      <c r="AK36" s="2" t="n"/>
      <c r="AL36" s="2" t="n"/>
      <c r="AM36" s="2" t="n"/>
      <c r="AN36" s="2" t="n"/>
      <c r="AO36" s="2" t="n"/>
      <c r="AP36" s="2" t="n"/>
      <c r="AQ36" s="2" t="n"/>
      <c r="AR36" s="2" t="n"/>
      <c r="AS36" s="2" t="n"/>
    </row>
    <row r="37">
      <c r="A37" s="11" t="n">
        <v>25</v>
      </c>
      <c r="B37" s="11" t="inlineStr">
        <is>
          <t>Mr/Mrs</t>
        </is>
      </c>
      <c r="C37" s="11" t="inlineStr">
        <is>
          <t>Forename662</t>
        </is>
      </c>
      <c r="D37" s="11" t="inlineStr">
        <is>
          <t>Surname662</t>
        </is>
      </c>
      <c r="E37" s="11" t="inlineStr">
        <is>
          <t>Hakim Group Head Office</t>
        </is>
      </c>
      <c r="F37" s="11" t="inlineStr">
        <is>
          <t>Support</t>
        </is>
      </c>
      <c r="G37" s="11" t="inlineStr">
        <is>
          <t>CC-HAK</t>
        </is>
      </c>
      <c r="H37" s="11" t="inlineStr">
        <is>
          <t>01/01/2022</t>
        </is>
      </c>
      <c r="I37" s="11" t="inlineStr"/>
      <c r="J37" s="11" t="inlineStr">
        <is>
          <t>Active</t>
        </is>
      </c>
      <c r="K37" s="11" t="n">
        <v>37.5</v>
      </c>
      <c r="L37" s="11" t="inlineStr">
        <is>
          <t>Payroll Advisor</t>
        </is>
      </c>
      <c r="M37" s="11" t="inlineStr">
        <is>
          <t>Band 4</t>
        </is>
      </c>
      <c r="N37" s="11" t="inlineStr">
        <is>
          <t>Permanent</t>
        </is>
      </c>
      <c r="O37" s="11" t="n">
        <v>1</v>
      </c>
      <c r="P37" s="11" t="inlineStr">
        <is>
          <t>P24662</t>
        </is>
      </c>
      <c r="Q37" s="11" t="inlineStr">
        <is>
          <t>N/A</t>
        </is>
      </c>
      <c r="R37" s="11" t="inlineStr">
        <is>
          <t>N/A</t>
        </is>
      </c>
      <c r="S37" s="11" t="inlineStr">
        <is>
          <t>N/A</t>
        </is>
      </c>
      <c r="T37" s="11" t="inlineStr">
        <is>
          <t>N/A</t>
        </is>
      </c>
      <c r="U37" s="11" t="inlineStr">
        <is>
          <t>N/A</t>
        </is>
      </c>
      <c r="V37" s="11" t="inlineStr">
        <is>
          <t>N/A</t>
        </is>
      </c>
      <c r="W37" s="11" t="inlineStr">
        <is>
          <t>N/A</t>
        </is>
      </c>
      <c r="X37" s="11" t="inlineStr">
        <is>
          <t>N/A</t>
        </is>
      </c>
      <c r="Y37" s="11" t="inlineStr">
        <is>
          <t>N/A</t>
        </is>
      </c>
      <c r="Z37" s="11" t="inlineStr">
        <is>
          <t>N/A</t>
        </is>
      </c>
      <c r="AA37" s="11" t="inlineStr">
        <is>
          <t>N/A</t>
        </is>
      </c>
      <c r="AB37" s="11" t="inlineStr">
        <is>
          <t>N/A</t>
        </is>
      </c>
      <c r="AC37" s="11" t="inlineStr">
        <is>
          <t>N/A</t>
        </is>
      </c>
      <c r="AD37" s="11" t="inlineStr">
        <is>
          <t>N/A</t>
        </is>
      </c>
      <c r="AE37" s="11" t="inlineStr">
        <is>
          <t>N/A</t>
        </is>
      </c>
      <c r="AF37" s="11" t="inlineStr">
        <is>
          <t>N/A</t>
        </is>
      </c>
      <c r="AG37" s="11" t="inlineStr">
        <is>
          <t>N/A</t>
        </is>
      </c>
      <c r="AH37" s="11" t="inlineStr">
        <is>
          <t>N/A</t>
        </is>
      </c>
      <c r="AI37" s="11" t="inlineStr">
        <is>
          <t>HGHQ</t>
        </is>
      </c>
      <c r="AJ37" s="2" t="n"/>
      <c r="AK37" s="2" t="n"/>
      <c r="AL37" s="2" t="n"/>
      <c r="AM37" s="2" t="n"/>
      <c r="AN37" s="2" t="n"/>
      <c r="AO37" s="2" t="n"/>
      <c r="AP37" s="2" t="n"/>
      <c r="AQ37" s="2" t="n"/>
      <c r="AR37" s="2" t="n"/>
      <c r="AS37" s="2" t="n"/>
    </row>
    <row r="38">
      <c r="A38" s="11" t="n">
        <v>26</v>
      </c>
      <c r="B38" s="11" t="inlineStr">
        <is>
          <t>Mr/Mrs</t>
        </is>
      </c>
      <c r="C38" s="11" t="inlineStr">
        <is>
          <t>Forename364</t>
        </is>
      </c>
      <c r="D38" s="11" t="inlineStr">
        <is>
          <t>Surname364</t>
        </is>
      </c>
      <c r="E38" s="11" t="inlineStr">
        <is>
          <t>Elm Park Dental Practice</t>
        </is>
      </c>
      <c r="F38" s="11" t="inlineStr">
        <is>
          <t>Support</t>
        </is>
      </c>
      <c r="G38" s="11" t="inlineStr">
        <is>
          <t>CC-ELM</t>
        </is>
      </c>
      <c r="H38" s="11" t="inlineStr">
        <is>
          <t>01/01/2022</t>
        </is>
      </c>
      <c r="I38" s="11" t="inlineStr"/>
      <c r="J38" s="11" t="inlineStr">
        <is>
          <t>Active</t>
        </is>
      </c>
      <c r="K38" s="11" t="n">
        <v>37.5</v>
      </c>
      <c r="L38" s="11" t="inlineStr">
        <is>
          <t>Clinical Director</t>
        </is>
      </c>
      <c r="M38" s="11" t="inlineStr">
        <is>
          <t>Band 4</t>
        </is>
      </c>
      <c r="N38" s="11" t="inlineStr">
        <is>
          <t>Permanent</t>
        </is>
      </c>
      <c r="O38" s="11" t="n">
        <v>1</v>
      </c>
      <c r="P38" s="11" t="inlineStr">
        <is>
          <t>P84364</t>
        </is>
      </c>
      <c r="Q38" s="11" t="inlineStr">
        <is>
          <t>N/A</t>
        </is>
      </c>
      <c r="R38" s="11" t="inlineStr">
        <is>
          <t>N/A</t>
        </is>
      </c>
      <c r="S38" s="11" t="inlineStr">
        <is>
          <t>N/A</t>
        </is>
      </c>
      <c r="T38" s="11" t="inlineStr">
        <is>
          <t>N/A</t>
        </is>
      </c>
      <c r="U38" s="11" t="inlineStr">
        <is>
          <t>N/A</t>
        </is>
      </c>
      <c r="V38" s="11" t="inlineStr">
        <is>
          <t>N/A</t>
        </is>
      </c>
      <c r="W38" s="11" t="inlineStr">
        <is>
          <t>N/A</t>
        </is>
      </c>
      <c r="X38" s="11" t="inlineStr">
        <is>
          <t>N/A</t>
        </is>
      </c>
      <c r="Y38" s="11" t="inlineStr">
        <is>
          <t>N/A</t>
        </is>
      </c>
      <c r="Z38" s="11" t="inlineStr">
        <is>
          <t>N/A</t>
        </is>
      </c>
      <c r="AA38" s="11" t="inlineStr">
        <is>
          <t>N/A</t>
        </is>
      </c>
      <c r="AB38" s="11" t="inlineStr">
        <is>
          <t>N/A</t>
        </is>
      </c>
      <c r="AC38" s="11" t="inlineStr">
        <is>
          <t>N/A</t>
        </is>
      </c>
      <c r="AD38" s="11" t="inlineStr">
        <is>
          <t>N/A</t>
        </is>
      </c>
      <c r="AE38" s="11" t="inlineStr">
        <is>
          <t>N/A</t>
        </is>
      </c>
      <c r="AF38" s="11" t="inlineStr">
        <is>
          <t>N/A</t>
        </is>
      </c>
      <c r="AG38" s="11" t="inlineStr">
        <is>
          <t>N/A</t>
        </is>
      </c>
      <c r="AH38" s="11" t="inlineStr">
        <is>
          <t>N/A</t>
        </is>
      </c>
      <c r="AI38" s="11" t="inlineStr">
        <is>
          <t>Practice Partner</t>
        </is>
      </c>
      <c r="AJ38" s="2" t="n"/>
      <c r="AK38" s="2" t="n"/>
      <c r="AL38" s="2" t="n"/>
      <c r="AM38" s="2" t="n"/>
      <c r="AN38" s="2" t="n"/>
      <c r="AO38" s="2" t="n"/>
      <c r="AP38" s="2" t="n"/>
      <c r="AQ38" s="2" t="n"/>
      <c r="AR38" s="2" t="n"/>
      <c r="AS38" s="2" t="n"/>
    </row>
    <row r="39">
      <c r="A39" s="11" t="n">
        <v>27</v>
      </c>
      <c r="B39" s="11" t="inlineStr">
        <is>
          <t>Mr/Mrs</t>
        </is>
      </c>
      <c r="C39" s="11" t="inlineStr">
        <is>
          <t>Forename822</t>
        </is>
      </c>
      <c r="D39" s="11" t="inlineStr">
        <is>
          <t>Surname822</t>
        </is>
      </c>
      <c r="E39" s="11" t="inlineStr">
        <is>
          <t>Riverside Dental Practice</t>
        </is>
      </c>
      <c r="F39" s="11" t="inlineStr">
        <is>
          <t>Clinical</t>
        </is>
      </c>
      <c r="G39" s="11" t="inlineStr">
        <is>
          <t>CC-RIV</t>
        </is>
      </c>
      <c r="H39" s="11" t="inlineStr">
        <is>
          <t>01/01/2022</t>
        </is>
      </c>
      <c r="I39" s="11" t="inlineStr"/>
      <c r="J39" s="11" t="inlineStr">
        <is>
          <t>Active</t>
        </is>
      </c>
      <c r="K39" s="11" t="n">
        <v>37.5</v>
      </c>
      <c r="L39" s="11" t="inlineStr">
        <is>
          <t>Orthodontist</t>
        </is>
      </c>
      <c r="M39" s="11" t="inlineStr">
        <is>
          <t>Band 4</t>
        </is>
      </c>
      <c r="N39" s="11" t="inlineStr">
        <is>
          <t>Permanent</t>
        </is>
      </c>
      <c r="O39" s="11" t="n">
        <v>1</v>
      </c>
      <c r="P39" s="11" t="inlineStr">
        <is>
          <t>P79822</t>
        </is>
      </c>
      <c r="Q39" s="11" t="inlineStr">
        <is>
          <t>N/A</t>
        </is>
      </c>
      <c r="R39" s="11" t="inlineStr">
        <is>
          <t>N/A</t>
        </is>
      </c>
      <c r="S39" s="11" t="inlineStr">
        <is>
          <t>N/A</t>
        </is>
      </c>
      <c r="T39" s="11" t="inlineStr">
        <is>
          <t>N/A</t>
        </is>
      </c>
      <c r="U39" s="11" t="inlineStr">
        <is>
          <t>N/A</t>
        </is>
      </c>
      <c r="V39" s="11" t="inlineStr">
        <is>
          <t>N/A</t>
        </is>
      </c>
      <c r="W39" s="11" t="inlineStr">
        <is>
          <t>N/A</t>
        </is>
      </c>
      <c r="X39" s="11" t="inlineStr">
        <is>
          <t>N/A</t>
        </is>
      </c>
      <c r="Y39" s="11" t="inlineStr">
        <is>
          <t>N/A</t>
        </is>
      </c>
      <c r="Z39" s="11" t="inlineStr">
        <is>
          <t>N/A</t>
        </is>
      </c>
      <c r="AA39" s="11" t="inlineStr">
        <is>
          <t>N/A</t>
        </is>
      </c>
      <c r="AB39" s="11" t="inlineStr">
        <is>
          <t>N/A</t>
        </is>
      </c>
      <c r="AC39" s="11" t="inlineStr">
        <is>
          <t>N/A</t>
        </is>
      </c>
      <c r="AD39" s="11" t="inlineStr">
        <is>
          <t>N/A</t>
        </is>
      </c>
      <c r="AE39" s="11" t="inlineStr">
        <is>
          <t>N/A</t>
        </is>
      </c>
      <c r="AF39" s="11" t="inlineStr">
        <is>
          <t>N/A</t>
        </is>
      </c>
      <c r="AG39" s="11" t="inlineStr">
        <is>
          <t>N/A</t>
        </is>
      </c>
      <c r="AH39" s="11" t="inlineStr">
        <is>
          <t>N/A</t>
        </is>
      </c>
      <c r="AI39" s="11" t="inlineStr">
        <is>
          <t>Practice Clinical</t>
        </is>
      </c>
      <c r="AJ39" s="2" t="n"/>
      <c r="AK39" s="2" t="n"/>
      <c r="AL39" s="2" t="n"/>
      <c r="AM39" s="2" t="n"/>
      <c r="AN39" s="2" t="n"/>
      <c r="AO39" s="2" t="n"/>
      <c r="AP39" s="2" t="n"/>
      <c r="AQ39" s="2" t="n"/>
      <c r="AR39" s="2" t="n"/>
      <c r="AS39" s="2" t="n"/>
    </row>
    <row r="40">
      <c r="A40" s="11" t="n">
        <v>28</v>
      </c>
      <c r="B40" s="11" t="inlineStr">
        <is>
          <t>Mr/Mrs</t>
        </is>
      </c>
      <c r="C40" s="11" t="inlineStr">
        <is>
          <t>Forename163</t>
        </is>
      </c>
      <c r="D40" s="11" t="inlineStr">
        <is>
          <t>Surname163</t>
        </is>
      </c>
      <c r="E40" s="11" t="inlineStr">
        <is>
          <t>Kings Road Dental Practice</t>
        </is>
      </c>
      <c r="F40" s="11" t="inlineStr">
        <is>
          <t>Clinical</t>
        </is>
      </c>
      <c r="G40" s="11" t="inlineStr">
        <is>
          <t>CC-KIN</t>
        </is>
      </c>
      <c r="H40" s="11" t="inlineStr">
        <is>
          <t>01/01/2022</t>
        </is>
      </c>
      <c r="I40" s="11" t="inlineStr"/>
      <c r="J40" s="11" t="inlineStr">
        <is>
          <t>Active</t>
        </is>
      </c>
      <c r="K40" s="11" t="n">
        <v>37.5</v>
      </c>
      <c r="L40" s="11" t="inlineStr">
        <is>
          <t>Orthodontist</t>
        </is>
      </c>
      <c r="M40" s="11" t="inlineStr">
        <is>
          <t>Band 4</t>
        </is>
      </c>
      <c r="N40" s="11" t="inlineStr">
        <is>
          <t>Permanent</t>
        </is>
      </c>
      <c r="O40" s="11" t="n">
        <v>1</v>
      </c>
      <c r="P40" s="11" t="inlineStr">
        <is>
          <t>P79163</t>
        </is>
      </c>
      <c r="Q40" s="11" t="inlineStr">
        <is>
          <t>N/A</t>
        </is>
      </c>
      <c r="R40" s="11" t="inlineStr">
        <is>
          <t>N/A</t>
        </is>
      </c>
      <c r="S40" s="11" t="inlineStr">
        <is>
          <t>N/A</t>
        </is>
      </c>
      <c r="T40" s="11" t="inlineStr">
        <is>
          <t>N/A</t>
        </is>
      </c>
      <c r="U40" s="11" t="inlineStr">
        <is>
          <t>N/A</t>
        </is>
      </c>
      <c r="V40" s="11" t="inlineStr">
        <is>
          <t>N/A</t>
        </is>
      </c>
      <c r="W40" s="11" t="inlineStr">
        <is>
          <t>N/A</t>
        </is>
      </c>
      <c r="X40" s="11" t="inlineStr">
        <is>
          <t>N/A</t>
        </is>
      </c>
      <c r="Y40" s="11" t="inlineStr">
        <is>
          <t>N/A</t>
        </is>
      </c>
      <c r="Z40" s="11" t="inlineStr">
        <is>
          <t>N/A</t>
        </is>
      </c>
      <c r="AA40" s="11" t="inlineStr">
        <is>
          <t>N/A</t>
        </is>
      </c>
      <c r="AB40" s="11" t="inlineStr">
        <is>
          <t>N/A</t>
        </is>
      </c>
      <c r="AC40" s="11" t="inlineStr">
        <is>
          <t>N/A</t>
        </is>
      </c>
      <c r="AD40" s="11" t="inlineStr">
        <is>
          <t>N/A</t>
        </is>
      </c>
      <c r="AE40" s="11" t="inlineStr">
        <is>
          <t>N/A</t>
        </is>
      </c>
      <c r="AF40" s="11" t="inlineStr">
        <is>
          <t>N/A</t>
        </is>
      </c>
      <c r="AG40" s="11" t="inlineStr">
        <is>
          <t>N/A</t>
        </is>
      </c>
      <c r="AH40" s="11" t="inlineStr">
        <is>
          <t>N/A</t>
        </is>
      </c>
      <c r="AI40" s="11" t="inlineStr">
        <is>
          <t>Practice Clinical</t>
        </is>
      </c>
      <c r="AJ40" s="2" t="n"/>
      <c r="AK40" s="2" t="n"/>
      <c r="AL40" s="2" t="n"/>
      <c r="AM40" s="2" t="n"/>
      <c r="AN40" s="2" t="n"/>
      <c r="AO40" s="2" t="n"/>
      <c r="AP40" s="2" t="n"/>
      <c r="AQ40" s="2" t="n"/>
      <c r="AR40" s="2" t="n"/>
      <c r="AS40" s="2" t="n"/>
    </row>
    <row r="41">
      <c r="A41" s="11" t="n">
        <v>29</v>
      </c>
      <c r="B41" s="11" t="inlineStr">
        <is>
          <t>Mr/Mrs</t>
        </is>
      </c>
      <c r="C41" s="11" t="inlineStr">
        <is>
          <t>Forename365</t>
        </is>
      </c>
      <c r="D41" s="11" t="inlineStr">
        <is>
          <t>Surname365</t>
        </is>
      </c>
      <c r="E41" s="11" t="inlineStr">
        <is>
          <t>Hakim Group Head Office</t>
        </is>
      </c>
      <c r="F41" s="11" t="inlineStr">
        <is>
          <t>Support</t>
        </is>
      </c>
      <c r="G41" s="11" t="inlineStr">
        <is>
          <t>CC-HAK</t>
        </is>
      </c>
      <c r="H41" s="11" t="inlineStr">
        <is>
          <t>01/01/2022</t>
        </is>
      </c>
      <c r="I41" s="11" t="inlineStr"/>
      <c r="J41" s="11" t="inlineStr">
        <is>
          <t>Active</t>
        </is>
      </c>
      <c r="K41" s="11" t="n">
        <v>37.5</v>
      </c>
      <c r="L41" s="11" t="inlineStr">
        <is>
          <t>IT Support Engineer</t>
        </is>
      </c>
      <c r="M41" s="11" t="inlineStr">
        <is>
          <t>Band 4</t>
        </is>
      </c>
      <c r="N41" s="11" t="inlineStr">
        <is>
          <t>Permanent</t>
        </is>
      </c>
      <c r="O41" s="11" t="n">
        <v>1</v>
      </c>
      <c r="P41" s="11" t="inlineStr">
        <is>
          <t>P36365</t>
        </is>
      </c>
      <c r="Q41" s="11" t="inlineStr">
        <is>
          <t>N/A</t>
        </is>
      </c>
      <c r="R41" s="11" t="inlineStr">
        <is>
          <t>N/A</t>
        </is>
      </c>
      <c r="S41" s="11" t="inlineStr">
        <is>
          <t>N/A</t>
        </is>
      </c>
      <c r="T41" s="11" t="inlineStr">
        <is>
          <t>N/A</t>
        </is>
      </c>
      <c r="U41" s="11" t="inlineStr">
        <is>
          <t>N/A</t>
        </is>
      </c>
      <c r="V41" s="11" t="inlineStr">
        <is>
          <t>N/A</t>
        </is>
      </c>
      <c r="W41" s="11" t="inlineStr">
        <is>
          <t>N/A</t>
        </is>
      </c>
      <c r="X41" s="11" t="inlineStr">
        <is>
          <t>N/A</t>
        </is>
      </c>
      <c r="Y41" s="11" t="inlineStr">
        <is>
          <t>N/A</t>
        </is>
      </c>
      <c r="Z41" s="11" t="inlineStr">
        <is>
          <t>N/A</t>
        </is>
      </c>
      <c r="AA41" s="11" t="inlineStr">
        <is>
          <t>N/A</t>
        </is>
      </c>
      <c r="AB41" s="11" t="inlineStr">
        <is>
          <t>N/A</t>
        </is>
      </c>
      <c r="AC41" s="11" t="inlineStr">
        <is>
          <t>N/A</t>
        </is>
      </c>
      <c r="AD41" s="11" t="inlineStr">
        <is>
          <t>N/A</t>
        </is>
      </c>
      <c r="AE41" s="11" t="inlineStr">
        <is>
          <t>N/A</t>
        </is>
      </c>
      <c r="AF41" s="11" t="inlineStr">
        <is>
          <t>N/A</t>
        </is>
      </c>
      <c r="AG41" s="11" t="inlineStr">
        <is>
          <t>N/A</t>
        </is>
      </c>
      <c r="AH41" s="11" t="inlineStr">
        <is>
          <t>N/A</t>
        </is>
      </c>
      <c r="AI41" s="11" t="inlineStr">
        <is>
          <t>HGHQ</t>
        </is>
      </c>
      <c r="AJ41" s="2" t="n"/>
      <c r="AK41" s="2" t="n"/>
      <c r="AL41" s="2" t="n"/>
      <c r="AM41" s="2" t="n"/>
      <c r="AN41" s="2" t="n"/>
      <c r="AO41" s="2" t="n"/>
      <c r="AP41" s="2" t="n"/>
      <c r="AQ41" s="2" t="n"/>
      <c r="AR41" s="2" t="n"/>
      <c r="AS41" s="2" t="n"/>
    </row>
    <row r="42">
      <c r="A42" s="11" t="n">
        <v>30</v>
      </c>
      <c r="B42" s="11" t="inlineStr">
        <is>
          <t>Mr/Mrs</t>
        </is>
      </c>
      <c r="C42" s="11" t="inlineStr">
        <is>
          <t>Forename860</t>
        </is>
      </c>
      <c r="D42" s="11" t="inlineStr">
        <is>
          <t>Surname860</t>
        </is>
      </c>
      <c r="E42" s="11" t="inlineStr">
        <is>
          <t>Elm Park Dental Practice</t>
        </is>
      </c>
      <c r="F42" s="11" t="inlineStr">
        <is>
          <t>Clinical</t>
        </is>
      </c>
      <c r="G42" s="11" t="inlineStr">
        <is>
          <t>CC-ELM</t>
        </is>
      </c>
      <c r="H42" s="11" t="inlineStr">
        <is>
          <t>01/01/2022</t>
        </is>
      </c>
      <c r="I42" s="11" t="inlineStr"/>
      <c r="J42" s="11" t="inlineStr">
        <is>
          <t>Active</t>
        </is>
      </c>
      <c r="K42" s="11" t="n">
        <v>37.5</v>
      </c>
      <c r="L42" s="11" t="inlineStr">
        <is>
          <t>Dental Nurse</t>
        </is>
      </c>
      <c r="M42" s="11" t="inlineStr">
        <is>
          <t>Band 4</t>
        </is>
      </c>
      <c r="N42" s="11" t="inlineStr">
        <is>
          <t>Permanent</t>
        </is>
      </c>
      <c r="O42" s="11" t="n">
        <v>1</v>
      </c>
      <c r="P42" s="11" t="inlineStr">
        <is>
          <t>P25860</t>
        </is>
      </c>
      <c r="Q42" s="11" t="inlineStr">
        <is>
          <t>N/A</t>
        </is>
      </c>
      <c r="R42" s="11" t="inlineStr">
        <is>
          <t>N/A</t>
        </is>
      </c>
      <c r="S42" s="11" t="inlineStr">
        <is>
          <t>N/A</t>
        </is>
      </c>
      <c r="T42" s="11" t="inlineStr">
        <is>
          <t>N/A</t>
        </is>
      </c>
      <c r="U42" s="11" t="inlineStr">
        <is>
          <t>N/A</t>
        </is>
      </c>
      <c r="V42" s="11" t="inlineStr">
        <is>
          <t>N/A</t>
        </is>
      </c>
      <c r="W42" s="11" t="inlineStr">
        <is>
          <t>N/A</t>
        </is>
      </c>
      <c r="X42" s="11" t="inlineStr">
        <is>
          <t>N/A</t>
        </is>
      </c>
      <c r="Y42" s="11" t="inlineStr">
        <is>
          <t>N/A</t>
        </is>
      </c>
      <c r="Z42" s="11" t="inlineStr">
        <is>
          <t>N/A</t>
        </is>
      </c>
      <c r="AA42" s="11" t="inlineStr">
        <is>
          <t>N/A</t>
        </is>
      </c>
      <c r="AB42" s="11" t="inlineStr">
        <is>
          <t>N/A</t>
        </is>
      </c>
      <c r="AC42" s="11" t="inlineStr">
        <is>
          <t>N/A</t>
        </is>
      </c>
      <c r="AD42" s="11" t="inlineStr">
        <is>
          <t>N/A</t>
        </is>
      </c>
      <c r="AE42" s="11" t="inlineStr">
        <is>
          <t>N/A</t>
        </is>
      </c>
      <c r="AF42" s="11" t="inlineStr">
        <is>
          <t>N/A</t>
        </is>
      </c>
      <c r="AG42" s="11" t="inlineStr">
        <is>
          <t>N/A</t>
        </is>
      </c>
      <c r="AH42" s="11" t="inlineStr">
        <is>
          <t>N/A</t>
        </is>
      </c>
      <c r="AI42" s="11" t="inlineStr">
        <is>
          <t>Practice Clinical</t>
        </is>
      </c>
      <c r="AJ42" s="2" t="n"/>
      <c r="AK42" s="2" t="n"/>
      <c r="AL42" s="2" t="n"/>
      <c r="AM42" s="2" t="n"/>
      <c r="AN42" s="2" t="n"/>
      <c r="AO42" s="2" t="n"/>
      <c r="AP42" s="2" t="n"/>
      <c r="AQ42" s="2" t="n"/>
      <c r="AR42" s="2" t="n"/>
      <c r="AS42" s="2" t="n"/>
    </row>
    <row r="43">
      <c r="A43" s="11" t="n">
        <v>31</v>
      </c>
      <c r="B43" s="11" t="inlineStr">
        <is>
          <t>Mr/Mrs</t>
        </is>
      </c>
      <c r="C43" s="11" t="inlineStr">
        <is>
          <t>Forename603</t>
        </is>
      </c>
      <c r="D43" s="11" t="inlineStr">
        <is>
          <t>Surname603</t>
        </is>
      </c>
      <c r="E43" s="11" t="inlineStr">
        <is>
          <t>Kings Road Dental Practice</t>
        </is>
      </c>
      <c r="F43" s="11" t="inlineStr">
        <is>
          <t>Clinical</t>
        </is>
      </c>
      <c r="G43" s="11" t="inlineStr">
        <is>
          <t>CC-KIN</t>
        </is>
      </c>
      <c r="H43" s="11" t="inlineStr">
        <is>
          <t>01/01/2022</t>
        </is>
      </c>
      <c r="I43" s="11" t="inlineStr"/>
      <c r="J43" s="11" t="inlineStr">
        <is>
          <t>Active</t>
        </is>
      </c>
      <c r="K43" s="11" t="n">
        <v>37.5</v>
      </c>
      <c r="L43" s="11" t="inlineStr">
        <is>
          <t>Dental Nurse</t>
        </is>
      </c>
      <c r="M43" s="11" t="inlineStr">
        <is>
          <t>Band 4</t>
        </is>
      </c>
      <c r="N43" s="11" t="inlineStr">
        <is>
          <t>Permanent</t>
        </is>
      </c>
      <c r="O43" s="11" t="n">
        <v>1</v>
      </c>
      <c r="P43" s="11" t="inlineStr">
        <is>
          <t>P82603</t>
        </is>
      </c>
      <c r="Q43" s="11" t="inlineStr">
        <is>
          <t>N/A</t>
        </is>
      </c>
      <c r="R43" s="11" t="inlineStr">
        <is>
          <t>N/A</t>
        </is>
      </c>
      <c r="S43" s="11" t="inlineStr">
        <is>
          <t>N/A</t>
        </is>
      </c>
      <c r="T43" s="11" t="inlineStr">
        <is>
          <t>N/A</t>
        </is>
      </c>
      <c r="U43" s="11" t="inlineStr">
        <is>
          <t>N/A</t>
        </is>
      </c>
      <c r="V43" s="11" t="inlineStr">
        <is>
          <t>N/A</t>
        </is>
      </c>
      <c r="W43" s="11" t="inlineStr">
        <is>
          <t>N/A</t>
        </is>
      </c>
      <c r="X43" s="11" t="inlineStr">
        <is>
          <t>N/A</t>
        </is>
      </c>
      <c r="Y43" s="11" t="inlineStr">
        <is>
          <t>N/A</t>
        </is>
      </c>
      <c r="Z43" s="11" t="inlineStr">
        <is>
          <t>N/A</t>
        </is>
      </c>
      <c r="AA43" s="11" t="inlineStr">
        <is>
          <t>N/A</t>
        </is>
      </c>
      <c r="AB43" s="11" t="inlineStr">
        <is>
          <t>N/A</t>
        </is>
      </c>
      <c r="AC43" s="11" t="inlineStr">
        <is>
          <t>N/A</t>
        </is>
      </c>
      <c r="AD43" s="11" t="inlineStr">
        <is>
          <t>N/A</t>
        </is>
      </c>
      <c r="AE43" s="11" t="inlineStr">
        <is>
          <t>N/A</t>
        </is>
      </c>
      <c r="AF43" s="11" t="inlineStr">
        <is>
          <t>N/A</t>
        </is>
      </c>
      <c r="AG43" s="11" t="inlineStr">
        <is>
          <t>N/A</t>
        </is>
      </c>
      <c r="AH43" s="11" t="inlineStr">
        <is>
          <t>N/A</t>
        </is>
      </c>
      <c r="AI43" s="11" t="inlineStr">
        <is>
          <t>Practice Clinical</t>
        </is>
      </c>
      <c r="AJ43" s="2" t="n"/>
      <c r="AK43" s="2" t="n"/>
      <c r="AL43" s="2" t="n"/>
      <c r="AM43" s="2" t="n"/>
      <c r="AN43" s="2" t="n"/>
      <c r="AO43" s="2" t="n"/>
      <c r="AP43" s="2" t="n"/>
      <c r="AQ43" s="2" t="n"/>
      <c r="AR43" s="2" t="n"/>
      <c r="AS43" s="2" t="n"/>
    </row>
    <row r="44">
      <c r="A44" s="11" t="n">
        <v>32</v>
      </c>
      <c r="B44" s="11" t="inlineStr">
        <is>
          <t>Mr/Mrs</t>
        </is>
      </c>
      <c r="C44" s="11" t="inlineStr">
        <is>
          <t>Forename719</t>
        </is>
      </c>
      <c r="D44" s="11" t="inlineStr">
        <is>
          <t>Surname719</t>
        </is>
      </c>
      <c r="E44" s="11" t="inlineStr">
        <is>
          <t>Kings Road Dental Practice</t>
        </is>
      </c>
      <c r="F44" s="11" t="inlineStr">
        <is>
          <t>Support</t>
        </is>
      </c>
      <c r="G44" s="11" t="inlineStr">
        <is>
          <t>CC-KIN</t>
        </is>
      </c>
      <c r="H44" s="11" t="inlineStr">
        <is>
          <t>01/01/2022</t>
        </is>
      </c>
      <c r="I44" s="11" t="inlineStr"/>
      <c r="J44" s="11" t="inlineStr">
        <is>
          <t>Active</t>
        </is>
      </c>
      <c r="K44" s="11" t="n">
        <v>37.5</v>
      </c>
      <c r="L44" s="11" t="inlineStr">
        <is>
          <t>Practice Receptionist</t>
        </is>
      </c>
      <c r="M44" s="11" t="inlineStr">
        <is>
          <t>Band 4</t>
        </is>
      </c>
      <c r="N44" s="11" t="inlineStr">
        <is>
          <t>Permanent</t>
        </is>
      </c>
      <c r="O44" s="11" t="n">
        <v>1</v>
      </c>
      <c r="P44" s="11" t="inlineStr">
        <is>
          <t>P92719</t>
        </is>
      </c>
      <c r="Q44" s="11" t="inlineStr">
        <is>
          <t>N/A</t>
        </is>
      </c>
      <c r="R44" s="11" t="inlineStr">
        <is>
          <t>N/A</t>
        </is>
      </c>
      <c r="S44" s="11" t="inlineStr">
        <is>
          <t>N/A</t>
        </is>
      </c>
      <c r="T44" s="11" t="inlineStr">
        <is>
          <t>N/A</t>
        </is>
      </c>
      <c r="U44" s="11" t="inlineStr">
        <is>
          <t>N/A</t>
        </is>
      </c>
      <c r="V44" s="11" t="inlineStr">
        <is>
          <t>N/A</t>
        </is>
      </c>
      <c r="W44" s="11" t="inlineStr">
        <is>
          <t>N/A</t>
        </is>
      </c>
      <c r="X44" s="11" t="inlineStr">
        <is>
          <t>N/A</t>
        </is>
      </c>
      <c r="Y44" s="11" t="inlineStr">
        <is>
          <t>N/A</t>
        </is>
      </c>
      <c r="Z44" s="11" t="inlineStr">
        <is>
          <t>N/A</t>
        </is>
      </c>
      <c r="AA44" s="11" t="inlineStr">
        <is>
          <t>N/A</t>
        </is>
      </c>
      <c r="AB44" s="11" t="inlineStr">
        <is>
          <t>N/A</t>
        </is>
      </c>
      <c r="AC44" s="11" t="inlineStr">
        <is>
          <t>N/A</t>
        </is>
      </c>
      <c r="AD44" s="11" t="inlineStr">
        <is>
          <t>N/A</t>
        </is>
      </c>
      <c r="AE44" s="11" t="inlineStr">
        <is>
          <t>N/A</t>
        </is>
      </c>
      <c r="AF44" s="11" t="inlineStr">
        <is>
          <t>N/A</t>
        </is>
      </c>
      <c r="AG44" s="11" t="inlineStr">
        <is>
          <t>N/A</t>
        </is>
      </c>
      <c r="AH44" s="11" t="inlineStr">
        <is>
          <t>N/A</t>
        </is>
      </c>
      <c r="AI44" s="11" t="inlineStr">
        <is>
          <t>Practice Support</t>
        </is>
      </c>
      <c r="AJ44" s="2" t="n"/>
      <c r="AK44" s="2" t="n"/>
      <c r="AL44" s="2" t="n"/>
      <c r="AM44" s="2" t="n"/>
      <c r="AN44" s="2" t="n"/>
      <c r="AO44" s="2" t="n"/>
      <c r="AP44" s="2" t="n"/>
      <c r="AQ44" s="2" t="n"/>
      <c r="AR44" s="2" t="n"/>
      <c r="AS44" s="2" t="n"/>
    </row>
    <row r="45">
      <c r="A45" s="11" t="n">
        <v>33</v>
      </c>
      <c r="B45" s="11" t="inlineStr">
        <is>
          <t>Mr/Mrs</t>
        </is>
      </c>
      <c r="C45" s="11" t="inlineStr">
        <is>
          <t>Forename287</t>
        </is>
      </c>
      <c r="D45" s="11" t="inlineStr">
        <is>
          <t>Surname287</t>
        </is>
      </c>
      <c r="E45" s="11" t="inlineStr">
        <is>
          <t>Riverside Dental Practice</t>
        </is>
      </c>
      <c r="F45" s="11" t="inlineStr">
        <is>
          <t>Clinical</t>
        </is>
      </c>
      <c r="G45" s="11" t="inlineStr">
        <is>
          <t>CC-RIV</t>
        </is>
      </c>
      <c r="H45" s="11" t="inlineStr">
        <is>
          <t>01/01/2022</t>
        </is>
      </c>
      <c r="I45" s="11" t="inlineStr"/>
      <c r="J45" s="11" t="inlineStr">
        <is>
          <t>Active</t>
        </is>
      </c>
      <c r="K45" s="11" t="n">
        <v>37.5</v>
      </c>
      <c r="L45" s="11" t="inlineStr">
        <is>
          <t>Dentist</t>
        </is>
      </c>
      <c r="M45" s="11" t="inlineStr">
        <is>
          <t>Band 4</t>
        </is>
      </c>
      <c r="N45" s="11" t="inlineStr">
        <is>
          <t>Permanent</t>
        </is>
      </c>
      <c r="O45" s="11" t="n">
        <v>1</v>
      </c>
      <c r="P45" s="11" t="inlineStr">
        <is>
          <t>P19287</t>
        </is>
      </c>
      <c r="Q45" s="11" t="inlineStr">
        <is>
          <t>N/A</t>
        </is>
      </c>
      <c r="R45" s="11" t="inlineStr">
        <is>
          <t>N/A</t>
        </is>
      </c>
      <c r="S45" s="11" t="inlineStr">
        <is>
          <t>N/A</t>
        </is>
      </c>
      <c r="T45" s="11" t="inlineStr">
        <is>
          <t>N/A</t>
        </is>
      </c>
      <c r="U45" s="11" t="inlineStr">
        <is>
          <t>N/A</t>
        </is>
      </c>
      <c r="V45" s="11" t="inlineStr">
        <is>
          <t>N/A</t>
        </is>
      </c>
      <c r="W45" s="11" t="inlineStr">
        <is>
          <t>N/A</t>
        </is>
      </c>
      <c r="X45" s="11" t="inlineStr">
        <is>
          <t>N/A</t>
        </is>
      </c>
      <c r="Y45" s="11" t="inlineStr">
        <is>
          <t>N/A</t>
        </is>
      </c>
      <c r="Z45" s="11" t="inlineStr">
        <is>
          <t>N/A</t>
        </is>
      </c>
      <c r="AA45" s="11" t="inlineStr">
        <is>
          <t>N/A</t>
        </is>
      </c>
      <c r="AB45" s="11" t="inlineStr">
        <is>
          <t>N/A</t>
        </is>
      </c>
      <c r="AC45" s="11" t="inlineStr">
        <is>
          <t>N/A</t>
        </is>
      </c>
      <c r="AD45" s="11" t="inlineStr">
        <is>
          <t>N/A</t>
        </is>
      </c>
      <c r="AE45" s="11" t="inlineStr">
        <is>
          <t>N/A</t>
        </is>
      </c>
      <c r="AF45" s="11" t="inlineStr">
        <is>
          <t>N/A</t>
        </is>
      </c>
      <c r="AG45" s="11" t="inlineStr">
        <is>
          <t>N/A</t>
        </is>
      </c>
      <c r="AH45" s="11" t="inlineStr">
        <is>
          <t>N/A</t>
        </is>
      </c>
      <c r="AI45" s="11" t="inlineStr">
        <is>
          <t>Practice Clinical</t>
        </is>
      </c>
      <c r="AJ45" s="2" t="n"/>
      <c r="AK45" s="2" t="n"/>
      <c r="AL45" s="2" t="n"/>
      <c r="AM45" s="2" t="n"/>
      <c r="AN45" s="2" t="n"/>
      <c r="AO45" s="2" t="n"/>
      <c r="AP45" s="2" t="n"/>
      <c r="AQ45" s="2" t="n"/>
      <c r="AR45" s="2" t="n"/>
      <c r="AS45" s="2" t="n"/>
    </row>
    <row r="46">
      <c r="A46" s="11" t="n">
        <v>34</v>
      </c>
      <c r="B46" s="11" t="inlineStr">
        <is>
          <t>Mr/Mrs</t>
        </is>
      </c>
      <c r="C46" s="11" t="inlineStr">
        <is>
          <t>Forename624</t>
        </is>
      </c>
      <c r="D46" s="11" t="inlineStr">
        <is>
          <t>Surname624</t>
        </is>
      </c>
      <c r="E46" s="11" t="inlineStr">
        <is>
          <t>Hakim Group Head Office</t>
        </is>
      </c>
      <c r="F46" s="11" t="inlineStr">
        <is>
          <t>Support</t>
        </is>
      </c>
      <c r="G46" s="11" t="inlineStr">
        <is>
          <t>CC-HAK</t>
        </is>
      </c>
      <c r="H46" s="11" t="inlineStr">
        <is>
          <t>01/01/2022</t>
        </is>
      </c>
      <c r="I46" s="11" t="inlineStr"/>
      <c r="J46" s="11" t="inlineStr">
        <is>
          <t>Active</t>
        </is>
      </c>
      <c r="K46" s="11" t="n">
        <v>37.5</v>
      </c>
      <c r="L46" s="11" t="inlineStr">
        <is>
          <t>HR Business Partner</t>
        </is>
      </c>
      <c r="M46" s="11" t="inlineStr">
        <is>
          <t>Band 4</t>
        </is>
      </c>
      <c r="N46" s="11" t="inlineStr">
        <is>
          <t>Permanent</t>
        </is>
      </c>
      <c r="O46" s="11" t="n">
        <v>1</v>
      </c>
      <c r="P46" s="11" t="inlineStr">
        <is>
          <t>P73624</t>
        </is>
      </c>
      <c r="Q46" s="11" t="inlineStr">
        <is>
          <t>N/A</t>
        </is>
      </c>
      <c r="R46" s="11" t="inlineStr">
        <is>
          <t>N/A</t>
        </is>
      </c>
      <c r="S46" s="11" t="inlineStr">
        <is>
          <t>N/A</t>
        </is>
      </c>
      <c r="T46" s="11" t="inlineStr">
        <is>
          <t>N/A</t>
        </is>
      </c>
      <c r="U46" s="11" t="inlineStr">
        <is>
          <t>N/A</t>
        </is>
      </c>
      <c r="V46" s="11" t="inlineStr">
        <is>
          <t>N/A</t>
        </is>
      </c>
      <c r="W46" s="11" t="inlineStr">
        <is>
          <t>N/A</t>
        </is>
      </c>
      <c r="X46" s="11" t="inlineStr">
        <is>
          <t>N/A</t>
        </is>
      </c>
      <c r="Y46" s="11" t="inlineStr">
        <is>
          <t>N/A</t>
        </is>
      </c>
      <c r="Z46" s="11" t="inlineStr">
        <is>
          <t>N/A</t>
        </is>
      </c>
      <c r="AA46" s="11" t="inlineStr">
        <is>
          <t>N/A</t>
        </is>
      </c>
      <c r="AB46" s="11" t="inlineStr">
        <is>
          <t>N/A</t>
        </is>
      </c>
      <c r="AC46" s="11" t="inlineStr">
        <is>
          <t>N/A</t>
        </is>
      </c>
      <c r="AD46" s="11" t="inlineStr">
        <is>
          <t>N/A</t>
        </is>
      </c>
      <c r="AE46" s="11" t="inlineStr">
        <is>
          <t>N/A</t>
        </is>
      </c>
      <c r="AF46" s="11" t="inlineStr">
        <is>
          <t>N/A</t>
        </is>
      </c>
      <c r="AG46" s="11" t="inlineStr">
        <is>
          <t>N/A</t>
        </is>
      </c>
      <c r="AH46" s="11" t="inlineStr">
        <is>
          <t>N/A</t>
        </is>
      </c>
      <c r="AI46" s="11" t="inlineStr">
        <is>
          <t>HGHQ</t>
        </is>
      </c>
      <c r="AJ46" s="2" t="n"/>
      <c r="AK46" s="2" t="n"/>
      <c r="AL46" s="2" t="n"/>
      <c r="AM46" s="2" t="n"/>
      <c r="AN46" s="2" t="n"/>
      <c r="AO46" s="2" t="n"/>
      <c r="AP46" s="2" t="n"/>
      <c r="AQ46" s="2" t="n"/>
      <c r="AR46" s="2" t="n"/>
      <c r="AS46" s="2" t="n"/>
    </row>
    <row r="47">
      <c r="A47" s="11" t="n">
        <v>35</v>
      </c>
      <c r="B47" s="11" t="inlineStr">
        <is>
          <t>Mr/Mrs</t>
        </is>
      </c>
      <c r="C47" s="11" t="inlineStr">
        <is>
          <t>Forename847</t>
        </is>
      </c>
      <c r="D47" s="11" t="inlineStr">
        <is>
          <t>Surname847</t>
        </is>
      </c>
      <c r="E47" s="11" t="inlineStr">
        <is>
          <t>Kings Road Dental Practice</t>
        </is>
      </c>
      <c r="F47" s="11" t="inlineStr">
        <is>
          <t>Support</t>
        </is>
      </c>
      <c r="G47" s="11" t="inlineStr">
        <is>
          <t>CC-KIN</t>
        </is>
      </c>
      <c r="H47" s="11" t="inlineStr">
        <is>
          <t>01/01/2022</t>
        </is>
      </c>
      <c r="I47" s="11" t="inlineStr"/>
      <c r="J47" s="11" t="inlineStr">
        <is>
          <t>Active</t>
        </is>
      </c>
      <c r="K47" s="11" t="n">
        <v>37.5</v>
      </c>
      <c r="L47" s="11" t="inlineStr">
        <is>
          <t>Practice Administrator</t>
        </is>
      </c>
      <c r="M47" s="11" t="inlineStr">
        <is>
          <t>Band 4</t>
        </is>
      </c>
      <c r="N47" s="11" t="inlineStr">
        <is>
          <t>Permanent</t>
        </is>
      </c>
      <c r="O47" s="11" t="n">
        <v>1</v>
      </c>
      <c r="P47" s="11" t="inlineStr">
        <is>
          <t>P84847</t>
        </is>
      </c>
      <c r="Q47" s="11" t="inlineStr">
        <is>
          <t>N/A</t>
        </is>
      </c>
      <c r="R47" s="11" t="inlineStr">
        <is>
          <t>N/A</t>
        </is>
      </c>
      <c r="S47" s="11" t="inlineStr">
        <is>
          <t>N/A</t>
        </is>
      </c>
      <c r="T47" s="11" t="inlineStr">
        <is>
          <t>N/A</t>
        </is>
      </c>
      <c r="U47" s="11" t="inlineStr">
        <is>
          <t>N/A</t>
        </is>
      </c>
      <c r="V47" s="11" t="inlineStr">
        <is>
          <t>N/A</t>
        </is>
      </c>
      <c r="W47" s="11" t="inlineStr">
        <is>
          <t>N/A</t>
        </is>
      </c>
      <c r="X47" s="11" t="inlineStr">
        <is>
          <t>N/A</t>
        </is>
      </c>
      <c r="Y47" s="11" t="inlineStr">
        <is>
          <t>N/A</t>
        </is>
      </c>
      <c r="Z47" s="11" t="inlineStr">
        <is>
          <t>N/A</t>
        </is>
      </c>
      <c r="AA47" s="11" t="inlineStr">
        <is>
          <t>N/A</t>
        </is>
      </c>
      <c r="AB47" s="11" t="inlineStr">
        <is>
          <t>N/A</t>
        </is>
      </c>
      <c r="AC47" s="11" t="inlineStr">
        <is>
          <t>N/A</t>
        </is>
      </c>
      <c r="AD47" s="11" t="inlineStr">
        <is>
          <t>N/A</t>
        </is>
      </c>
      <c r="AE47" s="11" t="inlineStr">
        <is>
          <t>N/A</t>
        </is>
      </c>
      <c r="AF47" s="11" t="inlineStr">
        <is>
          <t>N/A</t>
        </is>
      </c>
      <c r="AG47" s="11" t="inlineStr">
        <is>
          <t>N/A</t>
        </is>
      </c>
      <c r="AH47" s="11" t="inlineStr">
        <is>
          <t>N/A</t>
        </is>
      </c>
      <c r="AI47" s="11" t="inlineStr">
        <is>
          <t>Practice Support</t>
        </is>
      </c>
      <c r="AJ47" s="2" t="n"/>
      <c r="AK47" s="2" t="n"/>
      <c r="AL47" s="2" t="n"/>
      <c r="AM47" s="2" t="n"/>
      <c r="AN47" s="2" t="n"/>
      <c r="AO47" s="2" t="n"/>
      <c r="AP47" s="2" t="n"/>
      <c r="AQ47" s="2" t="n"/>
      <c r="AR47" s="2" t="n"/>
      <c r="AS47" s="2" t="n"/>
    </row>
    <row r="48">
      <c r="A48" s="11" t="n">
        <v>36</v>
      </c>
      <c r="B48" s="11" t="inlineStr">
        <is>
          <t>Mr/Mrs</t>
        </is>
      </c>
      <c r="C48" s="11" t="inlineStr">
        <is>
          <t>Forename993</t>
        </is>
      </c>
      <c r="D48" s="11" t="inlineStr">
        <is>
          <t>Surname993</t>
        </is>
      </c>
      <c r="E48" s="11" t="inlineStr">
        <is>
          <t>Hakim Group Head Office</t>
        </is>
      </c>
      <c r="F48" s="11" t="inlineStr">
        <is>
          <t>Support</t>
        </is>
      </c>
      <c r="G48" s="11" t="inlineStr">
        <is>
          <t>CC-HAK</t>
        </is>
      </c>
      <c r="H48" s="11" t="inlineStr">
        <is>
          <t>01/01/2022</t>
        </is>
      </c>
      <c r="I48" s="11" t="inlineStr"/>
      <c r="J48" s="11" t="inlineStr">
        <is>
          <t>Active</t>
        </is>
      </c>
      <c r="K48" s="11" t="n">
        <v>37.5</v>
      </c>
      <c r="L48" s="11" t="inlineStr">
        <is>
          <t>IT Support Engineer</t>
        </is>
      </c>
      <c r="M48" s="11" t="inlineStr">
        <is>
          <t>Band 4</t>
        </is>
      </c>
      <c r="N48" s="11" t="inlineStr">
        <is>
          <t>Permanent</t>
        </is>
      </c>
      <c r="O48" s="11" t="n">
        <v>1</v>
      </c>
      <c r="P48" s="11" t="inlineStr">
        <is>
          <t>P71993</t>
        </is>
      </c>
      <c r="Q48" s="11" t="inlineStr">
        <is>
          <t>N/A</t>
        </is>
      </c>
      <c r="R48" s="11" t="inlineStr">
        <is>
          <t>N/A</t>
        </is>
      </c>
      <c r="S48" s="11" t="inlineStr">
        <is>
          <t>N/A</t>
        </is>
      </c>
      <c r="T48" s="11" t="inlineStr">
        <is>
          <t>N/A</t>
        </is>
      </c>
      <c r="U48" s="11" t="inlineStr">
        <is>
          <t>N/A</t>
        </is>
      </c>
      <c r="V48" s="11" t="inlineStr">
        <is>
          <t>N/A</t>
        </is>
      </c>
      <c r="W48" s="11" t="inlineStr">
        <is>
          <t>N/A</t>
        </is>
      </c>
      <c r="X48" s="11" t="inlineStr">
        <is>
          <t>N/A</t>
        </is>
      </c>
      <c r="Y48" s="11" t="inlineStr">
        <is>
          <t>N/A</t>
        </is>
      </c>
      <c r="Z48" s="11" t="inlineStr">
        <is>
          <t>N/A</t>
        </is>
      </c>
      <c r="AA48" s="11" t="inlineStr">
        <is>
          <t>N/A</t>
        </is>
      </c>
      <c r="AB48" s="11" t="inlineStr">
        <is>
          <t>N/A</t>
        </is>
      </c>
      <c r="AC48" s="11" t="inlineStr">
        <is>
          <t>N/A</t>
        </is>
      </c>
      <c r="AD48" s="11" t="inlineStr">
        <is>
          <t>N/A</t>
        </is>
      </c>
      <c r="AE48" s="11" t="inlineStr">
        <is>
          <t>N/A</t>
        </is>
      </c>
      <c r="AF48" s="11" t="inlineStr">
        <is>
          <t>N/A</t>
        </is>
      </c>
      <c r="AG48" s="11" t="inlineStr">
        <is>
          <t>N/A</t>
        </is>
      </c>
      <c r="AH48" s="11" t="inlineStr">
        <is>
          <t>N/A</t>
        </is>
      </c>
      <c r="AI48" s="11" t="inlineStr">
        <is>
          <t>HGHQ</t>
        </is>
      </c>
      <c r="AJ48" s="2" t="n"/>
      <c r="AK48" s="2" t="n"/>
      <c r="AL48" s="2" t="n"/>
      <c r="AM48" s="2" t="n"/>
      <c r="AN48" s="2" t="n"/>
      <c r="AO48" s="2" t="n"/>
      <c r="AP48" s="2" t="n"/>
      <c r="AQ48" s="2" t="n"/>
      <c r="AR48" s="2" t="n"/>
      <c r="AS48" s="2" t="n"/>
    </row>
    <row r="49">
      <c r="A49" s="11" t="n">
        <v>37</v>
      </c>
      <c r="B49" s="11" t="inlineStr">
        <is>
          <t>Mr/Mrs</t>
        </is>
      </c>
      <c r="C49" s="11" t="inlineStr">
        <is>
          <t>Forename438</t>
        </is>
      </c>
      <c r="D49" s="11" t="inlineStr">
        <is>
          <t>Surname438</t>
        </is>
      </c>
      <c r="E49" s="11" t="inlineStr">
        <is>
          <t>Oakfield Dental Practice</t>
        </is>
      </c>
      <c r="F49" s="11" t="inlineStr">
        <is>
          <t>Clinical</t>
        </is>
      </c>
      <c r="G49" s="11" t="inlineStr">
        <is>
          <t>CC-OAK</t>
        </is>
      </c>
      <c r="H49" s="11" t="inlineStr">
        <is>
          <t>01/01/2022</t>
        </is>
      </c>
      <c r="I49" s="11" t="inlineStr"/>
      <c r="J49" s="11" t="inlineStr">
        <is>
          <t>Active</t>
        </is>
      </c>
      <c r="K49" s="11" t="n">
        <v>37.5</v>
      </c>
      <c r="L49" s="11" t="inlineStr">
        <is>
          <t>Dentist</t>
        </is>
      </c>
      <c r="M49" s="11" t="inlineStr">
        <is>
          <t>Band 4</t>
        </is>
      </c>
      <c r="N49" s="11" t="inlineStr">
        <is>
          <t>Permanent</t>
        </is>
      </c>
      <c r="O49" s="11" t="n">
        <v>1</v>
      </c>
      <c r="P49" s="11" t="inlineStr">
        <is>
          <t>P56438</t>
        </is>
      </c>
      <c r="Q49" s="11" t="inlineStr">
        <is>
          <t>N/A</t>
        </is>
      </c>
      <c r="R49" s="11" t="inlineStr">
        <is>
          <t>N/A</t>
        </is>
      </c>
      <c r="S49" s="11" t="inlineStr">
        <is>
          <t>N/A</t>
        </is>
      </c>
      <c r="T49" s="11" t="inlineStr">
        <is>
          <t>N/A</t>
        </is>
      </c>
      <c r="U49" s="11" t="inlineStr">
        <is>
          <t>N/A</t>
        </is>
      </c>
      <c r="V49" s="11" t="inlineStr">
        <is>
          <t>N/A</t>
        </is>
      </c>
      <c r="W49" s="11" t="inlineStr">
        <is>
          <t>N/A</t>
        </is>
      </c>
      <c r="X49" s="11" t="inlineStr">
        <is>
          <t>N/A</t>
        </is>
      </c>
      <c r="Y49" s="11" t="inlineStr">
        <is>
          <t>N/A</t>
        </is>
      </c>
      <c r="Z49" s="11" t="inlineStr">
        <is>
          <t>N/A</t>
        </is>
      </c>
      <c r="AA49" s="11" t="inlineStr">
        <is>
          <t>N/A</t>
        </is>
      </c>
      <c r="AB49" s="11" t="inlineStr">
        <is>
          <t>N/A</t>
        </is>
      </c>
      <c r="AC49" s="11" t="inlineStr">
        <is>
          <t>N/A</t>
        </is>
      </c>
      <c r="AD49" s="11" t="inlineStr">
        <is>
          <t>N/A</t>
        </is>
      </c>
      <c r="AE49" s="11" t="inlineStr">
        <is>
          <t>N/A</t>
        </is>
      </c>
      <c r="AF49" s="11" t="inlineStr">
        <is>
          <t>N/A</t>
        </is>
      </c>
      <c r="AG49" s="11" t="inlineStr">
        <is>
          <t>N/A</t>
        </is>
      </c>
      <c r="AH49" s="11" t="inlineStr">
        <is>
          <t>N/A</t>
        </is>
      </c>
      <c r="AI49" s="11" t="inlineStr">
        <is>
          <t>Practice Clinical</t>
        </is>
      </c>
      <c r="AJ49" s="2" t="n"/>
      <c r="AK49" s="2" t="n"/>
      <c r="AL49" s="2" t="n"/>
      <c r="AM49" s="2" t="n"/>
      <c r="AN49" s="2" t="n"/>
      <c r="AO49" s="2" t="n"/>
      <c r="AP49" s="2" t="n"/>
      <c r="AQ49" s="2" t="n"/>
      <c r="AR49" s="2" t="n"/>
      <c r="AS49" s="2" t="n"/>
    </row>
    <row r="50">
      <c r="A50" s="11" t="n">
        <v>38</v>
      </c>
      <c r="B50" s="11" t="inlineStr">
        <is>
          <t>Mr/Mrs</t>
        </is>
      </c>
      <c r="C50" s="11" t="inlineStr">
        <is>
          <t>Forename696</t>
        </is>
      </c>
      <c r="D50" s="11" t="inlineStr">
        <is>
          <t>Surname696</t>
        </is>
      </c>
      <c r="E50" s="11" t="inlineStr">
        <is>
          <t>Oakfield Dental Practice</t>
        </is>
      </c>
      <c r="F50" s="11" t="inlineStr">
        <is>
          <t>Clinical</t>
        </is>
      </c>
      <c r="G50" s="11" t="inlineStr">
        <is>
          <t>CC-OAK</t>
        </is>
      </c>
      <c r="H50" s="11" t="inlineStr">
        <is>
          <t>01/01/2022</t>
        </is>
      </c>
      <c r="I50" s="11" t="inlineStr"/>
      <c r="J50" s="11" t="inlineStr">
        <is>
          <t>Active</t>
        </is>
      </c>
      <c r="K50" s="11" t="n">
        <v>37.5</v>
      </c>
      <c r="L50" s="11" t="inlineStr">
        <is>
          <t>Dentist</t>
        </is>
      </c>
      <c r="M50" s="11" t="inlineStr">
        <is>
          <t>Band 4</t>
        </is>
      </c>
      <c r="N50" s="11" t="inlineStr">
        <is>
          <t>Permanent</t>
        </is>
      </c>
      <c r="O50" s="11" t="n">
        <v>1</v>
      </c>
      <c r="P50" s="11" t="inlineStr">
        <is>
          <t>P94696</t>
        </is>
      </c>
      <c r="Q50" s="11" t="inlineStr">
        <is>
          <t>N/A</t>
        </is>
      </c>
      <c r="R50" s="11" t="inlineStr">
        <is>
          <t>N/A</t>
        </is>
      </c>
      <c r="S50" s="11" t="inlineStr">
        <is>
          <t>N/A</t>
        </is>
      </c>
      <c r="T50" s="11" t="inlineStr">
        <is>
          <t>N/A</t>
        </is>
      </c>
      <c r="U50" s="11" t="inlineStr">
        <is>
          <t>N/A</t>
        </is>
      </c>
      <c r="V50" s="11" t="inlineStr">
        <is>
          <t>N/A</t>
        </is>
      </c>
      <c r="W50" s="11" t="inlineStr">
        <is>
          <t>N/A</t>
        </is>
      </c>
      <c r="X50" s="11" t="inlineStr">
        <is>
          <t>N/A</t>
        </is>
      </c>
      <c r="Y50" s="11" t="inlineStr">
        <is>
          <t>N/A</t>
        </is>
      </c>
      <c r="Z50" s="11" t="inlineStr">
        <is>
          <t>N/A</t>
        </is>
      </c>
      <c r="AA50" s="11" t="inlineStr">
        <is>
          <t>N/A</t>
        </is>
      </c>
      <c r="AB50" s="11" t="inlineStr">
        <is>
          <t>N/A</t>
        </is>
      </c>
      <c r="AC50" s="11" t="inlineStr">
        <is>
          <t>N/A</t>
        </is>
      </c>
      <c r="AD50" s="11" t="inlineStr">
        <is>
          <t>N/A</t>
        </is>
      </c>
      <c r="AE50" s="11" t="inlineStr">
        <is>
          <t>N/A</t>
        </is>
      </c>
      <c r="AF50" s="11" t="inlineStr">
        <is>
          <t>N/A</t>
        </is>
      </c>
      <c r="AG50" s="11" t="inlineStr">
        <is>
          <t>N/A</t>
        </is>
      </c>
      <c r="AH50" s="11" t="inlineStr">
        <is>
          <t>N/A</t>
        </is>
      </c>
      <c r="AI50" s="11" t="inlineStr">
        <is>
          <t>Practice Clinical</t>
        </is>
      </c>
      <c r="AJ50" s="2" t="n"/>
      <c r="AK50" s="2" t="n"/>
      <c r="AL50" s="2" t="n"/>
      <c r="AM50" s="2" t="n"/>
      <c r="AN50" s="2" t="n"/>
      <c r="AO50" s="2" t="n"/>
      <c r="AP50" s="2" t="n"/>
      <c r="AQ50" s="2" t="n"/>
      <c r="AR50" s="2" t="n"/>
      <c r="AS50" s="2" t="n"/>
    </row>
    <row r="51">
      <c r="A51" s="11" t="n">
        <v>39</v>
      </c>
      <c r="B51" s="11" t="inlineStr">
        <is>
          <t>Mr/Mrs</t>
        </is>
      </c>
      <c r="C51" s="11" t="inlineStr">
        <is>
          <t>Forename322</t>
        </is>
      </c>
      <c r="D51" s="11" t="inlineStr">
        <is>
          <t>Surname322</t>
        </is>
      </c>
      <c r="E51" s="11" t="inlineStr">
        <is>
          <t>Riverside Dental Practice</t>
        </is>
      </c>
      <c r="F51" s="11" t="inlineStr">
        <is>
          <t>Clinical</t>
        </is>
      </c>
      <c r="G51" s="11" t="inlineStr">
        <is>
          <t>CC-RIV</t>
        </is>
      </c>
      <c r="H51" s="11" t="inlineStr">
        <is>
          <t>01/01/2022</t>
        </is>
      </c>
      <c r="I51" s="11" t="inlineStr"/>
      <c r="J51" s="11" t="inlineStr">
        <is>
          <t>Active</t>
        </is>
      </c>
      <c r="K51" s="11" t="n">
        <v>37.5</v>
      </c>
      <c r="L51" s="11" t="inlineStr">
        <is>
          <t>Dental Nurse</t>
        </is>
      </c>
      <c r="M51" s="11" t="inlineStr">
        <is>
          <t>Band 4</t>
        </is>
      </c>
      <c r="N51" s="11" t="inlineStr">
        <is>
          <t>Permanent</t>
        </is>
      </c>
      <c r="O51" s="11" t="n">
        <v>1</v>
      </c>
      <c r="P51" s="11" t="inlineStr">
        <is>
          <t>P24322</t>
        </is>
      </c>
      <c r="Q51" s="11" t="inlineStr">
        <is>
          <t>N/A</t>
        </is>
      </c>
      <c r="R51" s="11" t="inlineStr">
        <is>
          <t>N/A</t>
        </is>
      </c>
      <c r="S51" s="11" t="inlineStr">
        <is>
          <t>N/A</t>
        </is>
      </c>
      <c r="T51" s="11" t="inlineStr">
        <is>
          <t>N/A</t>
        </is>
      </c>
      <c r="U51" s="11" t="inlineStr">
        <is>
          <t>N/A</t>
        </is>
      </c>
      <c r="V51" s="11" t="inlineStr">
        <is>
          <t>N/A</t>
        </is>
      </c>
      <c r="W51" s="11" t="inlineStr">
        <is>
          <t>N/A</t>
        </is>
      </c>
      <c r="X51" s="11" t="inlineStr">
        <is>
          <t>N/A</t>
        </is>
      </c>
      <c r="Y51" s="11" t="inlineStr">
        <is>
          <t>N/A</t>
        </is>
      </c>
      <c r="Z51" s="11" t="inlineStr">
        <is>
          <t>N/A</t>
        </is>
      </c>
      <c r="AA51" s="11" t="inlineStr">
        <is>
          <t>N/A</t>
        </is>
      </c>
      <c r="AB51" s="11" t="inlineStr">
        <is>
          <t>N/A</t>
        </is>
      </c>
      <c r="AC51" s="11" t="inlineStr">
        <is>
          <t>N/A</t>
        </is>
      </c>
      <c r="AD51" s="11" t="inlineStr">
        <is>
          <t>N/A</t>
        </is>
      </c>
      <c r="AE51" s="11" t="inlineStr">
        <is>
          <t>N/A</t>
        </is>
      </c>
      <c r="AF51" s="11" t="inlineStr">
        <is>
          <t>N/A</t>
        </is>
      </c>
      <c r="AG51" s="11" t="inlineStr">
        <is>
          <t>N/A</t>
        </is>
      </c>
      <c r="AH51" s="11" t="inlineStr">
        <is>
          <t>N/A</t>
        </is>
      </c>
      <c r="AI51" s="11" t="inlineStr">
        <is>
          <t>Practice Clinical</t>
        </is>
      </c>
      <c r="AJ51" s="2" t="n"/>
      <c r="AK51" s="2" t="n"/>
      <c r="AL51" s="2" t="n"/>
      <c r="AM51" s="2" t="n"/>
      <c r="AN51" s="2" t="n"/>
      <c r="AO51" s="2" t="n"/>
      <c r="AP51" s="2" t="n"/>
      <c r="AQ51" s="2" t="n"/>
      <c r="AR51" s="2" t="n"/>
      <c r="AS51" s="2" t="n"/>
    </row>
    <row r="52">
      <c r="A52" s="11" t="n">
        <v>40</v>
      </c>
      <c r="B52" s="11" t="inlineStr">
        <is>
          <t>Mr/Mrs</t>
        </is>
      </c>
      <c r="C52" s="11" t="inlineStr">
        <is>
          <t>Forename050</t>
        </is>
      </c>
      <c r="D52" s="11" t="inlineStr">
        <is>
          <t>Surname050</t>
        </is>
      </c>
      <c r="E52" s="11" t="inlineStr">
        <is>
          <t>Kings Road Dental Practice</t>
        </is>
      </c>
      <c r="F52" s="11" t="inlineStr">
        <is>
          <t>Clinical</t>
        </is>
      </c>
      <c r="G52" s="11" t="inlineStr">
        <is>
          <t>CC-KIN</t>
        </is>
      </c>
      <c r="H52" s="11" t="inlineStr">
        <is>
          <t>01/01/2022</t>
        </is>
      </c>
      <c r="I52" s="11" t="inlineStr"/>
      <c r="J52" s="11" t="inlineStr">
        <is>
          <t>Active</t>
        </is>
      </c>
      <c r="K52" s="11" t="n">
        <v>37.5</v>
      </c>
      <c r="L52" s="11" t="inlineStr">
        <is>
          <t>Orthodontist</t>
        </is>
      </c>
      <c r="M52" s="11" t="inlineStr">
        <is>
          <t>Band 4</t>
        </is>
      </c>
      <c r="N52" s="11" t="inlineStr">
        <is>
          <t>Permanent</t>
        </is>
      </c>
      <c r="O52" s="11" t="n">
        <v>1</v>
      </c>
      <c r="P52" s="11" t="inlineStr">
        <is>
          <t>P34050</t>
        </is>
      </c>
      <c r="Q52" s="11" t="inlineStr">
        <is>
          <t>N/A</t>
        </is>
      </c>
      <c r="R52" s="11" t="inlineStr">
        <is>
          <t>N/A</t>
        </is>
      </c>
      <c r="S52" s="11" t="inlineStr">
        <is>
          <t>N/A</t>
        </is>
      </c>
      <c r="T52" s="11" t="inlineStr">
        <is>
          <t>N/A</t>
        </is>
      </c>
      <c r="U52" s="11" t="inlineStr">
        <is>
          <t>N/A</t>
        </is>
      </c>
      <c r="V52" s="11" t="inlineStr">
        <is>
          <t>N/A</t>
        </is>
      </c>
      <c r="W52" s="11" t="inlineStr">
        <is>
          <t>N/A</t>
        </is>
      </c>
      <c r="X52" s="11" t="inlineStr">
        <is>
          <t>N/A</t>
        </is>
      </c>
      <c r="Y52" s="11" t="inlineStr">
        <is>
          <t>N/A</t>
        </is>
      </c>
      <c r="Z52" s="11" t="inlineStr">
        <is>
          <t>N/A</t>
        </is>
      </c>
      <c r="AA52" s="11" t="inlineStr">
        <is>
          <t>N/A</t>
        </is>
      </c>
      <c r="AB52" s="11" t="inlineStr">
        <is>
          <t>N/A</t>
        </is>
      </c>
      <c r="AC52" s="11" t="inlineStr">
        <is>
          <t>N/A</t>
        </is>
      </c>
      <c r="AD52" s="11" t="inlineStr">
        <is>
          <t>N/A</t>
        </is>
      </c>
      <c r="AE52" s="11" t="inlineStr">
        <is>
          <t>N/A</t>
        </is>
      </c>
      <c r="AF52" s="11" t="inlineStr">
        <is>
          <t>N/A</t>
        </is>
      </c>
      <c r="AG52" s="11" t="inlineStr">
        <is>
          <t>N/A</t>
        </is>
      </c>
      <c r="AH52" s="11" t="inlineStr">
        <is>
          <t>N/A</t>
        </is>
      </c>
      <c r="AI52" s="11" t="inlineStr">
        <is>
          <t>Practice Clinical</t>
        </is>
      </c>
      <c r="AJ52" s="2" t="n"/>
      <c r="AK52" s="2" t="n"/>
      <c r="AL52" s="2" t="n"/>
      <c r="AM52" s="2" t="n"/>
      <c r="AN52" s="2" t="n"/>
      <c r="AO52" s="2" t="n"/>
      <c r="AP52" s="2" t="n"/>
      <c r="AQ52" s="2" t="n"/>
      <c r="AR52" s="2" t="n"/>
      <c r="AS52" s="2" t="n"/>
    </row>
    <row r="53">
      <c r="A53" s="11" t="n">
        <v>41</v>
      </c>
      <c r="B53" s="11" t="inlineStr">
        <is>
          <t>Mr/Mrs</t>
        </is>
      </c>
      <c r="C53" s="11" t="inlineStr">
        <is>
          <t>Forename630</t>
        </is>
      </c>
      <c r="D53" s="11" t="inlineStr">
        <is>
          <t>Surname630</t>
        </is>
      </c>
      <c r="E53" s="11" t="inlineStr">
        <is>
          <t>Hakim Group Head Office</t>
        </is>
      </c>
      <c r="F53" s="11" t="inlineStr">
        <is>
          <t>Support</t>
        </is>
      </c>
      <c r="G53" s="11" t="inlineStr">
        <is>
          <t>CC-HAK</t>
        </is>
      </c>
      <c r="H53" s="11" t="inlineStr">
        <is>
          <t>01/01/2022</t>
        </is>
      </c>
      <c r="I53" s="11" t="inlineStr"/>
      <c r="J53" s="11" t="inlineStr">
        <is>
          <t>Active</t>
        </is>
      </c>
      <c r="K53" s="11" t="n">
        <v>37.5</v>
      </c>
      <c r="L53" s="11" t="inlineStr">
        <is>
          <t>Payroll Advisor</t>
        </is>
      </c>
      <c r="M53" s="11" t="inlineStr">
        <is>
          <t>Band 4</t>
        </is>
      </c>
      <c r="N53" s="11" t="inlineStr">
        <is>
          <t>Permanent</t>
        </is>
      </c>
      <c r="O53" s="11" t="n">
        <v>1</v>
      </c>
      <c r="P53" s="11" t="inlineStr">
        <is>
          <t>P16630</t>
        </is>
      </c>
      <c r="Q53" s="11" t="inlineStr">
        <is>
          <t>N/A</t>
        </is>
      </c>
      <c r="R53" s="11" t="inlineStr">
        <is>
          <t>N/A</t>
        </is>
      </c>
      <c r="S53" s="11" t="inlineStr">
        <is>
          <t>N/A</t>
        </is>
      </c>
      <c r="T53" s="11" t="inlineStr">
        <is>
          <t>N/A</t>
        </is>
      </c>
      <c r="U53" s="11" t="inlineStr">
        <is>
          <t>N/A</t>
        </is>
      </c>
      <c r="V53" s="11" t="inlineStr">
        <is>
          <t>N/A</t>
        </is>
      </c>
      <c r="W53" s="11" t="inlineStr">
        <is>
          <t>N/A</t>
        </is>
      </c>
      <c r="X53" s="11" t="inlineStr">
        <is>
          <t>N/A</t>
        </is>
      </c>
      <c r="Y53" s="11" t="inlineStr">
        <is>
          <t>N/A</t>
        </is>
      </c>
      <c r="Z53" s="11" t="inlineStr">
        <is>
          <t>N/A</t>
        </is>
      </c>
      <c r="AA53" s="11" t="inlineStr">
        <is>
          <t>N/A</t>
        </is>
      </c>
      <c r="AB53" s="11" t="inlineStr">
        <is>
          <t>N/A</t>
        </is>
      </c>
      <c r="AC53" s="11" t="inlineStr">
        <is>
          <t>N/A</t>
        </is>
      </c>
      <c r="AD53" s="11" t="inlineStr">
        <is>
          <t>N/A</t>
        </is>
      </c>
      <c r="AE53" s="11" t="inlineStr">
        <is>
          <t>N/A</t>
        </is>
      </c>
      <c r="AF53" s="11" t="inlineStr">
        <is>
          <t>N/A</t>
        </is>
      </c>
      <c r="AG53" s="11" t="inlineStr">
        <is>
          <t>N/A</t>
        </is>
      </c>
      <c r="AH53" s="11" t="inlineStr">
        <is>
          <t>N/A</t>
        </is>
      </c>
      <c r="AI53" s="11" t="inlineStr">
        <is>
          <t>HGHQ</t>
        </is>
      </c>
      <c r="AJ53" s="2" t="n"/>
      <c r="AK53" s="2" t="n"/>
      <c r="AL53" s="2" t="n"/>
      <c r="AM53" s="2" t="n"/>
      <c r="AN53" s="2" t="n"/>
      <c r="AO53" s="2" t="n"/>
      <c r="AP53" s="2" t="n"/>
      <c r="AQ53" s="2" t="n"/>
      <c r="AR53" s="2" t="n"/>
      <c r="AS53" s="2" t="n"/>
    </row>
    <row r="54">
      <c r="A54" s="11" t="n">
        <v>42</v>
      </c>
      <c r="B54" s="11" t="inlineStr">
        <is>
          <t>Mr/Mrs</t>
        </is>
      </c>
      <c r="C54" s="11" t="inlineStr">
        <is>
          <t>Forename224</t>
        </is>
      </c>
      <c r="D54" s="11" t="inlineStr">
        <is>
          <t>Surname224</t>
        </is>
      </c>
      <c r="E54" s="11" t="inlineStr">
        <is>
          <t>Hakim Group Head Office</t>
        </is>
      </c>
      <c r="F54" s="11" t="inlineStr">
        <is>
          <t>Support</t>
        </is>
      </c>
      <c r="G54" s="11" t="inlineStr">
        <is>
          <t>CC-HAK</t>
        </is>
      </c>
      <c r="H54" s="11" t="inlineStr">
        <is>
          <t>01/01/2022</t>
        </is>
      </c>
      <c r="I54" s="11" t="inlineStr"/>
      <c r="J54" s="11" t="inlineStr">
        <is>
          <t>Active</t>
        </is>
      </c>
      <c r="K54" s="11" t="n">
        <v>37.5</v>
      </c>
      <c r="L54" s="11" t="inlineStr">
        <is>
          <t>Payroll Advisor</t>
        </is>
      </c>
      <c r="M54" s="11" t="inlineStr">
        <is>
          <t>Band 4</t>
        </is>
      </c>
      <c r="N54" s="11" t="inlineStr">
        <is>
          <t>Permanent</t>
        </is>
      </c>
      <c r="O54" s="11" t="n">
        <v>1</v>
      </c>
      <c r="P54" s="11" t="inlineStr">
        <is>
          <t>P22224</t>
        </is>
      </c>
      <c r="Q54" s="11" t="inlineStr">
        <is>
          <t>N/A</t>
        </is>
      </c>
      <c r="R54" s="11" t="inlineStr">
        <is>
          <t>N/A</t>
        </is>
      </c>
      <c r="S54" s="11" t="inlineStr">
        <is>
          <t>N/A</t>
        </is>
      </c>
      <c r="T54" s="11" t="inlineStr">
        <is>
          <t>N/A</t>
        </is>
      </c>
      <c r="U54" s="11" t="inlineStr">
        <is>
          <t>N/A</t>
        </is>
      </c>
      <c r="V54" s="11" t="inlineStr">
        <is>
          <t>N/A</t>
        </is>
      </c>
      <c r="W54" s="11" t="inlineStr">
        <is>
          <t>N/A</t>
        </is>
      </c>
      <c r="X54" s="11" t="inlineStr">
        <is>
          <t>N/A</t>
        </is>
      </c>
      <c r="Y54" s="11" t="inlineStr">
        <is>
          <t>N/A</t>
        </is>
      </c>
      <c r="Z54" s="11" t="inlineStr">
        <is>
          <t>N/A</t>
        </is>
      </c>
      <c r="AA54" s="11" t="inlineStr">
        <is>
          <t>N/A</t>
        </is>
      </c>
      <c r="AB54" s="11" t="inlineStr">
        <is>
          <t>N/A</t>
        </is>
      </c>
      <c r="AC54" s="11" t="inlineStr">
        <is>
          <t>N/A</t>
        </is>
      </c>
      <c r="AD54" s="11" t="inlineStr">
        <is>
          <t>N/A</t>
        </is>
      </c>
      <c r="AE54" s="11" t="inlineStr">
        <is>
          <t>N/A</t>
        </is>
      </c>
      <c r="AF54" s="11" t="inlineStr">
        <is>
          <t>N/A</t>
        </is>
      </c>
      <c r="AG54" s="11" t="inlineStr">
        <is>
          <t>N/A</t>
        </is>
      </c>
      <c r="AH54" s="11" t="inlineStr">
        <is>
          <t>N/A</t>
        </is>
      </c>
      <c r="AI54" s="11" t="inlineStr">
        <is>
          <t>HGHQ</t>
        </is>
      </c>
      <c r="AJ54" s="2" t="n"/>
      <c r="AK54" s="2" t="n"/>
      <c r="AL54" s="2" t="n"/>
      <c r="AM54" s="2" t="n"/>
      <c r="AN54" s="2" t="n"/>
      <c r="AO54" s="2" t="n"/>
      <c r="AP54" s="2" t="n"/>
      <c r="AQ54" s="2" t="n"/>
      <c r="AR54" s="2" t="n"/>
      <c r="AS54" s="2" t="n"/>
    </row>
    <row r="55">
      <c r="A55" s="11" t="n">
        <v>43</v>
      </c>
      <c r="B55" s="11" t="inlineStr">
        <is>
          <t>Mr/Mrs</t>
        </is>
      </c>
      <c r="C55" s="11" t="inlineStr">
        <is>
          <t>Forename092</t>
        </is>
      </c>
      <c r="D55" s="11" t="inlineStr">
        <is>
          <t>Surname092</t>
        </is>
      </c>
      <c r="E55" s="11" t="inlineStr">
        <is>
          <t>Kings Road Dental Practice</t>
        </is>
      </c>
      <c r="F55" s="11" t="inlineStr">
        <is>
          <t>Clinical</t>
        </is>
      </c>
      <c r="G55" s="11" t="inlineStr">
        <is>
          <t>CC-KIN</t>
        </is>
      </c>
      <c r="H55" s="11" t="inlineStr">
        <is>
          <t>01/01/2022</t>
        </is>
      </c>
      <c r="I55" s="11" t="inlineStr"/>
      <c r="J55" s="11" t="inlineStr">
        <is>
          <t>Active</t>
        </is>
      </c>
      <c r="K55" s="11" t="n">
        <v>37.5</v>
      </c>
      <c r="L55" s="11" t="inlineStr">
        <is>
          <t>Orthodontist</t>
        </is>
      </c>
      <c r="M55" s="11" t="inlineStr">
        <is>
          <t>Band 4</t>
        </is>
      </c>
      <c r="N55" s="11" t="inlineStr">
        <is>
          <t>Permanent</t>
        </is>
      </c>
      <c r="O55" s="11" t="n">
        <v>1</v>
      </c>
      <c r="P55" s="11" t="inlineStr">
        <is>
          <t>P73092</t>
        </is>
      </c>
      <c r="Q55" s="11" t="inlineStr">
        <is>
          <t>N/A</t>
        </is>
      </c>
      <c r="R55" s="11" t="inlineStr">
        <is>
          <t>N/A</t>
        </is>
      </c>
      <c r="S55" s="11" t="inlineStr">
        <is>
          <t>N/A</t>
        </is>
      </c>
      <c r="T55" s="11" t="inlineStr">
        <is>
          <t>N/A</t>
        </is>
      </c>
      <c r="U55" s="11" t="inlineStr">
        <is>
          <t>N/A</t>
        </is>
      </c>
      <c r="V55" s="11" t="inlineStr">
        <is>
          <t>N/A</t>
        </is>
      </c>
      <c r="W55" s="11" t="inlineStr">
        <is>
          <t>N/A</t>
        </is>
      </c>
      <c r="X55" s="11" t="inlineStr">
        <is>
          <t>N/A</t>
        </is>
      </c>
      <c r="Y55" s="11" t="inlineStr">
        <is>
          <t>N/A</t>
        </is>
      </c>
      <c r="Z55" s="11" t="inlineStr">
        <is>
          <t>N/A</t>
        </is>
      </c>
      <c r="AA55" s="11" t="inlineStr">
        <is>
          <t>N/A</t>
        </is>
      </c>
      <c r="AB55" s="11" t="inlineStr">
        <is>
          <t>N/A</t>
        </is>
      </c>
      <c r="AC55" s="11" t="inlineStr">
        <is>
          <t>N/A</t>
        </is>
      </c>
      <c r="AD55" s="11" t="inlineStr">
        <is>
          <t>N/A</t>
        </is>
      </c>
      <c r="AE55" s="11" t="inlineStr">
        <is>
          <t>N/A</t>
        </is>
      </c>
      <c r="AF55" s="11" t="inlineStr">
        <is>
          <t>N/A</t>
        </is>
      </c>
      <c r="AG55" s="11" t="inlineStr">
        <is>
          <t>N/A</t>
        </is>
      </c>
      <c r="AH55" s="11" t="inlineStr">
        <is>
          <t>N/A</t>
        </is>
      </c>
      <c r="AI55" s="11" t="inlineStr">
        <is>
          <t>Practice Clinical</t>
        </is>
      </c>
      <c r="AJ55" s="2" t="n"/>
      <c r="AK55" s="2" t="n"/>
      <c r="AL55" s="2" t="n"/>
      <c r="AM55" s="2" t="n"/>
      <c r="AN55" s="2" t="n"/>
      <c r="AO55" s="2" t="n"/>
      <c r="AP55" s="2" t="n"/>
      <c r="AQ55" s="2" t="n"/>
      <c r="AR55" s="2" t="n"/>
      <c r="AS55" s="2" t="n"/>
    </row>
    <row r="56">
      <c r="A56" s="11" t="n">
        <v>44</v>
      </c>
      <c r="B56" s="11" t="inlineStr">
        <is>
          <t>Mr/Mrs</t>
        </is>
      </c>
      <c r="C56" s="11" t="inlineStr">
        <is>
          <t>Forename579</t>
        </is>
      </c>
      <c r="D56" s="11" t="inlineStr">
        <is>
          <t>Surname579</t>
        </is>
      </c>
      <c r="E56" s="11" t="inlineStr">
        <is>
          <t>Kings Road Dental Practice</t>
        </is>
      </c>
      <c r="F56" s="11" t="inlineStr">
        <is>
          <t>Support</t>
        </is>
      </c>
      <c r="G56" s="11" t="inlineStr">
        <is>
          <t>CC-KIN</t>
        </is>
      </c>
      <c r="H56" s="11" t="inlineStr">
        <is>
          <t>01/01/2022</t>
        </is>
      </c>
      <c r="I56" s="11" t="inlineStr"/>
      <c r="J56" s="11" t="inlineStr">
        <is>
          <t>Active</t>
        </is>
      </c>
      <c r="K56" s="11" t="n">
        <v>37.5</v>
      </c>
      <c r="L56" s="11" t="inlineStr">
        <is>
          <t>Practice Partner</t>
        </is>
      </c>
      <c r="M56" s="11" t="inlineStr">
        <is>
          <t>Band 4</t>
        </is>
      </c>
      <c r="N56" s="11" t="inlineStr">
        <is>
          <t>Permanent</t>
        </is>
      </c>
      <c r="O56" s="11" t="n">
        <v>1</v>
      </c>
      <c r="P56" s="11" t="inlineStr">
        <is>
          <t>P31579</t>
        </is>
      </c>
      <c r="Q56" s="11" t="inlineStr">
        <is>
          <t>N/A</t>
        </is>
      </c>
      <c r="R56" s="11" t="inlineStr">
        <is>
          <t>N/A</t>
        </is>
      </c>
      <c r="S56" s="11" t="inlineStr">
        <is>
          <t>N/A</t>
        </is>
      </c>
      <c r="T56" s="11" t="inlineStr">
        <is>
          <t>N/A</t>
        </is>
      </c>
      <c r="U56" s="11" t="inlineStr">
        <is>
          <t>N/A</t>
        </is>
      </c>
      <c r="V56" s="11" t="inlineStr">
        <is>
          <t>N/A</t>
        </is>
      </c>
      <c r="W56" s="11" t="inlineStr">
        <is>
          <t>N/A</t>
        </is>
      </c>
      <c r="X56" s="11" t="inlineStr">
        <is>
          <t>N/A</t>
        </is>
      </c>
      <c r="Y56" s="11" t="inlineStr">
        <is>
          <t>N/A</t>
        </is>
      </c>
      <c r="Z56" s="11" t="inlineStr">
        <is>
          <t>N/A</t>
        </is>
      </c>
      <c r="AA56" s="11" t="inlineStr">
        <is>
          <t>N/A</t>
        </is>
      </c>
      <c r="AB56" s="11" t="inlineStr">
        <is>
          <t>N/A</t>
        </is>
      </c>
      <c r="AC56" s="11" t="inlineStr">
        <is>
          <t>N/A</t>
        </is>
      </c>
      <c r="AD56" s="11" t="inlineStr">
        <is>
          <t>N/A</t>
        </is>
      </c>
      <c r="AE56" s="11" t="inlineStr">
        <is>
          <t>N/A</t>
        </is>
      </c>
      <c r="AF56" s="11" t="inlineStr">
        <is>
          <t>N/A</t>
        </is>
      </c>
      <c r="AG56" s="11" t="inlineStr">
        <is>
          <t>N/A</t>
        </is>
      </c>
      <c r="AH56" s="11" t="inlineStr">
        <is>
          <t>N/A</t>
        </is>
      </c>
      <c r="AI56" s="11" t="inlineStr">
        <is>
          <t>Practice Partner</t>
        </is>
      </c>
      <c r="AJ56" s="2" t="n"/>
      <c r="AK56" s="2" t="n"/>
      <c r="AL56" s="2" t="n"/>
      <c r="AM56" s="2" t="n"/>
      <c r="AN56" s="2" t="n"/>
      <c r="AO56" s="2" t="n"/>
      <c r="AP56" s="2" t="n"/>
      <c r="AQ56" s="2" t="n"/>
      <c r="AR56" s="2" t="n"/>
      <c r="AS56" s="2" t="n"/>
    </row>
    <row r="57">
      <c r="A57" s="11" t="n">
        <v>45</v>
      </c>
      <c r="B57" s="11" t="inlineStr">
        <is>
          <t>Mr/Mrs</t>
        </is>
      </c>
      <c r="C57" s="11" t="inlineStr">
        <is>
          <t>Forename638</t>
        </is>
      </c>
      <c r="D57" s="11" t="inlineStr">
        <is>
          <t>Surname638</t>
        </is>
      </c>
      <c r="E57" s="11" t="inlineStr">
        <is>
          <t>Oakfield Dental Practice</t>
        </is>
      </c>
      <c r="F57" s="11" t="inlineStr">
        <is>
          <t>Clinical</t>
        </is>
      </c>
      <c r="G57" s="11" t="inlineStr">
        <is>
          <t>CC-OAK</t>
        </is>
      </c>
      <c r="H57" s="11" t="inlineStr">
        <is>
          <t>01/01/2022</t>
        </is>
      </c>
      <c r="I57" s="11" t="inlineStr">
        <is>
          <t>July 2026</t>
        </is>
      </c>
      <c r="J57" s="11" t="inlineStr">
        <is>
          <t>Leaver</t>
        </is>
      </c>
      <c r="K57" s="11" t="n">
        <v>37.5</v>
      </c>
      <c r="L57" s="11" t="inlineStr">
        <is>
          <t>Orthodontist</t>
        </is>
      </c>
      <c r="M57" s="11" t="inlineStr">
        <is>
          <t>Band 4</t>
        </is>
      </c>
      <c r="N57" s="11" t="inlineStr">
        <is>
          <t>Permanent</t>
        </is>
      </c>
      <c r="O57" s="11" t="n">
        <v>1</v>
      </c>
      <c r="P57" s="11" t="inlineStr">
        <is>
          <t>P69638</t>
        </is>
      </c>
      <c r="Q57" s="11" t="inlineStr">
        <is>
          <t>N/A</t>
        </is>
      </c>
      <c r="R57" s="11" t="inlineStr">
        <is>
          <t>N/A</t>
        </is>
      </c>
      <c r="S57" s="11" t="inlineStr">
        <is>
          <t>N/A</t>
        </is>
      </c>
      <c r="T57" s="11" t="inlineStr">
        <is>
          <t>N/A</t>
        </is>
      </c>
      <c r="U57" s="11" t="inlineStr">
        <is>
          <t>N/A</t>
        </is>
      </c>
      <c r="V57" s="11" t="inlineStr">
        <is>
          <t>N/A</t>
        </is>
      </c>
      <c r="W57" s="11" t="inlineStr">
        <is>
          <t>N/A</t>
        </is>
      </c>
      <c r="X57" s="11" t="inlineStr">
        <is>
          <t>N/A</t>
        </is>
      </c>
      <c r="Y57" s="11" t="inlineStr">
        <is>
          <t>N/A</t>
        </is>
      </c>
      <c r="Z57" s="11" t="inlineStr">
        <is>
          <t>N/A</t>
        </is>
      </c>
      <c r="AA57" s="11" t="inlineStr">
        <is>
          <t>N/A</t>
        </is>
      </c>
      <c r="AB57" s="11" t="inlineStr">
        <is>
          <t>N/A</t>
        </is>
      </c>
      <c r="AC57" s="11" t="inlineStr">
        <is>
          <t>N/A</t>
        </is>
      </c>
      <c r="AD57" s="11" t="inlineStr">
        <is>
          <t>N/A</t>
        </is>
      </c>
      <c r="AE57" s="11" t="inlineStr">
        <is>
          <t>N/A</t>
        </is>
      </c>
      <c r="AF57" s="11" t="inlineStr">
        <is>
          <t>N/A</t>
        </is>
      </c>
      <c r="AG57" s="11" t="inlineStr">
        <is>
          <t>N/A</t>
        </is>
      </c>
      <c r="AH57" s="11" t="inlineStr">
        <is>
          <t>N/A</t>
        </is>
      </c>
      <c r="AI57" s="11" t="inlineStr">
        <is>
          <t>Practice Clinical</t>
        </is>
      </c>
      <c r="AJ57" s="2" t="n"/>
      <c r="AK57" s="2" t="n"/>
      <c r="AL57" s="2" t="n"/>
      <c r="AM57" s="2" t="n"/>
      <c r="AN57" s="2" t="n"/>
      <c r="AO57" s="2" t="n"/>
      <c r="AP57" s="2" t="n"/>
      <c r="AQ57" s="2" t="n"/>
      <c r="AR57" s="2" t="n"/>
      <c r="AS57" s="2" t="n"/>
    </row>
    <row r="58">
      <c r="A58" s="11" t="n">
        <v>46</v>
      </c>
      <c r="B58" s="11" t="inlineStr">
        <is>
          <t>Mr/Mrs</t>
        </is>
      </c>
      <c r="C58" s="11" t="inlineStr">
        <is>
          <t>Forename890</t>
        </is>
      </c>
      <c r="D58" s="11" t="inlineStr">
        <is>
          <t>Surname890</t>
        </is>
      </c>
      <c r="E58" s="11" t="inlineStr">
        <is>
          <t>Elm Park Dental Practice</t>
        </is>
      </c>
      <c r="F58" s="11" t="inlineStr">
        <is>
          <t>Clinical</t>
        </is>
      </c>
      <c r="G58" s="11" t="inlineStr">
        <is>
          <t>CC-ELM</t>
        </is>
      </c>
      <c r="H58" s="11" t="inlineStr">
        <is>
          <t>01/01/2022</t>
        </is>
      </c>
      <c r="I58" s="11" t="inlineStr">
        <is>
          <t>July 2026</t>
        </is>
      </c>
      <c r="J58" s="11" t="inlineStr">
        <is>
          <t>Leaver</t>
        </is>
      </c>
      <c r="K58" s="11" t="n">
        <v>37.5</v>
      </c>
      <c r="L58" s="11" t="inlineStr">
        <is>
          <t>Orthodontist</t>
        </is>
      </c>
      <c r="M58" s="11" t="inlineStr">
        <is>
          <t>Band 4</t>
        </is>
      </c>
      <c r="N58" s="11" t="inlineStr">
        <is>
          <t>Permanent</t>
        </is>
      </c>
      <c r="O58" s="11" t="n">
        <v>1</v>
      </c>
      <c r="P58" s="11" t="inlineStr">
        <is>
          <t>P48890</t>
        </is>
      </c>
      <c r="Q58" s="11" t="inlineStr">
        <is>
          <t>N/A</t>
        </is>
      </c>
      <c r="R58" s="11" t="inlineStr">
        <is>
          <t>N/A</t>
        </is>
      </c>
      <c r="S58" s="11" t="inlineStr">
        <is>
          <t>N/A</t>
        </is>
      </c>
      <c r="T58" s="11" t="inlineStr">
        <is>
          <t>N/A</t>
        </is>
      </c>
      <c r="U58" s="11" t="inlineStr">
        <is>
          <t>N/A</t>
        </is>
      </c>
      <c r="V58" s="11" t="inlineStr">
        <is>
          <t>N/A</t>
        </is>
      </c>
      <c r="W58" s="11" t="inlineStr">
        <is>
          <t>N/A</t>
        </is>
      </c>
      <c r="X58" s="11" t="inlineStr">
        <is>
          <t>N/A</t>
        </is>
      </c>
      <c r="Y58" s="11" t="inlineStr">
        <is>
          <t>N/A</t>
        </is>
      </c>
      <c r="Z58" s="11" t="inlineStr">
        <is>
          <t>N/A</t>
        </is>
      </c>
      <c r="AA58" s="11" t="inlineStr">
        <is>
          <t>N/A</t>
        </is>
      </c>
      <c r="AB58" s="11" t="inlineStr">
        <is>
          <t>N/A</t>
        </is>
      </c>
      <c r="AC58" s="11" t="inlineStr">
        <is>
          <t>N/A</t>
        </is>
      </c>
      <c r="AD58" s="11" t="inlineStr">
        <is>
          <t>N/A</t>
        </is>
      </c>
      <c r="AE58" s="11" t="inlineStr">
        <is>
          <t>N/A</t>
        </is>
      </c>
      <c r="AF58" s="11" t="inlineStr">
        <is>
          <t>N/A</t>
        </is>
      </c>
      <c r="AG58" s="11" t="inlineStr">
        <is>
          <t>N/A</t>
        </is>
      </c>
      <c r="AH58" s="11" t="inlineStr">
        <is>
          <t>N/A</t>
        </is>
      </c>
      <c r="AI58" s="11" t="inlineStr">
        <is>
          <t>Practice Clinical</t>
        </is>
      </c>
      <c r="AJ58" s="2" t="n"/>
      <c r="AK58" s="2" t="n"/>
      <c r="AL58" s="2" t="n"/>
      <c r="AM58" s="2" t="n"/>
      <c r="AN58" s="2" t="n"/>
      <c r="AO58" s="2" t="n"/>
      <c r="AP58" s="2" t="n"/>
      <c r="AQ58" s="2" t="n"/>
      <c r="AR58" s="2" t="n"/>
      <c r="AS58" s="2" t="n"/>
    </row>
    <row r="59">
      <c r="A59" s="11" t="n">
        <v>47</v>
      </c>
      <c r="B59" s="11" t="inlineStr">
        <is>
          <t>Mr/Mrs</t>
        </is>
      </c>
      <c r="C59" s="11" t="inlineStr">
        <is>
          <t>Forename492</t>
        </is>
      </c>
      <c r="D59" s="11" t="inlineStr">
        <is>
          <t>Surname492</t>
        </is>
      </c>
      <c r="E59" s="11" t="inlineStr">
        <is>
          <t>Kings Road Dental Practice</t>
        </is>
      </c>
      <c r="F59" s="11" t="inlineStr">
        <is>
          <t>Support</t>
        </is>
      </c>
      <c r="G59" s="11" t="inlineStr">
        <is>
          <t>CC-KIN</t>
        </is>
      </c>
      <c r="H59" s="11" t="inlineStr">
        <is>
          <t>01/01/2022</t>
        </is>
      </c>
      <c r="I59" s="11" t="inlineStr">
        <is>
          <t>July 2026</t>
        </is>
      </c>
      <c r="J59" s="11" t="inlineStr">
        <is>
          <t>Leaver</t>
        </is>
      </c>
      <c r="K59" s="11" t="n">
        <v>37.5</v>
      </c>
      <c r="L59" s="11" t="inlineStr">
        <is>
          <t>Regional Support Officer</t>
        </is>
      </c>
      <c r="M59" s="11" t="inlineStr">
        <is>
          <t>Band 4</t>
        </is>
      </c>
      <c r="N59" s="11" t="inlineStr">
        <is>
          <t>Permanent</t>
        </is>
      </c>
      <c r="O59" s="11" t="n">
        <v>1</v>
      </c>
      <c r="P59" s="11" t="inlineStr">
        <is>
          <t>P17492</t>
        </is>
      </c>
      <c r="Q59" s="11" t="inlineStr">
        <is>
          <t>N/A</t>
        </is>
      </c>
      <c r="R59" s="11" t="inlineStr">
        <is>
          <t>N/A</t>
        </is>
      </c>
      <c r="S59" s="11" t="inlineStr">
        <is>
          <t>N/A</t>
        </is>
      </c>
      <c r="T59" s="11" t="inlineStr">
        <is>
          <t>N/A</t>
        </is>
      </c>
      <c r="U59" s="11" t="inlineStr">
        <is>
          <t>N/A</t>
        </is>
      </c>
      <c r="V59" s="11" t="inlineStr">
        <is>
          <t>N/A</t>
        </is>
      </c>
      <c r="W59" s="11" t="inlineStr">
        <is>
          <t>N/A</t>
        </is>
      </c>
      <c r="X59" s="11" t="inlineStr">
        <is>
          <t>N/A</t>
        </is>
      </c>
      <c r="Y59" s="11" t="inlineStr">
        <is>
          <t>N/A</t>
        </is>
      </c>
      <c r="Z59" s="11" t="inlineStr">
        <is>
          <t>N/A</t>
        </is>
      </c>
      <c r="AA59" s="11" t="inlineStr">
        <is>
          <t>N/A</t>
        </is>
      </c>
      <c r="AB59" s="11" t="inlineStr">
        <is>
          <t>N/A</t>
        </is>
      </c>
      <c r="AC59" s="11" t="inlineStr">
        <is>
          <t>N/A</t>
        </is>
      </c>
      <c r="AD59" s="11" t="inlineStr">
        <is>
          <t>N/A</t>
        </is>
      </c>
      <c r="AE59" s="11" t="inlineStr">
        <is>
          <t>N/A</t>
        </is>
      </c>
      <c r="AF59" s="11" t="inlineStr">
        <is>
          <t>N/A</t>
        </is>
      </c>
      <c r="AG59" s="11" t="inlineStr">
        <is>
          <t>N/A</t>
        </is>
      </c>
      <c r="AH59" s="11" t="inlineStr">
        <is>
          <t>N/A</t>
        </is>
      </c>
      <c r="AI59" s="11" t="inlineStr">
        <is>
          <t>Employee</t>
        </is>
      </c>
      <c r="AJ59" s="2" t="n"/>
      <c r="AK59" s="2" t="n"/>
      <c r="AL59" s="2" t="n"/>
      <c r="AM59" s="2" t="n"/>
      <c r="AN59" s="2" t="n"/>
      <c r="AO59" s="2" t="n"/>
      <c r="AP59" s="2" t="n"/>
      <c r="AQ59" s="2" t="n"/>
      <c r="AR59" s="2" t="n"/>
      <c r="AS59" s="2" t="n"/>
    </row>
    <row r="60">
      <c r="A60" s="11" t="n">
        <v>48</v>
      </c>
      <c r="B60" s="11" t="inlineStr">
        <is>
          <t>Mr/Mrs</t>
        </is>
      </c>
      <c r="C60" s="11" t="inlineStr">
        <is>
          <t>Forename615</t>
        </is>
      </c>
      <c r="D60" s="11" t="inlineStr">
        <is>
          <t>Surname615</t>
        </is>
      </c>
      <c r="E60" s="11" t="inlineStr">
        <is>
          <t>Riverside Dental Practice</t>
        </is>
      </c>
      <c r="F60" s="11" t="inlineStr">
        <is>
          <t>Support</t>
        </is>
      </c>
      <c r="G60" s="11" t="inlineStr">
        <is>
          <t>CC-RIV</t>
        </is>
      </c>
      <c r="H60" s="11" t="inlineStr">
        <is>
          <t>01/01/2022</t>
        </is>
      </c>
      <c r="I60" s="11" t="inlineStr">
        <is>
          <t>July 2026</t>
        </is>
      </c>
      <c r="J60" s="11" t="inlineStr">
        <is>
          <t>Leaver</t>
        </is>
      </c>
      <c r="K60" s="11" t="n">
        <v>37.5</v>
      </c>
      <c r="L60" s="11" t="inlineStr">
        <is>
          <t>Practice Administrator</t>
        </is>
      </c>
      <c r="M60" s="11" t="inlineStr">
        <is>
          <t>Band 4</t>
        </is>
      </c>
      <c r="N60" s="11" t="inlineStr">
        <is>
          <t>Permanent</t>
        </is>
      </c>
      <c r="O60" s="11" t="n">
        <v>1</v>
      </c>
      <c r="P60" s="11" t="inlineStr">
        <is>
          <t>P79615</t>
        </is>
      </c>
      <c r="Q60" s="11" t="inlineStr">
        <is>
          <t>N/A</t>
        </is>
      </c>
      <c r="R60" s="11" t="inlineStr">
        <is>
          <t>N/A</t>
        </is>
      </c>
      <c r="S60" s="11" t="inlineStr">
        <is>
          <t>N/A</t>
        </is>
      </c>
      <c r="T60" s="11" t="inlineStr">
        <is>
          <t>N/A</t>
        </is>
      </c>
      <c r="U60" s="11" t="inlineStr">
        <is>
          <t>N/A</t>
        </is>
      </c>
      <c r="V60" s="11" t="inlineStr">
        <is>
          <t>N/A</t>
        </is>
      </c>
      <c r="W60" s="11" t="inlineStr">
        <is>
          <t>N/A</t>
        </is>
      </c>
      <c r="X60" s="11" t="inlineStr">
        <is>
          <t>N/A</t>
        </is>
      </c>
      <c r="Y60" s="11" t="inlineStr">
        <is>
          <t>N/A</t>
        </is>
      </c>
      <c r="Z60" s="11" t="inlineStr">
        <is>
          <t>N/A</t>
        </is>
      </c>
      <c r="AA60" s="11" t="inlineStr">
        <is>
          <t>N/A</t>
        </is>
      </c>
      <c r="AB60" s="11" t="inlineStr">
        <is>
          <t>N/A</t>
        </is>
      </c>
      <c r="AC60" s="11" t="inlineStr">
        <is>
          <t>N/A</t>
        </is>
      </c>
      <c r="AD60" s="11" t="inlineStr">
        <is>
          <t>N/A</t>
        </is>
      </c>
      <c r="AE60" s="11" t="inlineStr">
        <is>
          <t>N/A</t>
        </is>
      </c>
      <c r="AF60" s="11" t="inlineStr">
        <is>
          <t>N/A</t>
        </is>
      </c>
      <c r="AG60" s="11" t="inlineStr">
        <is>
          <t>N/A</t>
        </is>
      </c>
      <c r="AH60" s="11" t="inlineStr">
        <is>
          <t>N/A</t>
        </is>
      </c>
      <c r="AI60" s="11" t="inlineStr">
        <is>
          <t>Practice Support</t>
        </is>
      </c>
      <c r="AJ60" s="2" t="n"/>
      <c r="AK60" s="2" t="n"/>
      <c r="AL60" s="2" t="n"/>
      <c r="AM60" s="2" t="n"/>
      <c r="AN60" s="2" t="n"/>
      <c r="AO60" s="2" t="n"/>
      <c r="AP60" s="2" t="n"/>
      <c r="AQ60" s="2" t="n"/>
      <c r="AR60" s="2" t="n"/>
      <c r="AS60" s="2" t="n"/>
    </row>
    <row r="61">
      <c r="A61" s="11" t="n">
        <v>49</v>
      </c>
      <c r="B61" s="11" t="inlineStr">
        <is>
          <t>Mr/Mrs</t>
        </is>
      </c>
      <c r="C61" s="11" t="inlineStr">
        <is>
          <t>Forename356</t>
        </is>
      </c>
      <c r="D61" s="11" t="inlineStr">
        <is>
          <t>Surname356</t>
        </is>
      </c>
      <c r="E61" s="11" t="inlineStr">
        <is>
          <t>Kings Road Dental Practice</t>
        </is>
      </c>
      <c r="F61" s="11" t="inlineStr">
        <is>
          <t>Support</t>
        </is>
      </c>
      <c r="G61" s="11" t="inlineStr">
        <is>
          <t>CC-KIN</t>
        </is>
      </c>
      <c r="H61" s="11" t="inlineStr">
        <is>
          <t>01/01/2022</t>
        </is>
      </c>
      <c r="I61" s="11" t="inlineStr"/>
      <c r="J61" s="11" t="inlineStr">
        <is>
          <t>Active</t>
        </is>
      </c>
      <c r="K61" s="11" t="n">
        <v>0</v>
      </c>
      <c r="L61" s="11" t="inlineStr">
        <is>
          <t>Bank Dental Nurse</t>
        </is>
      </c>
      <c r="M61" s="11" t="inlineStr">
        <is>
          <t>Band 4</t>
        </is>
      </c>
      <c r="N61" s="11" t="inlineStr">
        <is>
          <t>Zero Hours</t>
        </is>
      </c>
      <c r="O61" s="11" t="n">
        <v>0</v>
      </c>
      <c r="P61" s="11" t="inlineStr">
        <is>
          <t>P34356</t>
        </is>
      </c>
      <c r="Q61" s="11" t="inlineStr">
        <is>
          <t>N/A</t>
        </is>
      </c>
      <c r="R61" s="11" t="inlineStr">
        <is>
          <t>N/A</t>
        </is>
      </c>
      <c r="S61" s="11" t="inlineStr">
        <is>
          <t>N/A</t>
        </is>
      </c>
      <c r="T61" s="11" t="inlineStr">
        <is>
          <t>N/A</t>
        </is>
      </c>
      <c r="U61" s="11" t="inlineStr">
        <is>
          <t>N/A</t>
        </is>
      </c>
      <c r="V61" s="11" t="inlineStr">
        <is>
          <t>N/A</t>
        </is>
      </c>
      <c r="W61" s="11" t="inlineStr">
        <is>
          <t>N/A</t>
        </is>
      </c>
      <c r="X61" s="11" t="inlineStr">
        <is>
          <t>N/A</t>
        </is>
      </c>
      <c r="Y61" s="11" t="inlineStr">
        <is>
          <t>N/A</t>
        </is>
      </c>
      <c r="Z61" s="11" t="inlineStr">
        <is>
          <t>N/A</t>
        </is>
      </c>
      <c r="AA61" s="11" t="inlineStr">
        <is>
          <t>N/A</t>
        </is>
      </c>
      <c r="AB61" s="11" t="inlineStr">
        <is>
          <t>N/A</t>
        </is>
      </c>
      <c r="AC61" s="11" t="inlineStr">
        <is>
          <t>N/A</t>
        </is>
      </c>
      <c r="AD61" s="11" t="inlineStr">
        <is>
          <t>N/A</t>
        </is>
      </c>
      <c r="AE61" s="11" t="inlineStr">
        <is>
          <t>N/A</t>
        </is>
      </c>
      <c r="AF61" s="11" t="inlineStr">
        <is>
          <t>N/A</t>
        </is>
      </c>
      <c r="AG61" s="11" t="inlineStr">
        <is>
          <t>N/A</t>
        </is>
      </c>
      <c r="AH61" s="11" t="inlineStr">
        <is>
          <t>N/A</t>
        </is>
      </c>
      <c r="AI61" s="11" t="inlineStr">
        <is>
          <t>Practice Support</t>
        </is>
      </c>
      <c r="AJ61" s="2" t="n"/>
      <c r="AK61" s="2" t="n"/>
      <c r="AL61" s="2" t="n"/>
      <c r="AM61" s="2" t="n"/>
      <c r="AN61" s="2" t="n"/>
      <c r="AO61" s="2" t="n"/>
      <c r="AP61" s="2" t="n"/>
      <c r="AQ61" s="2" t="n"/>
      <c r="AR61" s="2" t="n"/>
      <c r="AS61" s="2" t="n"/>
    </row>
    <row r="62">
      <c r="A62" s="11" t="n">
        <v>50</v>
      </c>
      <c r="B62" s="11" t="inlineStr">
        <is>
          <t>Mr/Mrs</t>
        </is>
      </c>
      <c r="C62" s="11" t="inlineStr">
        <is>
          <t>Forename828</t>
        </is>
      </c>
      <c r="D62" s="11" t="inlineStr">
        <is>
          <t>Surname828</t>
        </is>
      </c>
      <c r="E62" s="11" t="inlineStr">
        <is>
          <t>Riverside Dental Practice</t>
        </is>
      </c>
      <c r="F62" s="11" t="inlineStr">
        <is>
          <t>Support</t>
        </is>
      </c>
      <c r="G62" s="11" t="inlineStr">
        <is>
          <t>CC-RIV</t>
        </is>
      </c>
      <c r="H62" s="11" t="inlineStr">
        <is>
          <t>01/01/2022</t>
        </is>
      </c>
      <c r="I62" s="11" t="inlineStr"/>
      <c r="J62" s="11" t="inlineStr">
        <is>
          <t>Active</t>
        </is>
      </c>
      <c r="K62" s="11" t="n">
        <v>0</v>
      </c>
      <c r="L62" s="11" t="inlineStr">
        <is>
          <t>Bank Dental Nurse</t>
        </is>
      </c>
      <c r="M62" s="11" t="inlineStr">
        <is>
          <t>Band 4</t>
        </is>
      </c>
      <c r="N62" s="11" t="inlineStr">
        <is>
          <t>Zero Hours</t>
        </is>
      </c>
      <c r="O62" s="11" t="n">
        <v>0</v>
      </c>
      <c r="P62" s="11" t="inlineStr">
        <is>
          <t>P40828</t>
        </is>
      </c>
      <c r="Q62" s="11" t="inlineStr">
        <is>
          <t>N/A</t>
        </is>
      </c>
      <c r="R62" s="11" t="inlineStr">
        <is>
          <t>N/A</t>
        </is>
      </c>
      <c r="S62" s="11" t="inlineStr">
        <is>
          <t>N/A</t>
        </is>
      </c>
      <c r="T62" s="11" t="inlineStr">
        <is>
          <t>N/A</t>
        </is>
      </c>
      <c r="U62" s="11" t="inlineStr">
        <is>
          <t>N/A</t>
        </is>
      </c>
      <c r="V62" s="11" t="inlineStr">
        <is>
          <t>N/A</t>
        </is>
      </c>
      <c r="W62" s="11" t="inlineStr">
        <is>
          <t>N/A</t>
        </is>
      </c>
      <c r="X62" s="11" t="inlineStr">
        <is>
          <t>N/A</t>
        </is>
      </c>
      <c r="Y62" s="11" t="inlineStr">
        <is>
          <t>N/A</t>
        </is>
      </c>
      <c r="Z62" s="11" t="inlineStr">
        <is>
          <t>N/A</t>
        </is>
      </c>
      <c r="AA62" s="11" t="inlineStr">
        <is>
          <t>N/A</t>
        </is>
      </c>
      <c r="AB62" s="11" t="inlineStr">
        <is>
          <t>N/A</t>
        </is>
      </c>
      <c r="AC62" s="11" t="inlineStr">
        <is>
          <t>N/A</t>
        </is>
      </c>
      <c r="AD62" s="11" t="inlineStr">
        <is>
          <t>N/A</t>
        </is>
      </c>
      <c r="AE62" s="11" t="inlineStr">
        <is>
          <t>N/A</t>
        </is>
      </c>
      <c r="AF62" s="11" t="inlineStr">
        <is>
          <t>N/A</t>
        </is>
      </c>
      <c r="AG62" s="11" t="inlineStr">
        <is>
          <t>N/A</t>
        </is>
      </c>
      <c r="AH62" s="11" t="inlineStr">
        <is>
          <t>N/A</t>
        </is>
      </c>
      <c r="AI62" s="11" t="inlineStr">
        <is>
          <t>Practice Support</t>
        </is>
      </c>
      <c r="AJ62" s="2" t="n"/>
      <c r="AK62" s="2" t="n"/>
      <c r="AL62" s="2" t="n"/>
      <c r="AM62" s="2" t="n"/>
      <c r="AN62" s="2" t="n"/>
      <c r="AO62" s="2" t="n"/>
      <c r="AP62" s="2" t="n"/>
      <c r="AQ62" s="2" t="n"/>
      <c r="AR62" s="2" t="n"/>
      <c r="AS62" s="2" t="n"/>
    </row>
    <row r="63">
      <c r="A63" s="11" t="n">
        <v>51</v>
      </c>
      <c r="B63" s="11" t="inlineStr">
        <is>
          <t>Mr/Mrs</t>
        </is>
      </c>
      <c r="C63" s="11" t="inlineStr">
        <is>
          <t>Forename271</t>
        </is>
      </c>
      <c r="D63" s="11" t="inlineStr">
        <is>
          <t>Surname271</t>
        </is>
      </c>
      <c r="E63" s="11" t="inlineStr">
        <is>
          <t>Oakfield Dental Practice</t>
        </is>
      </c>
      <c r="F63" s="11" t="inlineStr">
        <is>
          <t>Support</t>
        </is>
      </c>
      <c r="G63" s="11" t="inlineStr">
        <is>
          <t>CC-OAK</t>
        </is>
      </c>
      <c r="H63" s="11" t="inlineStr">
        <is>
          <t>01/01/2022</t>
        </is>
      </c>
      <c r="I63" s="11" t="inlineStr"/>
      <c r="J63" s="11" t="inlineStr">
        <is>
          <t>Active</t>
        </is>
      </c>
      <c r="K63" s="11" t="n">
        <v>0</v>
      </c>
      <c r="L63" s="11" t="inlineStr">
        <is>
          <t>Bank Dental Nurse</t>
        </is>
      </c>
      <c r="M63" s="11" t="inlineStr">
        <is>
          <t>Band 4</t>
        </is>
      </c>
      <c r="N63" s="11" t="inlineStr">
        <is>
          <t>Zero Hours</t>
        </is>
      </c>
      <c r="O63" s="11" t="n">
        <v>0</v>
      </c>
      <c r="P63" s="11" t="inlineStr">
        <is>
          <t>P42271</t>
        </is>
      </c>
      <c r="Q63" s="11" t="inlineStr">
        <is>
          <t>N/A</t>
        </is>
      </c>
      <c r="R63" s="11" t="inlineStr">
        <is>
          <t>N/A</t>
        </is>
      </c>
      <c r="S63" s="11" t="inlineStr">
        <is>
          <t>N/A</t>
        </is>
      </c>
      <c r="T63" s="11" t="inlineStr">
        <is>
          <t>N/A</t>
        </is>
      </c>
      <c r="U63" s="11" t="inlineStr">
        <is>
          <t>N/A</t>
        </is>
      </c>
      <c r="V63" s="11" t="inlineStr">
        <is>
          <t>N/A</t>
        </is>
      </c>
      <c r="W63" s="11" t="inlineStr">
        <is>
          <t>N/A</t>
        </is>
      </c>
      <c r="X63" s="11" t="inlineStr">
        <is>
          <t>N/A</t>
        </is>
      </c>
      <c r="Y63" s="11" t="inlineStr">
        <is>
          <t>N/A</t>
        </is>
      </c>
      <c r="Z63" s="11" t="inlineStr">
        <is>
          <t>N/A</t>
        </is>
      </c>
      <c r="AA63" s="11" t="inlineStr">
        <is>
          <t>N/A</t>
        </is>
      </c>
      <c r="AB63" s="11" t="inlineStr">
        <is>
          <t>N/A</t>
        </is>
      </c>
      <c r="AC63" s="11" t="inlineStr">
        <is>
          <t>N/A</t>
        </is>
      </c>
      <c r="AD63" s="11" t="inlineStr">
        <is>
          <t>N/A</t>
        </is>
      </c>
      <c r="AE63" s="11" t="inlineStr">
        <is>
          <t>N/A</t>
        </is>
      </c>
      <c r="AF63" s="11" t="inlineStr">
        <is>
          <t>N/A</t>
        </is>
      </c>
      <c r="AG63" s="11" t="inlineStr">
        <is>
          <t>N/A</t>
        </is>
      </c>
      <c r="AH63" s="11" t="inlineStr">
        <is>
          <t>N/A</t>
        </is>
      </c>
      <c r="AI63" s="11" t="inlineStr">
        <is>
          <t>Practice Support</t>
        </is>
      </c>
      <c r="AJ63" s="2" t="n"/>
      <c r="AK63" s="2" t="n"/>
      <c r="AL63" s="2" t="n"/>
      <c r="AM63" s="2" t="n"/>
      <c r="AN63" s="2" t="n"/>
      <c r="AO63" s="2" t="n"/>
      <c r="AP63" s="2" t="n"/>
      <c r="AQ63" s="2" t="n"/>
      <c r="AR63" s="2" t="n"/>
      <c r="AS63" s="2" t="n"/>
    </row>
    <row r="64">
      <c r="A64" s="11" t="n">
        <v>52</v>
      </c>
      <c r="B64" s="11" t="inlineStr">
        <is>
          <t>Mr/Mrs</t>
        </is>
      </c>
      <c r="C64" s="11" t="inlineStr">
        <is>
          <t>Forename503</t>
        </is>
      </c>
      <c r="D64" s="11" t="inlineStr">
        <is>
          <t>Surname503</t>
        </is>
      </c>
      <c r="E64" s="11" t="inlineStr">
        <is>
          <t>Riverside Dental Practice</t>
        </is>
      </c>
      <c r="F64" s="11" t="inlineStr">
        <is>
          <t>Support</t>
        </is>
      </c>
      <c r="G64" s="11" t="inlineStr">
        <is>
          <t>CC-RIV</t>
        </is>
      </c>
      <c r="H64" s="11" t="inlineStr">
        <is>
          <t>01/01/2022</t>
        </is>
      </c>
      <c r="I64" s="11" t="inlineStr"/>
      <c r="J64" s="11" t="inlineStr">
        <is>
          <t>Active</t>
        </is>
      </c>
      <c r="K64" s="11" t="n">
        <v>0</v>
      </c>
      <c r="L64" s="11" t="inlineStr">
        <is>
          <t>Bank Dental Nurse</t>
        </is>
      </c>
      <c r="M64" s="11" t="inlineStr">
        <is>
          <t>Band 4</t>
        </is>
      </c>
      <c r="N64" s="11" t="inlineStr">
        <is>
          <t>Zero Hours</t>
        </is>
      </c>
      <c r="O64" s="11" t="n">
        <v>0</v>
      </c>
      <c r="P64" s="11" t="inlineStr">
        <is>
          <t>P86503</t>
        </is>
      </c>
      <c r="Q64" s="11" t="inlineStr">
        <is>
          <t>N/A</t>
        </is>
      </c>
      <c r="R64" s="11" t="inlineStr">
        <is>
          <t>N/A</t>
        </is>
      </c>
      <c r="S64" s="11" t="inlineStr">
        <is>
          <t>N/A</t>
        </is>
      </c>
      <c r="T64" s="11" t="inlineStr">
        <is>
          <t>N/A</t>
        </is>
      </c>
      <c r="U64" s="11" t="inlineStr">
        <is>
          <t>N/A</t>
        </is>
      </c>
      <c r="V64" s="11" t="inlineStr">
        <is>
          <t>N/A</t>
        </is>
      </c>
      <c r="W64" s="11" t="inlineStr">
        <is>
          <t>N/A</t>
        </is>
      </c>
      <c r="X64" s="11" t="inlineStr">
        <is>
          <t>N/A</t>
        </is>
      </c>
      <c r="Y64" s="11" t="inlineStr">
        <is>
          <t>N/A</t>
        </is>
      </c>
      <c r="Z64" s="11" t="inlineStr">
        <is>
          <t>N/A</t>
        </is>
      </c>
      <c r="AA64" s="11" t="inlineStr">
        <is>
          <t>N/A</t>
        </is>
      </c>
      <c r="AB64" s="11" t="inlineStr">
        <is>
          <t>N/A</t>
        </is>
      </c>
      <c r="AC64" s="11" t="inlineStr">
        <is>
          <t>N/A</t>
        </is>
      </c>
      <c r="AD64" s="11" t="inlineStr">
        <is>
          <t>N/A</t>
        </is>
      </c>
      <c r="AE64" s="11" t="inlineStr">
        <is>
          <t>N/A</t>
        </is>
      </c>
      <c r="AF64" s="11" t="inlineStr">
        <is>
          <t>N/A</t>
        </is>
      </c>
      <c r="AG64" s="11" t="inlineStr">
        <is>
          <t>N/A</t>
        </is>
      </c>
      <c r="AH64" s="11" t="inlineStr">
        <is>
          <t>N/A</t>
        </is>
      </c>
      <c r="AI64" s="11" t="inlineStr">
        <is>
          <t>Practice Support</t>
        </is>
      </c>
      <c r="AJ64" s="2" t="n"/>
      <c r="AK64" s="2" t="n"/>
      <c r="AL64" s="2" t="n"/>
      <c r="AM64" s="2" t="n"/>
      <c r="AN64" s="2" t="n"/>
      <c r="AO64" s="2" t="n"/>
      <c r="AP64" s="2" t="n"/>
      <c r="AQ64" s="2" t="n"/>
      <c r="AR64" s="2" t="n"/>
      <c r="AS64" s="2" t="n"/>
    </row>
    <row r="65">
      <c r="A65" s="11" t="n">
        <v>53</v>
      </c>
      <c r="B65" s="11" t="inlineStr">
        <is>
          <t>Mr/Mrs</t>
        </is>
      </c>
      <c r="C65" s="11" t="inlineStr">
        <is>
          <t>Forename814</t>
        </is>
      </c>
      <c r="D65" s="11" t="inlineStr">
        <is>
          <t>Surname814</t>
        </is>
      </c>
      <c r="E65" s="11" t="inlineStr">
        <is>
          <t>Elm Park Dental Practice</t>
        </is>
      </c>
      <c r="F65" s="11" t="inlineStr">
        <is>
          <t>Support</t>
        </is>
      </c>
      <c r="G65" s="11" t="inlineStr">
        <is>
          <t>CC-ELM</t>
        </is>
      </c>
      <c r="H65" s="11" t="inlineStr">
        <is>
          <t>01/01/2022</t>
        </is>
      </c>
      <c r="I65" s="11" t="inlineStr"/>
      <c r="J65" s="11" t="inlineStr">
        <is>
          <t>Active</t>
        </is>
      </c>
      <c r="K65" s="11" t="n">
        <v>0</v>
      </c>
      <c r="L65" s="11" t="inlineStr">
        <is>
          <t>Regional Support Officer</t>
        </is>
      </c>
      <c r="M65" s="11" t="inlineStr">
        <is>
          <t>Band 4</t>
        </is>
      </c>
      <c r="N65" s="11" t="inlineStr">
        <is>
          <t>Zero Hours</t>
        </is>
      </c>
      <c r="O65" s="11" t="n">
        <v>0</v>
      </c>
      <c r="P65" s="11" t="inlineStr">
        <is>
          <t>P44814</t>
        </is>
      </c>
      <c r="Q65" s="11" t="inlineStr">
        <is>
          <t>N/A</t>
        </is>
      </c>
      <c r="R65" s="11" t="inlineStr">
        <is>
          <t>N/A</t>
        </is>
      </c>
      <c r="S65" s="11" t="inlineStr">
        <is>
          <t>N/A</t>
        </is>
      </c>
      <c r="T65" s="11" t="inlineStr">
        <is>
          <t>N/A</t>
        </is>
      </c>
      <c r="U65" s="11" t="inlineStr">
        <is>
          <t>N/A</t>
        </is>
      </c>
      <c r="V65" s="11" t="inlineStr">
        <is>
          <t>N/A</t>
        </is>
      </c>
      <c r="W65" s="11" t="inlineStr">
        <is>
          <t>N/A</t>
        </is>
      </c>
      <c r="X65" s="11" t="inlineStr">
        <is>
          <t>N/A</t>
        </is>
      </c>
      <c r="Y65" s="11" t="inlineStr">
        <is>
          <t>N/A</t>
        </is>
      </c>
      <c r="Z65" s="11" t="inlineStr">
        <is>
          <t>N/A</t>
        </is>
      </c>
      <c r="AA65" s="11" t="inlineStr">
        <is>
          <t>N/A</t>
        </is>
      </c>
      <c r="AB65" s="11" t="inlineStr">
        <is>
          <t>N/A</t>
        </is>
      </c>
      <c r="AC65" s="11" t="inlineStr">
        <is>
          <t>N/A</t>
        </is>
      </c>
      <c r="AD65" s="11" t="inlineStr">
        <is>
          <t>N/A</t>
        </is>
      </c>
      <c r="AE65" s="11" t="inlineStr">
        <is>
          <t>N/A</t>
        </is>
      </c>
      <c r="AF65" s="11" t="inlineStr">
        <is>
          <t>N/A</t>
        </is>
      </c>
      <c r="AG65" s="11" t="inlineStr">
        <is>
          <t>N/A</t>
        </is>
      </c>
      <c r="AH65" s="11" t="inlineStr">
        <is>
          <t>N/A</t>
        </is>
      </c>
      <c r="AI65" s="11" t="inlineStr">
        <is>
          <t>Employee</t>
        </is>
      </c>
      <c r="AJ65" s="2" t="n"/>
      <c r="AK65" s="2" t="n"/>
      <c r="AL65" s="2" t="n"/>
      <c r="AM65" s="2" t="n"/>
      <c r="AN65" s="2" t="n"/>
      <c r="AO65" s="2" t="n"/>
      <c r="AP65" s="2" t="n"/>
      <c r="AQ65" s="2" t="n"/>
      <c r="AR65" s="2" t="n"/>
      <c r="AS65" s="2" t="n"/>
    </row>
    <row r="66">
      <c r="A66" s="11" t="n">
        <v>54</v>
      </c>
      <c r="B66" s="11" t="inlineStr">
        <is>
          <t>Mr/Mrs</t>
        </is>
      </c>
      <c r="C66" s="11" t="inlineStr">
        <is>
          <t>Forename814</t>
        </is>
      </c>
      <c r="D66" s="11" t="inlineStr">
        <is>
          <t>Surname814</t>
        </is>
      </c>
      <c r="E66" s="11" t="inlineStr">
        <is>
          <t>Elm Park Dental Practice</t>
        </is>
      </c>
      <c r="F66" s="11" t="inlineStr">
        <is>
          <t>Support</t>
        </is>
      </c>
      <c r="G66" s="11" t="inlineStr">
        <is>
          <t>CC-ELM</t>
        </is>
      </c>
      <c r="H66" s="11" t="inlineStr">
        <is>
          <t>01/01/2022</t>
        </is>
      </c>
      <c r="I66" s="11" t="inlineStr"/>
      <c r="J66" s="11" t="inlineStr">
        <is>
          <t>Active</t>
        </is>
      </c>
      <c r="K66" s="11" t="n">
        <v>37.5</v>
      </c>
      <c r="L66" s="11" t="inlineStr">
        <is>
          <t>Regional Support Officer</t>
        </is>
      </c>
      <c r="M66" s="11" t="inlineStr">
        <is>
          <t>Band 4</t>
        </is>
      </c>
      <c r="N66" s="11" t="inlineStr">
        <is>
          <t>Permanent</t>
        </is>
      </c>
      <c r="O66" s="11" t="n">
        <v>1</v>
      </c>
      <c r="P66" s="11" t="inlineStr">
        <is>
          <t>P44814</t>
        </is>
      </c>
      <c r="Q66" s="11" t="inlineStr">
        <is>
          <t>N/A</t>
        </is>
      </c>
      <c r="R66" s="11" t="inlineStr">
        <is>
          <t>N/A</t>
        </is>
      </c>
      <c r="S66" s="11" t="inlineStr">
        <is>
          <t>N/A</t>
        </is>
      </c>
      <c r="T66" s="11" t="inlineStr">
        <is>
          <t>N/A</t>
        </is>
      </c>
      <c r="U66" s="11" t="inlineStr">
        <is>
          <t>N/A</t>
        </is>
      </c>
      <c r="V66" s="11" t="inlineStr">
        <is>
          <t>N/A</t>
        </is>
      </c>
      <c r="W66" s="11" t="inlineStr">
        <is>
          <t>N/A</t>
        </is>
      </c>
      <c r="X66" s="11" t="inlineStr">
        <is>
          <t>N/A</t>
        </is>
      </c>
      <c r="Y66" s="11" t="inlineStr">
        <is>
          <t>N/A</t>
        </is>
      </c>
      <c r="Z66" s="11" t="inlineStr">
        <is>
          <t>N/A</t>
        </is>
      </c>
      <c r="AA66" s="11" t="inlineStr">
        <is>
          <t>N/A</t>
        </is>
      </c>
      <c r="AB66" s="11" t="inlineStr">
        <is>
          <t>N/A</t>
        </is>
      </c>
      <c r="AC66" s="11" t="inlineStr">
        <is>
          <t>N/A</t>
        </is>
      </c>
      <c r="AD66" s="11" t="inlineStr">
        <is>
          <t>N/A</t>
        </is>
      </c>
      <c r="AE66" s="11" t="inlineStr">
        <is>
          <t>N/A</t>
        </is>
      </c>
      <c r="AF66" s="11" t="inlineStr">
        <is>
          <t>N/A</t>
        </is>
      </c>
      <c r="AG66" s="11" t="inlineStr">
        <is>
          <t>N/A</t>
        </is>
      </c>
      <c r="AH66" s="11" t="inlineStr">
        <is>
          <t>N/A</t>
        </is>
      </c>
      <c r="AI66" s="11" t="inlineStr">
        <is>
          <t>Employee</t>
        </is>
      </c>
      <c r="AJ66" s="2" t="n"/>
      <c r="AK66" s="2" t="n"/>
      <c r="AL66" s="2" t="n"/>
      <c r="AM66" s="2" t="n"/>
      <c r="AN66" s="2" t="n"/>
      <c r="AO66" s="2" t="n"/>
      <c r="AP66" s="2" t="n"/>
      <c r="AQ66" s="2" t="n"/>
      <c r="AR66" s="2" t="n"/>
      <c r="AS66" s="2" t="n"/>
    </row>
    <row r="67">
      <c r="A67" s="11" t="n">
        <v>55</v>
      </c>
      <c r="B67" s="11" t="inlineStr">
        <is>
          <t>Mr/Mrs</t>
        </is>
      </c>
      <c r="C67" s="11" t="inlineStr">
        <is>
          <t>Forename508</t>
        </is>
      </c>
      <c r="D67" s="11" t="inlineStr">
        <is>
          <t>Surname508</t>
        </is>
      </c>
      <c r="E67" s="11" t="inlineStr">
        <is>
          <t>Oakfield Dental Practice</t>
        </is>
      </c>
      <c r="F67" s="11" t="inlineStr">
        <is>
          <t>Clinical</t>
        </is>
      </c>
      <c r="G67" s="11" t="inlineStr">
        <is>
          <t>CC-OAK</t>
        </is>
      </c>
      <c r="H67" s="11" t="inlineStr">
        <is>
          <t>01/01/2022</t>
        </is>
      </c>
      <c r="I67" s="11" t="inlineStr"/>
      <c r="J67" s="11" t="inlineStr">
        <is>
          <t>Active</t>
        </is>
      </c>
      <c r="K67" s="11" t="n">
        <v>0</v>
      </c>
      <c r="L67" s="11" t="inlineStr">
        <is>
          <t>Dental Nurse</t>
        </is>
      </c>
      <c r="M67" s="11" t="inlineStr">
        <is>
          <t>Band 4</t>
        </is>
      </c>
      <c r="N67" s="11" t="inlineStr">
        <is>
          <t>Zero Hours</t>
        </is>
      </c>
      <c r="O67" s="11" t="n">
        <v>0</v>
      </c>
      <c r="P67" s="11" t="inlineStr">
        <is>
          <t>P19508</t>
        </is>
      </c>
      <c r="Q67" s="11" t="inlineStr">
        <is>
          <t>N/A</t>
        </is>
      </c>
      <c r="R67" s="11" t="inlineStr">
        <is>
          <t>N/A</t>
        </is>
      </c>
      <c r="S67" s="11" t="inlineStr">
        <is>
          <t>N/A</t>
        </is>
      </c>
      <c r="T67" s="11" t="inlineStr">
        <is>
          <t>N/A</t>
        </is>
      </c>
      <c r="U67" s="11" t="inlineStr">
        <is>
          <t>N/A</t>
        </is>
      </c>
      <c r="V67" s="11" t="inlineStr">
        <is>
          <t>N/A</t>
        </is>
      </c>
      <c r="W67" s="11" t="inlineStr">
        <is>
          <t>N/A</t>
        </is>
      </c>
      <c r="X67" s="11" t="inlineStr">
        <is>
          <t>N/A</t>
        </is>
      </c>
      <c r="Y67" s="11" t="inlineStr">
        <is>
          <t>N/A</t>
        </is>
      </c>
      <c r="Z67" s="11" t="inlineStr">
        <is>
          <t>N/A</t>
        </is>
      </c>
      <c r="AA67" s="11" t="inlineStr">
        <is>
          <t>N/A</t>
        </is>
      </c>
      <c r="AB67" s="11" t="inlineStr">
        <is>
          <t>N/A</t>
        </is>
      </c>
      <c r="AC67" s="11" t="inlineStr">
        <is>
          <t>N/A</t>
        </is>
      </c>
      <c r="AD67" s="11" t="inlineStr">
        <is>
          <t>N/A</t>
        </is>
      </c>
      <c r="AE67" s="11" t="inlineStr">
        <is>
          <t>N/A</t>
        </is>
      </c>
      <c r="AF67" s="11" t="inlineStr">
        <is>
          <t>N/A</t>
        </is>
      </c>
      <c r="AG67" s="11" t="inlineStr">
        <is>
          <t>N/A</t>
        </is>
      </c>
      <c r="AH67" s="11" t="inlineStr">
        <is>
          <t>N/A</t>
        </is>
      </c>
      <c r="AI67" s="11" t="inlineStr">
        <is>
          <t>Practice Clinical</t>
        </is>
      </c>
      <c r="AJ67" s="2" t="n"/>
      <c r="AK67" s="2" t="n"/>
      <c r="AL67" s="2" t="n"/>
      <c r="AM67" s="2" t="n"/>
      <c r="AN67" s="2" t="n"/>
      <c r="AO67" s="2" t="n"/>
      <c r="AP67" s="2" t="n"/>
      <c r="AQ67" s="2" t="n"/>
      <c r="AR67" s="2" t="n"/>
      <c r="AS67" s="2" t="n"/>
    </row>
    <row r="68">
      <c r="A68" s="11" t="n">
        <v>56</v>
      </c>
      <c r="B68" s="11" t="inlineStr">
        <is>
          <t>Mr/Mrs</t>
        </is>
      </c>
      <c r="C68" s="11" t="inlineStr">
        <is>
          <t>Forename508</t>
        </is>
      </c>
      <c r="D68" s="11" t="inlineStr">
        <is>
          <t>Surname508</t>
        </is>
      </c>
      <c r="E68" s="11" t="inlineStr">
        <is>
          <t>Oakfield Dental Practice</t>
        </is>
      </c>
      <c r="F68" s="11" t="inlineStr">
        <is>
          <t>Clinical</t>
        </is>
      </c>
      <c r="G68" s="11" t="inlineStr">
        <is>
          <t>CC-OAK</t>
        </is>
      </c>
      <c r="H68" s="11" t="inlineStr">
        <is>
          <t>01/01/2022</t>
        </is>
      </c>
      <c r="I68" s="11" t="inlineStr"/>
      <c r="J68" s="11" t="inlineStr">
        <is>
          <t>Active</t>
        </is>
      </c>
      <c r="K68" s="11" t="n">
        <v>37.5</v>
      </c>
      <c r="L68" s="11" t="inlineStr">
        <is>
          <t>Dental Nurse</t>
        </is>
      </c>
      <c r="M68" s="11" t="inlineStr">
        <is>
          <t>Band 4</t>
        </is>
      </c>
      <c r="N68" s="11" t="inlineStr">
        <is>
          <t>Permanent</t>
        </is>
      </c>
      <c r="O68" s="11" t="n">
        <v>1</v>
      </c>
      <c r="P68" s="11" t="inlineStr">
        <is>
          <t>P19508</t>
        </is>
      </c>
      <c r="Q68" s="11" t="inlineStr">
        <is>
          <t>N/A</t>
        </is>
      </c>
      <c r="R68" s="11" t="inlineStr">
        <is>
          <t>N/A</t>
        </is>
      </c>
      <c r="S68" s="11" t="inlineStr">
        <is>
          <t>N/A</t>
        </is>
      </c>
      <c r="T68" s="11" t="inlineStr">
        <is>
          <t>N/A</t>
        </is>
      </c>
      <c r="U68" s="11" t="inlineStr">
        <is>
          <t>N/A</t>
        </is>
      </c>
      <c r="V68" s="11" t="inlineStr">
        <is>
          <t>N/A</t>
        </is>
      </c>
      <c r="W68" s="11" t="inlineStr">
        <is>
          <t>N/A</t>
        </is>
      </c>
      <c r="X68" s="11" t="inlineStr">
        <is>
          <t>N/A</t>
        </is>
      </c>
      <c r="Y68" s="11" t="inlineStr">
        <is>
          <t>N/A</t>
        </is>
      </c>
      <c r="Z68" s="11" t="inlineStr">
        <is>
          <t>N/A</t>
        </is>
      </c>
      <c r="AA68" s="11" t="inlineStr">
        <is>
          <t>N/A</t>
        </is>
      </c>
      <c r="AB68" s="11" t="inlineStr">
        <is>
          <t>N/A</t>
        </is>
      </c>
      <c r="AC68" s="11" t="inlineStr">
        <is>
          <t>N/A</t>
        </is>
      </c>
      <c r="AD68" s="11" t="inlineStr">
        <is>
          <t>N/A</t>
        </is>
      </c>
      <c r="AE68" s="11" t="inlineStr">
        <is>
          <t>N/A</t>
        </is>
      </c>
      <c r="AF68" s="11" t="inlineStr">
        <is>
          <t>N/A</t>
        </is>
      </c>
      <c r="AG68" s="11" t="inlineStr">
        <is>
          <t>N/A</t>
        </is>
      </c>
      <c r="AH68" s="11" t="inlineStr">
        <is>
          <t>N/A</t>
        </is>
      </c>
      <c r="AI68" s="11" t="inlineStr">
        <is>
          <t>Practice Clinical</t>
        </is>
      </c>
      <c r="AJ68" s="2" t="n"/>
      <c r="AK68" s="2" t="n"/>
      <c r="AL68" s="2" t="n"/>
      <c r="AM68" s="2" t="n"/>
      <c r="AN68" s="2" t="n"/>
      <c r="AO68" s="2" t="n"/>
      <c r="AP68" s="2" t="n"/>
      <c r="AQ68" s="2" t="n"/>
      <c r="AR68" s="2" t="n"/>
      <c r="AS68" s="2" t="n"/>
    </row>
    <row r="69">
      <c r="A69" s="11" t="n">
        <v>57</v>
      </c>
      <c r="B69" s="11" t="inlineStr">
        <is>
          <t>Mr/Mrs</t>
        </is>
      </c>
      <c r="C69" s="11" t="inlineStr">
        <is>
          <t>Forename602</t>
        </is>
      </c>
      <c r="D69" s="11" t="inlineStr">
        <is>
          <t>Surname602</t>
        </is>
      </c>
      <c r="E69" s="11" t="inlineStr">
        <is>
          <t>Riverside Dental Practice</t>
        </is>
      </c>
      <c r="F69" s="11" t="inlineStr">
        <is>
          <t>Support</t>
        </is>
      </c>
      <c r="G69" s="11" t="inlineStr">
        <is>
          <t>CC-RIV</t>
        </is>
      </c>
      <c r="H69" s="11" t="inlineStr">
        <is>
          <t>01/01/2022</t>
        </is>
      </c>
      <c r="I69" s="11" t="inlineStr">
        <is>
          <t>July 2026</t>
        </is>
      </c>
      <c r="J69" s="11" t="inlineStr">
        <is>
          <t>Leaver</t>
        </is>
      </c>
      <c r="K69" s="11" t="n">
        <v>37.5</v>
      </c>
      <c r="L69" s="11" t="inlineStr">
        <is>
          <t>Practice Administrator</t>
        </is>
      </c>
      <c r="M69" s="11" t="inlineStr">
        <is>
          <t>Band 4</t>
        </is>
      </c>
      <c r="N69" s="11" t="inlineStr">
        <is>
          <t>Permanent</t>
        </is>
      </c>
      <c r="O69" s="11" t="n">
        <v>1</v>
      </c>
      <c r="P69" s="11" t="inlineStr">
        <is>
          <t>P19602</t>
        </is>
      </c>
      <c r="Q69" s="11" t="inlineStr">
        <is>
          <t>N/A</t>
        </is>
      </c>
      <c r="R69" s="11" t="inlineStr">
        <is>
          <t>N/A</t>
        </is>
      </c>
      <c r="S69" s="11" t="inlineStr">
        <is>
          <t>N/A</t>
        </is>
      </c>
      <c r="T69" s="11" t="inlineStr">
        <is>
          <t>N/A</t>
        </is>
      </c>
      <c r="U69" s="11" t="inlineStr">
        <is>
          <t>N/A</t>
        </is>
      </c>
      <c r="V69" s="11" t="inlineStr">
        <is>
          <t>N/A</t>
        </is>
      </c>
      <c r="W69" s="11" t="inlineStr">
        <is>
          <t>N/A</t>
        </is>
      </c>
      <c r="X69" s="11" t="inlineStr">
        <is>
          <t>N/A</t>
        </is>
      </c>
      <c r="Y69" s="11" t="inlineStr">
        <is>
          <t>N/A</t>
        </is>
      </c>
      <c r="Z69" s="11" t="inlineStr">
        <is>
          <t>N/A</t>
        </is>
      </c>
      <c r="AA69" s="11" t="inlineStr">
        <is>
          <t>N/A</t>
        </is>
      </c>
      <c r="AB69" s="11" t="inlineStr">
        <is>
          <t>N/A</t>
        </is>
      </c>
      <c r="AC69" s="11" t="inlineStr">
        <is>
          <t>N/A</t>
        </is>
      </c>
      <c r="AD69" s="11" t="inlineStr">
        <is>
          <t>N/A</t>
        </is>
      </c>
      <c r="AE69" s="11" t="inlineStr">
        <is>
          <t>N/A</t>
        </is>
      </c>
      <c r="AF69" s="11" t="inlineStr">
        <is>
          <t>N/A</t>
        </is>
      </c>
      <c r="AG69" s="11" t="inlineStr">
        <is>
          <t>N/A</t>
        </is>
      </c>
      <c r="AH69" s="11" t="inlineStr">
        <is>
          <t>N/A</t>
        </is>
      </c>
      <c r="AI69" s="11" t="inlineStr">
        <is>
          <t>Practice Support</t>
        </is>
      </c>
      <c r="AJ69" s="2" t="n"/>
      <c r="AK69" s="2" t="n"/>
      <c r="AL69" s="2" t="n"/>
      <c r="AM69" s="2" t="n"/>
      <c r="AN69" s="2" t="n"/>
      <c r="AO69" s="2" t="n"/>
      <c r="AP69" s="2" t="n"/>
      <c r="AQ69" s="2" t="n"/>
      <c r="AR69" s="2" t="n"/>
      <c r="AS69" s="2" t="n"/>
    </row>
    <row r="70">
      <c r="A70" s="11" t="n">
        <v>58</v>
      </c>
      <c r="B70" s="11" t="inlineStr">
        <is>
          <t>Mr/Mrs</t>
        </is>
      </c>
      <c r="C70" s="11" t="inlineStr">
        <is>
          <t>Forename468</t>
        </is>
      </c>
      <c r="D70" s="11" t="inlineStr">
        <is>
          <t>Surname468</t>
        </is>
      </c>
      <c r="E70" s="11" t="inlineStr">
        <is>
          <t>Oakfield Dental Practice</t>
        </is>
      </c>
      <c r="F70" s="11" t="inlineStr">
        <is>
          <t>Support</t>
        </is>
      </c>
      <c r="G70" s="11" t="inlineStr">
        <is>
          <t>CC-OAK</t>
        </is>
      </c>
      <c r="H70" s="11" t="inlineStr">
        <is>
          <t>01/01/2022</t>
        </is>
      </c>
      <c r="I70" s="11" t="inlineStr"/>
      <c r="J70" s="11" t="inlineStr">
        <is>
          <t>Active</t>
        </is>
      </c>
      <c r="K70" s="11" t="n">
        <v>37.5</v>
      </c>
      <c r="L70" s="11" t="inlineStr">
        <is>
          <t>Practice Administrator</t>
        </is>
      </c>
      <c r="M70" s="11" t="inlineStr">
        <is>
          <t>Band 4</t>
        </is>
      </c>
      <c r="N70" s="11" t="inlineStr">
        <is>
          <t>Permanent</t>
        </is>
      </c>
      <c r="O70" s="11" t="n">
        <v>1</v>
      </c>
      <c r="P70" s="11" t="inlineStr">
        <is>
          <t>P80468</t>
        </is>
      </c>
      <c r="Q70" s="11" t="inlineStr">
        <is>
          <t>N/A</t>
        </is>
      </c>
      <c r="R70" s="11" t="inlineStr">
        <is>
          <t>N/A</t>
        </is>
      </c>
      <c r="S70" s="11" t="inlineStr">
        <is>
          <t>N/A</t>
        </is>
      </c>
      <c r="T70" s="11" t="inlineStr">
        <is>
          <t>N/A</t>
        </is>
      </c>
      <c r="U70" s="11" t="inlineStr">
        <is>
          <t>N/A</t>
        </is>
      </c>
      <c r="V70" s="11" t="inlineStr">
        <is>
          <t>N/A</t>
        </is>
      </c>
      <c r="W70" s="11" t="inlineStr">
        <is>
          <t>N/A</t>
        </is>
      </c>
      <c r="X70" s="11" t="inlineStr">
        <is>
          <t>N/A</t>
        </is>
      </c>
      <c r="Y70" s="11" t="inlineStr">
        <is>
          <t>N/A</t>
        </is>
      </c>
      <c r="Z70" s="11" t="inlineStr">
        <is>
          <t>N/A</t>
        </is>
      </c>
      <c r="AA70" s="11" t="inlineStr">
        <is>
          <t>N/A</t>
        </is>
      </c>
      <c r="AB70" s="11" t="inlineStr">
        <is>
          <t>N/A</t>
        </is>
      </c>
      <c r="AC70" s="11" t="inlineStr">
        <is>
          <t>N/A</t>
        </is>
      </c>
      <c r="AD70" s="11" t="inlineStr">
        <is>
          <t>N/A</t>
        </is>
      </c>
      <c r="AE70" s="11" t="inlineStr">
        <is>
          <t>N/A</t>
        </is>
      </c>
      <c r="AF70" s="11" t="inlineStr">
        <is>
          <t>N/A</t>
        </is>
      </c>
      <c r="AG70" s="11" t="inlineStr">
        <is>
          <t>N/A</t>
        </is>
      </c>
      <c r="AH70" s="11" t="inlineStr">
        <is>
          <t>N/A</t>
        </is>
      </c>
      <c r="AI70" s="11" t="inlineStr">
        <is>
          <t>Practice Support</t>
        </is>
      </c>
      <c r="AJ70" s="2" t="n"/>
      <c r="AK70" s="2" t="n"/>
      <c r="AL70" s="2" t="n"/>
      <c r="AM70" s="2" t="n"/>
      <c r="AN70" s="2" t="n"/>
      <c r="AO70" s="2" t="n"/>
      <c r="AP70" s="2" t="n"/>
      <c r="AQ70" s="2" t="n"/>
      <c r="AR70" s="2" t="n"/>
      <c r="AS70" s="2" t="n"/>
    </row>
    <row r="71">
      <c r="A71" s="11" t="n">
        <v>59</v>
      </c>
      <c r="B71" s="11" t="inlineStr">
        <is>
          <t>Mr/Mrs</t>
        </is>
      </c>
      <c r="C71" s="11" t="inlineStr">
        <is>
          <t>Forename745</t>
        </is>
      </c>
      <c r="D71" s="11" t="inlineStr">
        <is>
          <t>Surname745</t>
        </is>
      </c>
      <c r="E71" s="11" t="inlineStr">
        <is>
          <t>Kings Road Dental Practice</t>
        </is>
      </c>
      <c r="F71" s="11" t="inlineStr">
        <is>
          <t>Support</t>
        </is>
      </c>
      <c r="G71" s="11" t="inlineStr">
        <is>
          <t>CC-KIN</t>
        </is>
      </c>
      <c r="H71" s="11" t="inlineStr">
        <is>
          <t>01/01/2022</t>
        </is>
      </c>
      <c r="I71" s="11" t="inlineStr">
        <is>
          <t>July 2026</t>
        </is>
      </c>
      <c r="J71" s="11" t="inlineStr">
        <is>
          <t>Leaver</t>
        </is>
      </c>
      <c r="K71" s="11" t="n">
        <v>37.5</v>
      </c>
      <c r="L71" s="11" t="inlineStr">
        <is>
          <t>Finance Analyst</t>
        </is>
      </c>
      <c r="M71" s="11" t="inlineStr">
        <is>
          <t>Band 4</t>
        </is>
      </c>
      <c r="N71" s="11" t="inlineStr">
        <is>
          <t>Permanent</t>
        </is>
      </c>
      <c r="O71" s="11" t="n">
        <v>1</v>
      </c>
      <c r="P71" s="11" t="inlineStr">
        <is>
          <t>P55745</t>
        </is>
      </c>
      <c r="Q71" s="11" t="inlineStr">
        <is>
          <t>N/A</t>
        </is>
      </c>
      <c r="R71" s="11" t="inlineStr">
        <is>
          <t>N/A</t>
        </is>
      </c>
      <c r="S71" s="11" t="inlineStr">
        <is>
          <t>N/A</t>
        </is>
      </c>
      <c r="T71" s="11" t="inlineStr">
        <is>
          <t>N/A</t>
        </is>
      </c>
      <c r="U71" s="11" t="inlineStr">
        <is>
          <t>N/A</t>
        </is>
      </c>
      <c r="V71" s="11" t="inlineStr">
        <is>
          <t>N/A</t>
        </is>
      </c>
      <c r="W71" s="11" t="inlineStr">
        <is>
          <t>N/A</t>
        </is>
      </c>
      <c r="X71" s="11" t="inlineStr">
        <is>
          <t>N/A</t>
        </is>
      </c>
      <c r="Y71" s="11" t="inlineStr">
        <is>
          <t>N/A</t>
        </is>
      </c>
      <c r="Z71" s="11" t="inlineStr">
        <is>
          <t>N/A</t>
        </is>
      </c>
      <c r="AA71" s="11" t="inlineStr">
        <is>
          <t>N/A</t>
        </is>
      </c>
      <c r="AB71" s="11" t="inlineStr">
        <is>
          <t>N/A</t>
        </is>
      </c>
      <c r="AC71" s="11" t="inlineStr">
        <is>
          <t>N/A</t>
        </is>
      </c>
      <c r="AD71" s="11" t="inlineStr">
        <is>
          <t>N/A</t>
        </is>
      </c>
      <c r="AE71" s="11" t="inlineStr">
        <is>
          <t>N/A</t>
        </is>
      </c>
      <c r="AF71" s="11" t="inlineStr">
        <is>
          <t>N/A</t>
        </is>
      </c>
      <c r="AG71" s="11" t="inlineStr">
        <is>
          <t>N/A</t>
        </is>
      </c>
      <c r="AH71" s="11" t="inlineStr">
        <is>
          <t>N/A</t>
        </is>
      </c>
      <c r="AI71" s="11" t="inlineStr">
        <is>
          <t>HGHQ</t>
        </is>
      </c>
      <c r="AJ71" s="2" t="n"/>
      <c r="AK71" s="2" t="n"/>
      <c r="AL71" s="2" t="n"/>
      <c r="AM71" s="2" t="n"/>
      <c r="AN71" s="2" t="n"/>
      <c r="AO71" s="2" t="n"/>
      <c r="AP71" s="2" t="n"/>
      <c r="AQ71" s="2" t="n"/>
      <c r="AR71" s="2" t="n"/>
      <c r="AS71" s="2" t="n"/>
    </row>
    <row r="72">
      <c r="A72" s="11" t="n">
        <v>60</v>
      </c>
      <c r="B72" s="11" t="inlineStr">
        <is>
          <t>Mr/Mrs</t>
        </is>
      </c>
      <c r="C72" s="11" t="inlineStr">
        <is>
          <t>Forename016</t>
        </is>
      </c>
      <c r="D72" s="11" t="inlineStr">
        <is>
          <t>Surname016</t>
        </is>
      </c>
      <c r="E72" s="11" t="inlineStr">
        <is>
          <t>Hakim Group Head Office</t>
        </is>
      </c>
      <c r="F72" s="11" t="inlineStr">
        <is>
          <t>Support</t>
        </is>
      </c>
      <c r="G72" s="11" t="inlineStr">
        <is>
          <t>CC-HAK</t>
        </is>
      </c>
      <c r="H72" s="11" t="inlineStr">
        <is>
          <t>01/01/2022</t>
        </is>
      </c>
      <c r="I72" s="11" t="inlineStr"/>
      <c r="J72" s="11" t="inlineStr">
        <is>
          <t>Active</t>
        </is>
      </c>
      <c r="K72" s="11" t="n">
        <v>37.5</v>
      </c>
      <c r="L72" s="11" t="inlineStr">
        <is>
          <t>Finance Analyst</t>
        </is>
      </c>
      <c r="M72" s="11" t="inlineStr">
        <is>
          <t>Band 4</t>
        </is>
      </c>
      <c r="N72" s="11" t="inlineStr">
        <is>
          <t>Permanent</t>
        </is>
      </c>
      <c r="O72" s="11" t="n">
        <v>1</v>
      </c>
      <c r="P72" s="11" t="inlineStr">
        <is>
          <t>P19016</t>
        </is>
      </c>
      <c r="Q72" s="11" t="inlineStr">
        <is>
          <t>N/A</t>
        </is>
      </c>
      <c r="R72" s="11" t="inlineStr">
        <is>
          <t>N/A</t>
        </is>
      </c>
      <c r="S72" s="11" t="inlineStr">
        <is>
          <t>N/A</t>
        </is>
      </c>
      <c r="T72" s="11" t="inlineStr">
        <is>
          <t>N/A</t>
        </is>
      </c>
      <c r="U72" s="11" t="inlineStr">
        <is>
          <t>N/A</t>
        </is>
      </c>
      <c r="V72" s="11" t="inlineStr">
        <is>
          <t>N/A</t>
        </is>
      </c>
      <c r="W72" s="11" t="inlineStr">
        <is>
          <t>N/A</t>
        </is>
      </c>
      <c r="X72" s="11" t="inlineStr">
        <is>
          <t>N/A</t>
        </is>
      </c>
      <c r="Y72" s="11" t="inlineStr">
        <is>
          <t>N/A</t>
        </is>
      </c>
      <c r="Z72" s="11" t="inlineStr">
        <is>
          <t>N/A</t>
        </is>
      </c>
      <c r="AA72" s="11" t="inlineStr">
        <is>
          <t>N/A</t>
        </is>
      </c>
      <c r="AB72" s="11" t="inlineStr">
        <is>
          <t>N/A</t>
        </is>
      </c>
      <c r="AC72" s="11" t="inlineStr">
        <is>
          <t>N/A</t>
        </is>
      </c>
      <c r="AD72" s="11" t="inlineStr">
        <is>
          <t>N/A</t>
        </is>
      </c>
      <c r="AE72" s="11" t="inlineStr">
        <is>
          <t>N/A</t>
        </is>
      </c>
      <c r="AF72" s="11" t="inlineStr">
        <is>
          <t>N/A</t>
        </is>
      </c>
      <c r="AG72" s="11" t="inlineStr">
        <is>
          <t>N/A</t>
        </is>
      </c>
      <c r="AH72" s="11" t="inlineStr">
        <is>
          <t>N/A</t>
        </is>
      </c>
      <c r="AI72" s="11" t="inlineStr">
        <is>
          <t>HGHQ</t>
        </is>
      </c>
      <c r="AJ72" s="2" t="n"/>
      <c r="AK72" s="2" t="n"/>
      <c r="AL72" s="2" t="n"/>
      <c r="AM72" s="2" t="n"/>
      <c r="AN72" s="2" t="n"/>
      <c r="AO72" s="2" t="n"/>
      <c r="AP72" s="2" t="n"/>
      <c r="AQ72" s="2" t="n"/>
      <c r="AR72" s="2" t="n"/>
      <c r="AS72" s="2" t="n"/>
    </row>
    <row r="73">
      <c r="A73" s="11" t="n">
        <v>61</v>
      </c>
      <c r="B73" s="11" t="inlineStr">
        <is>
          <t>Mr/Mrs</t>
        </is>
      </c>
      <c r="C73" s="11" t="inlineStr">
        <is>
          <t>Forename200</t>
        </is>
      </c>
      <c r="D73" s="11" t="inlineStr">
        <is>
          <t>Surname200</t>
        </is>
      </c>
      <c r="E73" s="11" t="inlineStr">
        <is>
          <t>Kings Road Dental Practice</t>
        </is>
      </c>
      <c r="F73" s="11" t="inlineStr">
        <is>
          <t>Clinical</t>
        </is>
      </c>
      <c r="G73" s="11" t="inlineStr">
        <is>
          <t>CC-KIN</t>
        </is>
      </c>
      <c r="H73" s="11" t="inlineStr">
        <is>
          <t>01/01/2022</t>
        </is>
      </c>
      <c r="I73" s="11" t="inlineStr"/>
      <c r="J73" s="11" t="inlineStr">
        <is>
          <t>Active</t>
        </is>
      </c>
      <c r="K73" s="11" t="n">
        <v>37.5</v>
      </c>
      <c r="L73" s="11" t="inlineStr">
        <is>
          <t>Dental Hygienist</t>
        </is>
      </c>
      <c r="M73" s="11" t="inlineStr">
        <is>
          <t>Band 4</t>
        </is>
      </c>
      <c r="N73" s="11" t="inlineStr">
        <is>
          <t>Permanent</t>
        </is>
      </c>
      <c r="O73" s="11" t="n">
        <v>1</v>
      </c>
      <c r="P73" s="11" t="inlineStr">
        <is>
          <t>P81200</t>
        </is>
      </c>
      <c r="Q73" s="11" t="inlineStr">
        <is>
          <t>N/A</t>
        </is>
      </c>
      <c r="R73" s="11" t="inlineStr">
        <is>
          <t>N/A</t>
        </is>
      </c>
      <c r="S73" s="11" t="inlineStr">
        <is>
          <t>N/A</t>
        </is>
      </c>
      <c r="T73" s="11" t="inlineStr">
        <is>
          <t>N/A</t>
        </is>
      </c>
      <c r="U73" s="11" t="inlineStr">
        <is>
          <t>N/A</t>
        </is>
      </c>
      <c r="V73" s="11" t="inlineStr">
        <is>
          <t>N/A</t>
        </is>
      </c>
      <c r="W73" s="11" t="inlineStr">
        <is>
          <t>N/A</t>
        </is>
      </c>
      <c r="X73" s="11" t="inlineStr">
        <is>
          <t>N/A</t>
        </is>
      </c>
      <c r="Y73" s="11" t="inlineStr">
        <is>
          <t>N/A</t>
        </is>
      </c>
      <c r="Z73" s="11" t="inlineStr">
        <is>
          <t>N/A</t>
        </is>
      </c>
      <c r="AA73" s="11" t="inlineStr">
        <is>
          <t>N/A</t>
        </is>
      </c>
      <c r="AB73" s="11" t="inlineStr">
        <is>
          <t>N/A</t>
        </is>
      </c>
      <c r="AC73" s="11" t="inlineStr">
        <is>
          <t>N/A</t>
        </is>
      </c>
      <c r="AD73" s="11" t="inlineStr">
        <is>
          <t>N/A</t>
        </is>
      </c>
      <c r="AE73" s="11" t="inlineStr">
        <is>
          <t>N/A</t>
        </is>
      </c>
      <c r="AF73" s="11" t="inlineStr">
        <is>
          <t>N/A</t>
        </is>
      </c>
      <c r="AG73" s="11" t="inlineStr">
        <is>
          <t>N/A</t>
        </is>
      </c>
      <c r="AH73" s="11" t="inlineStr">
        <is>
          <t>N/A</t>
        </is>
      </c>
      <c r="AI73" s="11" t="inlineStr">
        <is>
          <t>Practice Clinical</t>
        </is>
      </c>
      <c r="AJ73" s="2" t="n"/>
      <c r="AK73" s="2" t="n"/>
      <c r="AL73" s="2" t="n"/>
      <c r="AM73" s="2" t="n"/>
      <c r="AN73" s="2" t="n"/>
      <c r="AO73" s="2" t="n"/>
      <c r="AP73" s="2" t="n"/>
      <c r="AQ73" s="2" t="n"/>
      <c r="AR73" s="2" t="n"/>
      <c r="AS73" s="2" t="n"/>
    </row>
    <row r="74">
      <c r="A74" s="11" t="n">
        <v>62</v>
      </c>
      <c r="B74" s="11" t="inlineStr">
        <is>
          <t>Mr/Mrs</t>
        </is>
      </c>
      <c r="C74" s="11" t="inlineStr">
        <is>
          <t>Forename538</t>
        </is>
      </c>
      <c r="D74" s="11" t="inlineStr">
        <is>
          <t>Surname538</t>
        </is>
      </c>
      <c r="E74" s="11" t="inlineStr">
        <is>
          <t>Elm Park Dental Practice</t>
        </is>
      </c>
      <c r="F74" s="11" t="inlineStr">
        <is>
          <t>Support</t>
        </is>
      </c>
      <c r="G74" s="11" t="inlineStr">
        <is>
          <t>CC-ELM</t>
        </is>
      </c>
      <c r="H74" s="11" t="inlineStr">
        <is>
          <t>01/01/2022</t>
        </is>
      </c>
      <c r="I74" s="11" t="inlineStr"/>
      <c r="J74" s="11" t="inlineStr">
        <is>
          <t>Active</t>
        </is>
      </c>
      <c r="K74" s="11" t="n">
        <v>37.5</v>
      </c>
      <c r="L74" s="11" t="inlineStr">
        <is>
          <t>Practice Administrator</t>
        </is>
      </c>
      <c r="M74" s="11" t="inlineStr">
        <is>
          <t>Band 4</t>
        </is>
      </c>
      <c r="N74" s="11" t="inlineStr">
        <is>
          <t>Permanent</t>
        </is>
      </c>
      <c r="O74" s="11" t="n">
        <v>1</v>
      </c>
      <c r="P74" s="11" t="inlineStr">
        <is>
          <t>P97538</t>
        </is>
      </c>
      <c r="Q74" s="11" t="inlineStr">
        <is>
          <t>N/A</t>
        </is>
      </c>
      <c r="R74" s="11" t="inlineStr">
        <is>
          <t>N/A</t>
        </is>
      </c>
      <c r="S74" s="11" t="inlineStr">
        <is>
          <t>N/A</t>
        </is>
      </c>
      <c r="T74" s="11" t="inlineStr">
        <is>
          <t>N/A</t>
        </is>
      </c>
      <c r="U74" s="11" t="inlineStr">
        <is>
          <t>N/A</t>
        </is>
      </c>
      <c r="V74" s="11" t="inlineStr">
        <is>
          <t>N/A</t>
        </is>
      </c>
      <c r="W74" s="11" t="inlineStr">
        <is>
          <t>N/A</t>
        </is>
      </c>
      <c r="X74" s="11" t="inlineStr">
        <is>
          <t>N/A</t>
        </is>
      </c>
      <c r="Y74" s="11" t="inlineStr">
        <is>
          <t>N/A</t>
        </is>
      </c>
      <c r="Z74" s="11" t="inlineStr">
        <is>
          <t>N/A</t>
        </is>
      </c>
      <c r="AA74" s="11" t="inlineStr">
        <is>
          <t>N/A</t>
        </is>
      </c>
      <c r="AB74" s="11" t="inlineStr">
        <is>
          <t>N/A</t>
        </is>
      </c>
      <c r="AC74" s="11" t="inlineStr">
        <is>
          <t>N/A</t>
        </is>
      </c>
      <c r="AD74" s="11" t="inlineStr">
        <is>
          <t>N/A</t>
        </is>
      </c>
      <c r="AE74" s="11" t="inlineStr">
        <is>
          <t>N/A</t>
        </is>
      </c>
      <c r="AF74" s="11" t="inlineStr">
        <is>
          <t>N/A</t>
        </is>
      </c>
      <c r="AG74" s="11" t="inlineStr">
        <is>
          <t>N/A</t>
        </is>
      </c>
      <c r="AH74" s="11" t="inlineStr">
        <is>
          <t>N/A</t>
        </is>
      </c>
      <c r="AI74" s="11" t="inlineStr">
        <is>
          <t>Practice Support</t>
        </is>
      </c>
      <c r="AJ74" s="2" t="n"/>
      <c r="AK74" s="2" t="n"/>
      <c r="AL74" s="2" t="n"/>
      <c r="AM74" s="2" t="n"/>
      <c r="AN74" s="2" t="n"/>
      <c r="AO74" s="2" t="n"/>
      <c r="AP74" s="2" t="n"/>
      <c r="AQ74" s="2" t="n"/>
      <c r="AR74" s="2" t="n"/>
      <c r="AS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  <c r="AO75" s="2" t="n"/>
      <c r="AP75" s="2" t="n"/>
      <c r="AQ75" s="2" t="n"/>
      <c r="AR75" s="2" t="n"/>
      <c r="AS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  <c r="AO76" s="2" t="n"/>
      <c r="AP76" s="2" t="n"/>
      <c r="AQ76" s="2" t="n"/>
      <c r="AR76" s="2" t="n"/>
      <c r="AS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  <c r="AO77" s="2" t="n"/>
      <c r="AP77" s="2" t="n"/>
      <c r="AQ77" s="2" t="n"/>
      <c r="AR77" s="2" t="n"/>
      <c r="AS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  <c r="AO78" s="2" t="n"/>
      <c r="AP78" s="2" t="n"/>
      <c r="AQ78" s="2" t="n"/>
      <c r="AR78" s="2" t="n"/>
      <c r="AS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  <c r="AO79" s="2" t="n"/>
      <c r="AP79" s="2" t="n"/>
      <c r="AQ79" s="2" t="n"/>
      <c r="AR79" s="2" t="n"/>
      <c r="AS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  <c r="AO80" s="2" t="n"/>
      <c r="AP80" s="2" t="n"/>
      <c r="AQ80" s="2" t="n"/>
      <c r="AR80" s="2" t="n"/>
      <c r="AS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  <c r="AO81" s="2" t="n"/>
      <c r="AP81" s="2" t="n"/>
      <c r="AQ81" s="2" t="n"/>
      <c r="AR81" s="2" t="n"/>
      <c r="AS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  <c r="AO82" s="2" t="n"/>
      <c r="AP82" s="2" t="n"/>
      <c r="AQ82" s="2" t="n"/>
      <c r="AR82" s="2" t="n"/>
      <c r="AS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  <c r="AO83" s="2" t="n"/>
      <c r="AP83" s="2" t="n"/>
      <c r="AQ83" s="2" t="n"/>
      <c r="AR83" s="2" t="n"/>
      <c r="AS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  <c r="AO84" s="2" t="n"/>
      <c r="AP84" s="2" t="n"/>
      <c r="AQ84" s="2" t="n"/>
      <c r="AR84" s="2" t="n"/>
      <c r="AS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  <c r="AO85" s="2" t="n"/>
      <c r="AP85" s="2" t="n"/>
      <c r="AQ85" s="2" t="n"/>
      <c r="AR85" s="2" t="n"/>
      <c r="AS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  <c r="AO86" s="2" t="n"/>
      <c r="AP86" s="2" t="n"/>
      <c r="AQ86" s="2" t="n"/>
      <c r="AR86" s="2" t="n"/>
      <c r="AS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  <c r="AO87" s="2" t="n"/>
      <c r="AP87" s="2" t="n"/>
      <c r="AQ87" s="2" t="n"/>
      <c r="AR87" s="2" t="n"/>
      <c r="AS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  <c r="AO88" s="2" t="n"/>
      <c r="AP88" s="2" t="n"/>
      <c r="AQ88" s="2" t="n"/>
      <c r="AR88" s="2" t="n"/>
      <c r="AS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  <c r="AO89" s="2" t="n"/>
      <c r="AP89" s="2" t="n"/>
      <c r="AQ89" s="2" t="n"/>
      <c r="AR89" s="2" t="n"/>
      <c r="AS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  <c r="AO90" s="2" t="n"/>
      <c r="AP90" s="2" t="n"/>
      <c r="AQ90" s="2" t="n"/>
      <c r="AR90" s="2" t="n"/>
      <c r="AS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  <c r="AO91" s="2" t="n"/>
      <c r="AP91" s="2" t="n"/>
      <c r="AQ91" s="2" t="n"/>
      <c r="AR91" s="2" t="n"/>
      <c r="AS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  <c r="AO92" s="2" t="n"/>
      <c r="AP92" s="2" t="n"/>
      <c r="AQ92" s="2" t="n"/>
      <c r="AR92" s="2" t="n"/>
      <c r="AS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  <c r="AO93" s="2" t="n"/>
      <c r="AP93" s="2" t="n"/>
      <c r="AQ93" s="2" t="n"/>
      <c r="AR93" s="2" t="n"/>
      <c r="AS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  <c r="AO94" s="2" t="n"/>
      <c r="AP94" s="2" t="n"/>
      <c r="AQ94" s="2" t="n"/>
      <c r="AR94" s="2" t="n"/>
      <c r="AS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  <c r="AO95" s="2" t="n"/>
      <c r="AP95" s="2" t="n"/>
      <c r="AQ95" s="2" t="n"/>
      <c r="AR95" s="2" t="n"/>
      <c r="AS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  <c r="AO96" s="2" t="n"/>
      <c r="AP96" s="2" t="n"/>
      <c r="AQ96" s="2" t="n"/>
      <c r="AR96" s="2" t="n"/>
      <c r="AS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  <c r="AO97" s="2" t="n"/>
      <c r="AP97" s="2" t="n"/>
      <c r="AQ97" s="2" t="n"/>
      <c r="AR97" s="2" t="n"/>
      <c r="AS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  <c r="AO98" s="2" t="n"/>
      <c r="AP98" s="2" t="n"/>
      <c r="AQ98" s="2" t="n"/>
      <c r="AR98" s="2" t="n"/>
      <c r="AS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  <c r="AO99" s="2" t="n"/>
      <c r="AP99" s="2" t="n"/>
      <c r="AQ99" s="2" t="n"/>
      <c r="AR99" s="2" t="n"/>
      <c r="AS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  <c r="AO100" s="2" t="n"/>
      <c r="AP100" s="2" t="n"/>
      <c r="AQ100" s="2" t="n"/>
      <c r="AR100" s="2" t="n"/>
      <c r="AS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  <c r="AO101" s="2" t="n"/>
      <c r="AP101" s="2" t="n"/>
      <c r="AQ101" s="2" t="n"/>
      <c r="AR101" s="2" t="n"/>
      <c r="AS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  <c r="AO102" s="2" t="n"/>
      <c r="AP102" s="2" t="n"/>
      <c r="AQ102" s="2" t="n"/>
      <c r="AR102" s="2" t="n"/>
      <c r="AS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  <c r="AO103" s="2" t="n"/>
      <c r="AP103" s="2" t="n"/>
      <c r="AQ103" s="2" t="n"/>
      <c r="AR103" s="2" t="n"/>
      <c r="AS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  <c r="AO104" s="2" t="n"/>
      <c r="AP104" s="2" t="n"/>
      <c r="AQ104" s="2" t="n"/>
      <c r="AR104" s="2" t="n"/>
      <c r="AS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  <c r="AO105" s="2" t="n"/>
      <c r="AP105" s="2" t="n"/>
      <c r="AQ105" s="2" t="n"/>
      <c r="AR105" s="2" t="n"/>
      <c r="AS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  <c r="AO106" s="2" t="n"/>
      <c r="AP106" s="2" t="n"/>
      <c r="AQ106" s="2" t="n"/>
      <c r="AR106" s="2" t="n"/>
      <c r="AS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  <c r="AO107" s="2" t="n"/>
      <c r="AP107" s="2" t="n"/>
      <c r="AQ107" s="2" t="n"/>
      <c r="AR107" s="2" t="n"/>
      <c r="AS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  <c r="AO108" s="2" t="n"/>
      <c r="AP108" s="2" t="n"/>
      <c r="AQ108" s="2" t="n"/>
      <c r="AR108" s="2" t="n"/>
      <c r="AS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  <c r="AO109" s="2" t="n"/>
      <c r="AP109" s="2" t="n"/>
      <c r="AQ109" s="2" t="n"/>
      <c r="AR109" s="2" t="n"/>
      <c r="AS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  <c r="AO110" s="2" t="n"/>
      <c r="AP110" s="2" t="n"/>
      <c r="AQ110" s="2" t="n"/>
      <c r="AR110" s="2" t="n"/>
      <c r="AS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  <c r="AO111" s="2" t="n"/>
      <c r="AP111" s="2" t="n"/>
      <c r="AQ111" s="2" t="n"/>
      <c r="AR111" s="2" t="n"/>
      <c r="AS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  <c r="AO112" s="2" t="n"/>
      <c r="AP112" s="2" t="n"/>
      <c r="AQ112" s="2" t="n"/>
      <c r="AR112" s="2" t="n"/>
      <c r="AS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  <c r="AO113" s="2" t="n"/>
      <c r="AP113" s="2" t="n"/>
      <c r="AQ113" s="2" t="n"/>
      <c r="AR113" s="2" t="n"/>
      <c r="AS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  <c r="AO114" s="2" t="n"/>
      <c r="AP114" s="2" t="n"/>
      <c r="AQ114" s="2" t="n"/>
      <c r="AR114" s="2" t="n"/>
      <c r="AS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  <c r="AO115" s="2" t="n"/>
      <c r="AP115" s="2" t="n"/>
      <c r="AQ115" s="2" t="n"/>
      <c r="AR115" s="2" t="n"/>
      <c r="AS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  <c r="AO116" s="2" t="n"/>
      <c r="AP116" s="2" t="n"/>
      <c r="AQ116" s="2" t="n"/>
      <c r="AR116" s="2" t="n"/>
      <c r="AS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  <c r="AO117" s="2" t="n"/>
      <c r="AP117" s="2" t="n"/>
      <c r="AQ117" s="2" t="n"/>
      <c r="AR117" s="2" t="n"/>
      <c r="AS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  <c r="AO118" s="2" t="n"/>
      <c r="AP118" s="2" t="n"/>
      <c r="AQ118" s="2" t="n"/>
      <c r="AR118" s="2" t="n"/>
      <c r="AS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  <c r="AO119" s="2" t="n"/>
      <c r="AP119" s="2" t="n"/>
      <c r="AQ119" s="2" t="n"/>
      <c r="AR119" s="2" t="n"/>
      <c r="AS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  <c r="AO120" s="2" t="n"/>
      <c r="AP120" s="2" t="n"/>
      <c r="AQ120" s="2" t="n"/>
      <c r="AR120" s="2" t="n"/>
      <c r="AS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  <c r="AO121" s="2" t="n"/>
      <c r="AP121" s="2" t="n"/>
      <c r="AQ121" s="2" t="n"/>
      <c r="AR121" s="2" t="n"/>
      <c r="AS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  <c r="AO122" s="2" t="n"/>
      <c r="AP122" s="2" t="n"/>
      <c r="AQ122" s="2" t="n"/>
      <c r="AR122" s="2" t="n"/>
      <c r="AS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  <c r="AO123" s="2" t="n"/>
      <c r="AP123" s="2" t="n"/>
      <c r="AQ123" s="2" t="n"/>
      <c r="AR123" s="2" t="n"/>
      <c r="AS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  <c r="AO124" s="2" t="n"/>
      <c r="AP124" s="2" t="n"/>
      <c r="AQ124" s="2" t="n"/>
      <c r="AR124" s="2" t="n"/>
      <c r="AS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  <c r="AO125" s="2" t="n"/>
      <c r="AP125" s="2" t="n"/>
      <c r="AQ125" s="2" t="n"/>
      <c r="AR125" s="2" t="n"/>
      <c r="AS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  <c r="AO126" s="2" t="n"/>
      <c r="AP126" s="2" t="n"/>
      <c r="AQ126" s="2" t="n"/>
      <c r="AR126" s="2" t="n"/>
      <c r="AS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  <c r="AO127" s="2" t="n"/>
      <c r="AP127" s="2" t="n"/>
      <c r="AQ127" s="2" t="n"/>
      <c r="AR127" s="2" t="n"/>
      <c r="AS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  <c r="AO128" s="2" t="n"/>
      <c r="AP128" s="2" t="n"/>
      <c r="AQ128" s="2" t="n"/>
      <c r="AR128" s="2" t="n"/>
      <c r="AS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  <c r="AO129" s="2" t="n"/>
      <c r="AP129" s="2" t="n"/>
      <c r="AQ129" s="2" t="n"/>
      <c r="AR129" s="2" t="n"/>
      <c r="AS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  <c r="AO130" s="2" t="n"/>
      <c r="AP130" s="2" t="n"/>
      <c r="AQ130" s="2" t="n"/>
      <c r="AR130" s="2" t="n"/>
      <c r="AS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  <c r="AO131" s="2" t="n"/>
      <c r="AP131" s="2" t="n"/>
      <c r="AQ131" s="2" t="n"/>
      <c r="AR131" s="2" t="n"/>
      <c r="AS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  <c r="AO132" s="2" t="n"/>
      <c r="AP132" s="2" t="n"/>
      <c r="AQ132" s="2" t="n"/>
      <c r="AR132" s="2" t="n"/>
      <c r="AS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  <c r="AO133" s="2" t="n"/>
      <c r="AP133" s="2" t="n"/>
      <c r="AQ133" s="2" t="n"/>
      <c r="AR133" s="2" t="n"/>
      <c r="AS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  <c r="AO134" s="2" t="n"/>
      <c r="AP134" s="2" t="n"/>
      <c r="AQ134" s="2" t="n"/>
      <c r="AR134" s="2" t="n"/>
      <c r="AS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  <c r="AO135" s="2" t="n"/>
      <c r="AP135" s="2" t="n"/>
      <c r="AQ135" s="2" t="n"/>
      <c r="AR135" s="2" t="n"/>
      <c r="AS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  <c r="AO136" s="2" t="n"/>
      <c r="AP136" s="2" t="n"/>
      <c r="AQ136" s="2" t="n"/>
      <c r="AR136" s="2" t="n"/>
      <c r="AS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  <c r="AO137" s="2" t="n"/>
      <c r="AP137" s="2" t="n"/>
      <c r="AQ137" s="2" t="n"/>
      <c r="AR137" s="2" t="n"/>
      <c r="AS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  <c r="AO138" s="2" t="n"/>
      <c r="AP138" s="2" t="n"/>
      <c r="AQ138" s="2" t="n"/>
      <c r="AR138" s="2" t="n"/>
      <c r="AS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  <c r="AO139" s="2" t="n"/>
      <c r="AP139" s="2" t="n"/>
      <c r="AQ139" s="2" t="n"/>
      <c r="AR139" s="2" t="n"/>
      <c r="AS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  <c r="AO140" s="2" t="n"/>
      <c r="AP140" s="2" t="n"/>
      <c r="AQ140" s="2" t="n"/>
      <c r="AR140" s="2" t="n"/>
      <c r="AS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  <c r="AO141" s="2" t="n"/>
      <c r="AP141" s="2" t="n"/>
      <c r="AQ141" s="2" t="n"/>
      <c r="AR141" s="2" t="n"/>
      <c r="AS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  <c r="AO142" s="2" t="n"/>
      <c r="AP142" s="2" t="n"/>
      <c r="AQ142" s="2" t="n"/>
      <c r="AR142" s="2" t="n"/>
      <c r="AS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  <c r="AO143" s="2" t="n"/>
      <c r="AP143" s="2" t="n"/>
      <c r="AQ143" s="2" t="n"/>
      <c r="AR143" s="2" t="n"/>
      <c r="AS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  <c r="AO144" s="2" t="n"/>
      <c r="AP144" s="2" t="n"/>
      <c r="AQ144" s="2" t="n"/>
      <c r="AR144" s="2" t="n"/>
      <c r="AS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  <c r="AO145" s="2" t="n"/>
      <c r="AP145" s="2" t="n"/>
      <c r="AQ145" s="2" t="n"/>
      <c r="AR145" s="2" t="n"/>
      <c r="AS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  <c r="AO146" s="2" t="n"/>
      <c r="AP146" s="2" t="n"/>
      <c r="AQ146" s="2" t="n"/>
      <c r="AR146" s="2" t="n"/>
      <c r="AS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  <c r="AO147" s="2" t="n"/>
      <c r="AP147" s="2" t="n"/>
      <c r="AQ147" s="2" t="n"/>
      <c r="AR147" s="2" t="n"/>
      <c r="AS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  <c r="AO148" s="2" t="n"/>
      <c r="AP148" s="2" t="n"/>
      <c r="AQ148" s="2" t="n"/>
      <c r="AR148" s="2" t="n"/>
      <c r="AS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  <c r="AO149" s="2" t="n"/>
      <c r="AP149" s="2" t="n"/>
      <c r="AQ149" s="2" t="n"/>
      <c r="AR149" s="2" t="n"/>
      <c r="AS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  <c r="AO150" s="2" t="n"/>
      <c r="AP150" s="2" t="n"/>
      <c r="AQ150" s="2" t="n"/>
      <c r="AR150" s="2" t="n"/>
      <c r="AS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  <c r="AO151" s="2" t="n"/>
      <c r="AP151" s="2" t="n"/>
      <c r="AQ151" s="2" t="n"/>
      <c r="AR151" s="2" t="n"/>
      <c r="AS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  <c r="AO152" s="2" t="n"/>
      <c r="AP152" s="2" t="n"/>
      <c r="AQ152" s="2" t="n"/>
      <c r="AR152" s="2" t="n"/>
      <c r="AS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  <c r="AO153" s="2" t="n"/>
      <c r="AP153" s="2" t="n"/>
      <c r="AQ153" s="2" t="n"/>
      <c r="AR153" s="2" t="n"/>
      <c r="AS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  <c r="AO154" s="2" t="n"/>
      <c r="AP154" s="2" t="n"/>
      <c r="AQ154" s="2" t="n"/>
      <c r="AR154" s="2" t="n"/>
      <c r="AS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  <c r="AO155" s="2" t="n"/>
      <c r="AP155" s="2" t="n"/>
      <c r="AQ155" s="2" t="n"/>
      <c r="AR155" s="2" t="n"/>
      <c r="AS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  <c r="AO156" s="2" t="n"/>
      <c r="AP156" s="2" t="n"/>
      <c r="AQ156" s="2" t="n"/>
      <c r="AR156" s="2" t="n"/>
      <c r="AS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  <c r="AO157" s="2" t="n"/>
      <c r="AP157" s="2" t="n"/>
      <c r="AQ157" s="2" t="n"/>
      <c r="AR157" s="2" t="n"/>
      <c r="AS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  <c r="AO158" s="2" t="n"/>
      <c r="AP158" s="2" t="n"/>
      <c r="AQ158" s="2" t="n"/>
      <c r="AR158" s="2" t="n"/>
      <c r="AS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  <c r="AO159" s="2" t="n"/>
      <c r="AP159" s="2" t="n"/>
      <c r="AQ159" s="2" t="n"/>
      <c r="AR159" s="2" t="n"/>
      <c r="AS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  <c r="AO160" s="2" t="n"/>
      <c r="AP160" s="2" t="n"/>
      <c r="AQ160" s="2" t="n"/>
      <c r="AR160" s="2" t="n"/>
      <c r="AS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  <c r="AO161" s="2" t="n"/>
      <c r="AP161" s="2" t="n"/>
      <c r="AQ161" s="2" t="n"/>
      <c r="AR161" s="2" t="n"/>
      <c r="AS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  <c r="AO162" s="2" t="n"/>
      <c r="AP162" s="2" t="n"/>
      <c r="AQ162" s="2" t="n"/>
      <c r="AR162" s="2" t="n"/>
      <c r="AS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  <c r="AO163" s="2" t="n"/>
      <c r="AP163" s="2" t="n"/>
      <c r="AQ163" s="2" t="n"/>
      <c r="AR163" s="2" t="n"/>
      <c r="AS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  <c r="AO164" s="2" t="n"/>
      <c r="AP164" s="2" t="n"/>
      <c r="AQ164" s="2" t="n"/>
      <c r="AR164" s="2" t="n"/>
      <c r="AS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  <c r="AO165" s="2" t="n"/>
      <c r="AP165" s="2" t="n"/>
      <c r="AQ165" s="2" t="n"/>
      <c r="AR165" s="2" t="n"/>
      <c r="AS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  <c r="AO166" s="2" t="n"/>
      <c r="AP166" s="2" t="n"/>
      <c r="AQ166" s="2" t="n"/>
      <c r="AR166" s="2" t="n"/>
      <c r="AS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  <c r="AO167" s="2" t="n"/>
      <c r="AP167" s="2" t="n"/>
      <c r="AQ167" s="2" t="n"/>
      <c r="AR167" s="2" t="n"/>
      <c r="AS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  <c r="AO168" s="2" t="n"/>
      <c r="AP168" s="2" t="n"/>
      <c r="AQ168" s="2" t="n"/>
      <c r="AR168" s="2" t="n"/>
      <c r="AS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  <c r="AO169" s="2" t="n"/>
      <c r="AP169" s="2" t="n"/>
      <c r="AQ169" s="2" t="n"/>
      <c r="AR169" s="2" t="n"/>
      <c r="AS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  <c r="AO170" s="2" t="n"/>
      <c r="AP170" s="2" t="n"/>
      <c r="AQ170" s="2" t="n"/>
      <c r="AR170" s="2" t="n"/>
      <c r="AS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  <c r="AO171" s="2" t="n"/>
      <c r="AP171" s="2" t="n"/>
      <c r="AQ171" s="2" t="n"/>
      <c r="AR171" s="2" t="n"/>
      <c r="AS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  <c r="AO172" s="2" t="n"/>
      <c r="AP172" s="2" t="n"/>
      <c r="AQ172" s="2" t="n"/>
      <c r="AR172" s="2" t="n"/>
      <c r="AS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  <c r="AO173" s="2" t="n"/>
      <c r="AP173" s="2" t="n"/>
      <c r="AQ173" s="2" t="n"/>
      <c r="AR173" s="2" t="n"/>
      <c r="AS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  <c r="AO174" s="2" t="n"/>
      <c r="AP174" s="2" t="n"/>
      <c r="AQ174" s="2" t="n"/>
      <c r="AR174" s="2" t="n"/>
      <c r="AS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  <c r="AO175" s="2" t="n"/>
      <c r="AP175" s="2" t="n"/>
      <c r="AQ175" s="2" t="n"/>
      <c r="AR175" s="2" t="n"/>
      <c r="AS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  <c r="AO176" s="2" t="n"/>
      <c r="AP176" s="2" t="n"/>
      <c r="AQ176" s="2" t="n"/>
      <c r="AR176" s="2" t="n"/>
      <c r="AS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  <c r="AO177" s="2" t="n"/>
      <c r="AP177" s="2" t="n"/>
      <c r="AQ177" s="2" t="n"/>
      <c r="AR177" s="2" t="n"/>
      <c r="AS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  <c r="AO178" s="2" t="n"/>
      <c r="AP178" s="2" t="n"/>
      <c r="AQ178" s="2" t="n"/>
      <c r="AR178" s="2" t="n"/>
      <c r="AS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  <c r="AO179" s="2" t="n"/>
      <c r="AP179" s="2" t="n"/>
      <c r="AQ179" s="2" t="n"/>
      <c r="AR179" s="2" t="n"/>
      <c r="AS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  <c r="AO180" s="2" t="n"/>
      <c r="AP180" s="2" t="n"/>
      <c r="AQ180" s="2" t="n"/>
      <c r="AR180" s="2" t="n"/>
      <c r="AS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  <c r="AO181" s="2" t="n"/>
      <c r="AP181" s="2" t="n"/>
      <c r="AQ181" s="2" t="n"/>
      <c r="AR181" s="2" t="n"/>
      <c r="AS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  <c r="AO182" s="2" t="n"/>
      <c r="AP182" s="2" t="n"/>
      <c r="AQ182" s="2" t="n"/>
      <c r="AR182" s="2" t="n"/>
      <c r="AS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  <c r="AO183" s="2" t="n"/>
      <c r="AP183" s="2" t="n"/>
      <c r="AQ183" s="2" t="n"/>
      <c r="AR183" s="2" t="n"/>
      <c r="AS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  <c r="AO184" s="2" t="n"/>
      <c r="AP184" s="2" t="n"/>
      <c r="AQ184" s="2" t="n"/>
      <c r="AR184" s="2" t="n"/>
      <c r="AS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  <c r="AO185" s="2" t="n"/>
      <c r="AP185" s="2" t="n"/>
      <c r="AQ185" s="2" t="n"/>
      <c r="AR185" s="2" t="n"/>
      <c r="AS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  <c r="AO186" s="2" t="n"/>
      <c r="AP186" s="2" t="n"/>
      <c r="AQ186" s="2" t="n"/>
      <c r="AR186" s="2" t="n"/>
      <c r="AS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  <c r="AO187" s="2" t="n"/>
      <c r="AP187" s="2" t="n"/>
      <c r="AQ187" s="2" t="n"/>
      <c r="AR187" s="2" t="n"/>
      <c r="AS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  <c r="AO188" s="2" t="n"/>
      <c r="AP188" s="2" t="n"/>
      <c r="AQ188" s="2" t="n"/>
      <c r="AR188" s="2" t="n"/>
      <c r="AS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  <c r="AO189" s="2" t="n"/>
      <c r="AP189" s="2" t="n"/>
      <c r="AQ189" s="2" t="n"/>
      <c r="AR189" s="2" t="n"/>
      <c r="AS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  <c r="AO190" s="2" t="n"/>
      <c r="AP190" s="2" t="n"/>
      <c r="AQ190" s="2" t="n"/>
      <c r="AR190" s="2" t="n"/>
      <c r="AS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  <c r="AO191" s="2" t="n"/>
      <c r="AP191" s="2" t="n"/>
      <c r="AQ191" s="2" t="n"/>
      <c r="AR191" s="2" t="n"/>
      <c r="AS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  <c r="AO192" s="2" t="n"/>
      <c r="AP192" s="2" t="n"/>
      <c r="AQ192" s="2" t="n"/>
      <c r="AR192" s="2" t="n"/>
      <c r="AS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  <c r="AO193" s="2" t="n"/>
      <c r="AP193" s="2" t="n"/>
      <c r="AQ193" s="2" t="n"/>
      <c r="AR193" s="2" t="n"/>
      <c r="AS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  <c r="AO194" s="2" t="n"/>
      <c r="AP194" s="2" t="n"/>
      <c r="AQ194" s="2" t="n"/>
      <c r="AR194" s="2" t="n"/>
      <c r="AS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  <c r="AO195" s="2" t="n"/>
      <c r="AP195" s="2" t="n"/>
      <c r="AQ195" s="2" t="n"/>
      <c r="AR195" s="2" t="n"/>
      <c r="AS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  <c r="AO196" s="2" t="n"/>
      <c r="AP196" s="2" t="n"/>
      <c r="AQ196" s="2" t="n"/>
      <c r="AR196" s="2" t="n"/>
      <c r="AS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  <c r="AO197" s="2" t="n"/>
      <c r="AP197" s="2" t="n"/>
      <c r="AQ197" s="2" t="n"/>
      <c r="AR197" s="2" t="n"/>
      <c r="AS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  <c r="AO198" s="2" t="n"/>
      <c r="AP198" s="2" t="n"/>
      <c r="AQ198" s="2" t="n"/>
      <c r="AR198" s="2" t="n"/>
      <c r="AS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  <c r="AO199" s="2" t="n"/>
      <c r="AP199" s="2" t="n"/>
      <c r="AQ199" s="2" t="n"/>
      <c r="AR199" s="2" t="n"/>
      <c r="AS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  <c r="AO200" s="2" t="n"/>
      <c r="AP200" s="2" t="n"/>
      <c r="AQ200" s="2" t="n"/>
      <c r="AR200" s="2" t="n"/>
      <c r="AS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  <c r="AO201" s="2" t="n"/>
      <c r="AP201" s="2" t="n"/>
      <c r="AQ201" s="2" t="n"/>
      <c r="AR201" s="2" t="n"/>
      <c r="AS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  <c r="AO202" s="2" t="n"/>
      <c r="AP202" s="2" t="n"/>
      <c r="AQ202" s="2" t="n"/>
      <c r="AR202" s="2" t="n"/>
      <c r="AS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  <c r="AO203" s="2" t="n"/>
      <c r="AP203" s="2" t="n"/>
      <c r="AQ203" s="2" t="n"/>
      <c r="AR203" s="2" t="n"/>
      <c r="AS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  <c r="AO204" s="2" t="n"/>
      <c r="AP204" s="2" t="n"/>
      <c r="AQ204" s="2" t="n"/>
      <c r="AR204" s="2" t="n"/>
      <c r="AS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  <c r="AO205" s="2" t="n"/>
      <c r="AP205" s="2" t="n"/>
      <c r="AQ205" s="2" t="n"/>
      <c r="AR205" s="2" t="n"/>
      <c r="AS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  <c r="AO206" s="2" t="n"/>
      <c r="AP206" s="2" t="n"/>
      <c r="AQ206" s="2" t="n"/>
      <c r="AR206" s="2" t="n"/>
      <c r="AS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  <c r="AO207" s="2" t="n"/>
      <c r="AP207" s="2" t="n"/>
      <c r="AQ207" s="2" t="n"/>
      <c r="AR207" s="2" t="n"/>
      <c r="AS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  <c r="AO208" s="2" t="n"/>
      <c r="AP208" s="2" t="n"/>
      <c r="AQ208" s="2" t="n"/>
      <c r="AR208" s="2" t="n"/>
      <c r="AS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  <c r="AO209" s="2" t="n"/>
      <c r="AP209" s="2" t="n"/>
      <c r="AQ209" s="2" t="n"/>
      <c r="AR209" s="2" t="n"/>
      <c r="AS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  <c r="AO210" s="2" t="n"/>
      <c r="AP210" s="2" t="n"/>
      <c r="AQ210" s="2" t="n"/>
      <c r="AR210" s="2" t="n"/>
      <c r="AS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  <c r="AO211" s="2" t="n"/>
      <c r="AP211" s="2" t="n"/>
      <c r="AQ211" s="2" t="n"/>
      <c r="AR211" s="2" t="n"/>
      <c r="AS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  <c r="AO212" s="2" t="n"/>
      <c r="AP212" s="2" t="n"/>
      <c r="AQ212" s="2" t="n"/>
      <c r="AR212" s="2" t="n"/>
      <c r="AS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  <c r="AO213" s="2" t="n"/>
      <c r="AP213" s="2" t="n"/>
      <c r="AQ213" s="2" t="n"/>
      <c r="AR213" s="2" t="n"/>
      <c r="AS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  <c r="AO214" s="2" t="n"/>
      <c r="AP214" s="2" t="n"/>
      <c r="AQ214" s="2" t="n"/>
      <c r="AR214" s="2" t="n"/>
      <c r="AS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  <c r="AO215" s="2" t="n"/>
      <c r="AP215" s="2" t="n"/>
      <c r="AQ215" s="2" t="n"/>
      <c r="AR215" s="2" t="n"/>
      <c r="AS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  <c r="AO216" s="2" t="n"/>
      <c r="AP216" s="2" t="n"/>
      <c r="AQ216" s="2" t="n"/>
      <c r="AR216" s="2" t="n"/>
      <c r="AS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  <c r="AO217" s="2" t="n"/>
      <c r="AP217" s="2" t="n"/>
      <c r="AQ217" s="2" t="n"/>
      <c r="AR217" s="2" t="n"/>
      <c r="AS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  <c r="AO218" s="2" t="n"/>
      <c r="AP218" s="2" t="n"/>
      <c r="AQ218" s="2" t="n"/>
      <c r="AR218" s="2" t="n"/>
      <c r="AS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  <c r="AO219" s="2" t="n"/>
      <c r="AP219" s="2" t="n"/>
      <c r="AQ219" s="2" t="n"/>
      <c r="AR219" s="2" t="n"/>
      <c r="AS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  <c r="AO220" s="2" t="n"/>
      <c r="AP220" s="2" t="n"/>
      <c r="AQ220" s="2" t="n"/>
      <c r="AR220" s="2" t="n"/>
      <c r="AS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  <c r="AO221" s="2" t="n"/>
      <c r="AP221" s="2" t="n"/>
      <c r="AQ221" s="2" t="n"/>
      <c r="AR221" s="2" t="n"/>
      <c r="AS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  <c r="AO222" s="2" t="n"/>
      <c r="AP222" s="2" t="n"/>
      <c r="AQ222" s="2" t="n"/>
      <c r="AR222" s="2" t="n"/>
      <c r="AS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  <c r="AO223" s="2" t="n"/>
      <c r="AP223" s="2" t="n"/>
      <c r="AQ223" s="2" t="n"/>
      <c r="AR223" s="2" t="n"/>
      <c r="AS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  <c r="AO224" s="2" t="n"/>
      <c r="AP224" s="2" t="n"/>
      <c r="AQ224" s="2" t="n"/>
      <c r="AR224" s="2" t="n"/>
      <c r="AS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  <c r="AO225" s="2" t="n"/>
      <c r="AP225" s="2" t="n"/>
      <c r="AQ225" s="2" t="n"/>
      <c r="AR225" s="2" t="n"/>
      <c r="AS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  <c r="AO226" s="2" t="n"/>
      <c r="AP226" s="2" t="n"/>
      <c r="AQ226" s="2" t="n"/>
      <c r="AR226" s="2" t="n"/>
      <c r="AS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  <c r="AO227" s="2" t="n"/>
      <c r="AP227" s="2" t="n"/>
      <c r="AQ227" s="2" t="n"/>
      <c r="AR227" s="2" t="n"/>
      <c r="AS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  <c r="AO228" s="2" t="n"/>
      <c r="AP228" s="2" t="n"/>
      <c r="AQ228" s="2" t="n"/>
      <c r="AR228" s="2" t="n"/>
      <c r="AS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  <c r="AO229" s="2" t="n"/>
      <c r="AP229" s="2" t="n"/>
      <c r="AQ229" s="2" t="n"/>
      <c r="AR229" s="2" t="n"/>
      <c r="AS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  <c r="AO230" s="2" t="n"/>
      <c r="AP230" s="2" t="n"/>
      <c r="AQ230" s="2" t="n"/>
      <c r="AR230" s="2" t="n"/>
      <c r="AS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  <c r="AO231" s="2" t="n"/>
      <c r="AP231" s="2" t="n"/>
      <c r="AQ231" s="2" t="n"/>
      <c r="AR231" s="2" t="n"/>
      <c r="AS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  <c r="AO232" s="2" t="n"/>
      <c r="AP232" s="2" t="n"/>
      <c r="AQ232" s="2" t="n"/>
      <c r="AR232" s="2" t="n"/>
      <c r="AS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  <c r="AO233" s="2" t="n"/>
      <c r="AP233" s="2" t="n"/>
      <c r="AQ233" s="2" t="n"/>
      <c r="AR233" s="2" t="n"/>
      <c r="AS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  <c r="AO234" s="2" t="n"/>
      <c r="AP234" s="2" t="n"/>
      <c r="AQ234" s="2" t="n"/>
      <c r="AR234" s="2" t="n"/>
      <c r="AS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  <c r="AO235" s="2" t="n"/>
      <c r="AP235" s="2" t="n"/>
      <c r="AQ235" s="2" t="n"/>
      <c r="AR235" s="2" t="n"/>
      <c r="AS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  <c r="AO236" s="2" t="n"/>
      <c r="AP236" s="2" t="n"/>
      <c r="AQ236" s="2" t="n"/>
      <c r="AR236" s="2" t="n"/>
      <c r="AS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  <c r="AO237" s="2" t="n"/>
      <c r="AP237" s="2" t="n"/>
      <c r="AQ237" s="2" t="n"/>
      <c r="AR237" s="2" t="n"/>
      <c r="AS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  <c r="AO238" s="2" t="n"/>
      <c r="AP238" s="2" t="n"/>
      <c r="AQ238" s="2" t="n"/>
      <c r="AR238" s="2" t="n"/>
      <c r="AS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  <c r="AO239" s="2" t="n"/>
      <c r="AP239" s="2" t="n"/>
      <c r="AQ239" s="2" t="n"/>
      <c r="AR239" s="2" t="n"/>
      <c r="AS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  <c r="AO240" s="2" t="n"/>
      <c r="AP240" s="2" t="n"/>
      <c r="AQ240" s="2" t="n"/>
      <c r="AR240" s="2" t="n"/>
      <c r="AS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  <c r="AO241" s="2" t="n"/>
      <c r="AP241" s="2" t="n"/>
      <c r="AQ241" s="2" t="n"/>
      <c r="AR241" s="2" t="n"/>
      <c r="AS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  <c r="AO242" s="2" t="n"/>
      <c r="AP242" s="2" t="n"/>
      <c r="AQ242" s="2" t="n"/>
      <c r="AR242" s="2" t="n"/>
      <c r="AS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  <c r="AO243" s="2" t="n"/>
      <c r="AP243" s="2" t="n"/>
      <c r="AQ243" s="2" t="n"/>
      <c r="AR243" s="2" t="n"/>
      <c r="AS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  <c r="AO244" s="2" t="n"/>
      <c r="AP244" s="2" t="n"/>
      <c r="AQ244" s="2" t="n"/>
      <c r="AR244" s="2" t="n"/>
      <c r="AS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  <c r="AO245" s="2" t="n"/>
      <c r="AP245" s="2" t="n"/>
      <c r="AQ245" s="2" t="n"/>
      <c r="AR245" s="2" t="n"/>
      <c r="AS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  <c r="AO246" s="2" t="n"/>
      <c r="AP246" s="2" t="n"/>
      <c r="AQ246" s="2" t="n"/>
      <c r="AR246" s="2" t="n"/>
      <c r="AS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  <c r="AO247" s="2" t="n"/>
      <c r="AP247" s="2" t="n"/>
      <c r="AQ247" s="2" t="n"/>
      <c r="AR247" s="2" t="n"/>
      <c r="AS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  <c r="AO248" s="2" t="n"/>
      <c r="AP248" s="2" t="n"/>
      <c r="AQ248" s="2" t="n"/>
      <c r="AR248" s="2" t="n"/>
      <c r="AS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  <c r="AO249" s="2" t="n"/>
      <c r="AP249" s="2" t="n"/>
      <c r="AQ249" s="2" t="n"/>
      <c r="AR249" s="2" t="n"/>
      <c r="AS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  <c r="AO250" s="2" t="n"/>
      <c r="AP250" s="2" t="n"/>
      <c r="AQ250" s="2" t="n"/>
      <c r="AR250" s="2" t="n"/>
      <c r="AS250" s="2" t="n"/>
    </row>
  </sheetData>
  <autoFilter ref="A12:AI7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2026-08-23T10:02:42Z</dcterms:created>
  <dcterms:modified xsi:type="dcterms:W3CDTF">2026-08-23T10:02:44Z</dcterms:modified>
</cp:coreProperties>
</file>
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 Sheet" sheetId="1" state="visible" r:id="rId3"/>
    <sheet name="_Helpers" sheetId="2" state="hidden" r:id="rId4"/>
    <sheet name="Summary" sheetId="3" state="visible" r:id="rId5"/>
    <sheet name="Exceptions" sheetId="4" state="visible" r:id="rId6"/>
    <sheet name="Zero Hours" sheetId="5" state="visible" r:id="rId7"/>
    <sheet name="Drilldown" sheetId="6" state="visible" r:id="rId8"/>
    <sheet name="NPV Comparison" sheetId="7" state="visible" r:id="rId9"/>
    <sheet name="Payment Breakdown Current" sheetId="8" state="visible" r:id="rId10"/>
    <sheet name="Payment Breakdown Prior" sheetId="9" state="visible" r:id="rId11"/>
    <sheet name="New Starters" sheetId="10" state="visible" r:id="rId12"/>
    <sheet name="Leavers" sheetId="11" state="visible" r:id="rId13"/>
    <sheet name="Structure" sheetId="12" state="visible" r:id="rId14"/>
  </sheets>
  <definedNames>
    <definedName function="false" hidden="true" localSheetId="3" name="_xlnm._FilterDatabase" vbProcedure="false">Exceptions!$A$3:$N$93</definedName>
    <definedName function="false" hidden="true" localSheetId="10" name="_xlnm._FilterDatabase" vbProcedure="false">Leavers!$A$11:$K$17</definedName>
    <definedName function="false" hidden="true" localSheetId="9" name="_xlnm._FilterDatabase" vbProcedure="false">'New Starters'!$A$13:$K$19</definedName>
    <definedName function="false" hidden="true" localSheetId="6" name="_xlnm._FilterDatabase" vbProcedure="false">'NPV Comparison'!$A$14:$J$74</definedName>
    <definedName function="false" hidden="true" localSheetId="7" name="_xlnm._FilterDatabase" vbProcedure="false">'Payment Breakdown Current'!$A$14:$AE$68</definedName>
    <definedName function="false" hidden="true" localSheetId="8" name="_xlnm._FilterDatabase" vbProcedure="false">'Payment Breakdown Prior'!$A$14:$AE$68</definedName>
    <definedName function="false" hidden="true" localSheetId="11" name="_xlnm._FilterDatabase" vbProcedure="false">Structure!$A$12:$AI$74</definedName>
    <definedName function="false" hidden="true" localSheetId="4" name="_xlnm._FilterDatabase" vbProcedure="false">'Zero Hours'!$A$3:$F$93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<sst xmlns="http://schemas.openxmlformats.org/spreadsheetml/2006/main" count="3810" uniqueCount="426">
  <si>
    <t xml:space="preserve">Hakim Group  |  Payroll Reconciliation Tool</t>
  </si>
  <si>
    <t xml:space="preserve">Monthly Control Panel</t>
  </si>
  <si>
    <t xml:space="preserve">Tolerance - HG practices (%)</t>
  </si>
  <si>
    <t xml:space="preserve">Tolerance - HO2 practice (%)</t>
  </si>
  <si>
    <t xml:space="preserve">Minimum £ to flag</t>
  </si>
  <si>
    <t xml:space="preserve">Prior period label</t>
  </si>
  <si>
    <t xml:space="preserve">June 2026</t>
  </si>
  <si>
    <t xml:space="preserve">Current period label</t>
  </si>
  <si>
    <t xml:space="preserve">July 2026</t>
  </si>
  <si>
    <t xml:space="preserve">Rule: practices whose name contains 'Head Office' use the HO2 tolerance; all others use the HG tolerance. Edit only the gold cells above.</t>
  </si>
  <si>
    <t xml:space="preserve">Monthly steps</t>
  </si>
  <si>
    <t xml:space="preserve">1. Export the six iTrent reports below for the current payroll run.</t>
  </si>
  <si>
    <t xml:space="preserve">2. Check the prior-month Payment Breakdown export for an EXTRA leading 'Reference No' column (see warning below). Delete it if present so both months line up.</t>
  </si>
  <si>
    <t xml:space="preserve">3. Clear old data from each paste tab (keep the header row) and paste the new export starting at the header row shown in 'Expected report layout' below.</t>
  </si>
  <si>
    <t xml:space="preserve">4. Update the Prior/Current period labels above.</t>
  </si>
  <si>
    <t xml:space="preserve">5. Open Summary, Exceptions, Zero Hours and Drilldown - they recalculate automatically.</t>
  </si>
  <si>
    <t xml:space="preserve">6. Work through Exceptions top to bottom; use Drilldown to inspect any payroll number.</t>
  </si>
  <si>
    <t xml:space="preserve">7. Agree totals on the Summary tab to BACS and to the payroll submissions.</t>
  </si>
  <si>
    <t xml:space="preserve">Expected report layout</t>
  </si>
  <si>
    <t xml:space="preserve">Report</t>
  </si>
  <si>
    <t xml:space="preserve">Paste tab</t>
  </si>
  <si>
    <t xml:space="preserve">Header row</t>
  </si>
  <si>
    <t xml:space="preserve">Data starts</t>
  </si>
  <si>
    <t xml:space="preserve">Key columns</t>
  </si>
  <si>
    <t xml:space="preserve">NPV Comparison (Net Pay)</t>
  </si>
  <si>
    <t xml:space="preserve">NPV Comparison</t>
  </si>
  <si>
    <t xml:space="preserve">D Payroll No, E Prior Net, F Current Net</t>
  </si>
  <si>
    <t xml:space="preserve">Payment Breakdown - current month</t>
  </si>
  <si>
    <t xml:space="preserve">Payment Breakdown Current</t>
  </si>
  <si>
    <t xml:space="preserve">D Practice, K.. Elements, last col Reference No</t>
  </si>
  <si>
    <t xml:space="preserve">Payment Breakdown - prior month</t>
  </si>
  <si>
    <t xml:space="preserve">Payment Breakdown Prior</t>
  </si>
  <si>
    <t xml:space="preserve">Same as above once the extra leading column is removed</t>
  </si>
  <si>
    <t xml:space="preserve">New Starters</t>
  </si>
  <si>
    <t xml:space="preserve">D Payroll No, K Personal Reference</t>
  </si>
  <si>
    <t xml:space="preserve">Leavers</t>
  </si>
  <si>
    <t xml:space="preserve">Structure report</t>
  </si>
  <si>
    <t xml:space="preserve">Structure</t>
  </si>
  <si>
    <t xml:space="preserve">L Position, N Basis, P Payroll Ref (MHR), AI Category</t>
  </si>
  <si>
    <t xml:space="preserve">⚠ WARNING - PRIOR MONTH PAYMENT BREAKDOWN: some iTrent exports carry an extra leading 'Reference No' column that shifts Practice, elements and everything else one column to the right. If Practice does not land in column D and the first pay element does not land in column K on the 'Payment Breakdown Prior' tab, delete the extra leading column before pasting. Getting this wrong silently misaligns the whole comparison.</t>
  </si>
  <si>
    <t xml:space="preserve">PayrollNumber</t>
  </si>
  <si>
    <t xml:space="preserve">PriorNet</t>
  </si>
  <si>
    <t xml:space="preserve">CurrentNet</t>
  </si>
  <si>
    <t xml:space="preserve">Practice</t>
  </si>
  <si>
    <t xml:space="preserve">IsZeroHoursOnly</t>
  </si>
  <si>
    <t xml:space="preserve">IsMainList</t>
  </si>
  <si>
    <t xml:space="preserve">IsStarter</t>
  </si>
  <si>
    <t xml:space="preserve">IsLeaver</t>
  </si>
  <si>
    <t xml:space="preserve">PersonalRef</t>
  </si>
  <si>
    <t xml:space="preserve">IsPaired</t>
  </si>
  <si>
    <t xml:space="preserve">ToleranceGroupPct</t>
  </si>
  <si>
    <t xml:space="preserve">Diff</t>
  </si>
  <si>
    <t xml:space="preserve">DiffPct</t>
  </si>
  <si>
    <t xml:space="preserve">OverTolerance</t>
  </si>
  <si>
    <t xml:space="preserve">Flagged</t>
  </si>
  <si>
    <t xml:space="preserve">Status</t>
  </si>
  <si>
    <t xml:space="preserve">NoPayNoLeaver</t>
  </si>
  <si>
    <t xml:space="preserve">IsReviewItem</t>
  </si>
  <si>
    <t xml:space="preserve">Priority</t>
  </si>
  <si>
    <t xml:space="preserve">BasicSalaryPrior</t>
  </si>
  <si>
    <t xml:space="preserve">BasicSalaryCurrent</t>
  </si>
  <si>
    <t xml:space="preserve">BasicSalaryPctChange</t>
  </si>
  <si>
    <t xml:space="preserve">Basic Salary</t>
  </si>
  <si>
    <t xml:space="preserve">Overtime</t>
  </si>
  <si>
    <t xml:space="preserve">Bonus</t>
  </si>
  <si>
    <t xml:space="preserve">Mileage Expenses</t>
  </si>
  <si>
    <t xml:space="preserve">Other Expenses</t>
  </si>
  <si>
    <t xml:space="preserve">SMP</t>
  </si>
  <si>
    <t xml:space="preserve">SSP</t>
  </si>
  <si>
    <t xml:space="preserve">Pension Deduction</t>
  </si>
  <si>
    <t xml:space="preserve">Student Loan</t>
  </si>
  <si>
    <t xml:space="preserve">Attachment of Earnings</t>
  </si>
  <si>
    <t xml:space="preserve">On Call Allowance</t>
  </si>
  <si>
    <t xml:space="preserve">Unsocial Hours Premium</t>
  </si>
  <si>
    <t xml:space="preserve">MaxAbsDiff</t>
  </si>
  <si>
    <t xml:space="preserve">DriverElement</t>
  </si>
  <si>
    <t xml:space="preserve">DriverDiffValue</t>
  </si>
  <si>
    <t xml:space="preserve">RankKey</t>
  </si>
  <si>
    <t xml:space="preserve">Payroll Reconciliation - Summary</t>
  </si>
  <si>
    <t xml:space="preserve">Key Metrics</t>
  </si>
  <si>
    <t xml:space="preserve">Employee count (compared)</t>
  </si>
  <si>
    <t xml:space="preserve">Movements over tolerance</t>
  </si>
  <si>
    <t xml:space="preserve">Explained starters/leavers</t>
  </si>
  <si>
    <t xml:space="preserve">Zero hours count</t>
  </si>
  <si>
    <t xml:space="preserve">Review required count</t>
  </si>
  <si>
    <t xml:space="preserve">Top 20 review movements by £</t>
  </si>
  <si>
    <t xml:space="preserve">Rank</t>
  </si>
  <si>
    <t xml:space="preserve">Payroll Number</t>
  </si>
  <si>
    <t xml:space="preserve">Prior Net</t>
  </si>
  <si>
    <t xml:space="preserve">Current Net</t>
  </si>
  <si>
    <t xml:space="preserve">Difference £</t>
  </si>
  <si>
    <t xml:space="preserve">Difference %</t>
  </si>
  <si>
    <t xml:space="preserve">Main Movement</t>
  </si>
  <si>
    <t xml:space="preserve">Totals reconciliation</t>
  </si>
  <si>
    <t xml:space="preserve">Figure</t>
  </si>
  <si>
    <t xml:space="preserve">Prior</t>
  </si>
  <si>
    <t xml:space="preserve">Current</t>
  </si>
  <si>
    <t xml:space="preserve">Difference</t>
  </si>
  <si>
    <t xml:space="preserve">Net Pay</t>
  </si>
  <si>
    <t xml:space="preserve">Total Gross</t>
  </si>
  <si>
    <t xml:space="preserve">Employer NI</t>
  </si>
  <si>
    <t xml:space="preserve">Employer Pension</t>
  </si>
  <si>
    <t xml:space="preserve">Apprenticeship Levy</t>
  </si>
  <si>
    <t xml:space="preserve">Note: agree Net Pay above to BACS. Agree Total Gross / Employer NI / Employer Pension / Apprenticeship Levy to the payroll submissions (FPS/EPS).</t>
  </si>
  <si>
    <t xml:space="preserve">Headcount reconciliation</t>
  </si>
  <si>
    <t xml:space="preserve">Prior records</t>
  </si>
  <si>
    <t xml:space="preserve">+ Starters</t>
  </si>
  <si>
    <t xml:space="preserve">- Leavers</t>
  </si>
  <si>
    <t xml:space="preserve">Expected current records (Prior + Starters - Leavers)</t>
  </si>
  <si>
    <t xml:space="preserve">Actual current records</t>
  </si>
  <si>
    <t xml:space="preserve">Check</t>
  </si>
  <si>
    <t xml:space="preserve">Exceptions - Net Pay Movements</t>
  </si>
  <si>
    <t xml:space="preserve">Zero-hours-only staff are excluded here - see the Zero Hours tab. Gold 'Notes' cells are the only cells to type into.</t>
  </si>
  <si>
    <t xml:space="preserve">Starter?</t>
  </si>
  <si>
    <t xml:space="preserve">Leaver?</t>
  </si>
  <si>
    <t xml:space="preserve">Basic Salary % Change</t>
  </si>
  <si>
    <t xml:space="preserve">Main Movement (Element)</t>
  </si>
  <si>
    <t xml:space="preserve">Main Movement (£)</t>
  </si>
  <si>
    <t xml:space="preserve">Notes</t>
  </si>
  <si>
    <t xml:space="preserve">Helper: rank pointer</t>
  </si>
  <si>
    <t xml:space="preserve">Zero Hours Contracts - Net Pay Movements</t>
  </si>
  <si>
    <t xml:space="preserve">Staff whose ONLY contract basis on the Structure report is Zero Hours. Listed for visibility only.</t>
  </si>
  <si>
    <t xml:space="preserve">Drilldown - Inspect a Payroll Number</t>
  </si>
  <si>
    <t xml:space="preserve">Enter Payroll Number:</t>
  </si>
  <si>
    <t xml:space="preserve">Zero Hours contract?</t>
  </si>
  <si>
    <t xml:space="preserve">Tolerance applied</t>
  </si>
  <si>
    <t xml:space="preserve">All pay elements - both months compared</t>
  </si>
  <si>
    <t xml:space="preserve">Element</t>
  </si>
  <si>
    <t xml:space="preserve">CHECK</t>
  </si>
  <si>
    <t xml:space="preserve">Taxable Gross</t>
  </si>
  <si>
    <t xml:space="preserve">Pensionable Pay</t>
  </si>
  <si>
    <t xml:space="preserve">Hours Paid</t>
  </si>
  <si>
    <t xml:space="preserve">Net Pay After Rounding</t>
  </si>
  <si>
    <t xml:space="preserve">NPV Comparison (Net Pay) - paste raw iTrent export below from row 14</t>
  </si>
  <si>
    <t xml:space="preserve">Paste the full export starting at A14 (headers) so data begins row 15. Do not insert or delete columns.</t>
  </si>
  <si>
    <t xml:space="preserve">Payroll Area</t>
  </si>
  <si>
    <t xml:space="preserve">Surname</t>
  </si>
  <si>
    <t xml:space="preserve">Forename</t>
  </si>
  <si>
    <t xml:space="preserve">Prior Net Pay</t>
  </si>
  <si>
    <t xml:space="preserve">Current Net Pay</t>
  </si>
  <si>
    <t xml:space="preserve">Payment Date</t>
  </si>
  <si>
    <t xml:space="preserve">Frequency</t>
  </si>
  <si>
    <t xml:space="preserve">RIV</t>
  </si>
  <si>
    <t xml:space="preserve">Surname434</t>
  </si>
  <si>
    <t xml:space="preserve">Forename434</t>
  </si>
  <si>
    <t xml:space="preserve">P23434</t>
  </si>
  <si>
    <t xml:space="preserve">Monthly</t>
  </si>
  <si>
    <t xml:space="preserve">HAK</t>
  </si>
  <si>
    <t xml:space="preserve">Surname280</t>
  </si>
  <si>
    <t xml:space="preserve">Forename280</t>
  </si>
  <si>
    <t xml:space="preserve">P22280</t>
  </si>
  <si>
    <t xml:space="preserve">KIN</t>
  </si>
  <si>
    <t xml:space="preserve">Surname426</t>
  </si>
  <si>
    <t xml:space="preserve">Forename426</t>
  </si>
  <si>
    <t xml:space="preserve">P81426</t>
  </si>
  <si>
    <t xml:space="preserve">OAK</t>
  </si>
  <si>
    <t xml:space="preserve">Surname926</t>
  </si>
  <si>
    <t xml:space="preserve">Forename926</t>
  </si>
  <si>
    <t xml:space="preserve">P30926</t>
  </si>
  <si>
    <t xml:space="preserve">Surname396</t>
  </si>
  <si>
    <t xml:space="preserve">Forename396</t>
  </si>
  <si>
    <t xml:space="preserve">P23396</t>
  </si>
  <si>
    <t xml:space="preserve">Surname695</t>
  </si>
  <si>
    <t xml:space="preserve">Forename695</t>
  </si>
  <si>
    <t xml:space="preserve">P15695</t>
  </si>
  <si>
    <t xml:space="preserve">Surname397</t>
  </si>
  <si>
    <t xml:space="preserve">Forename397</t>
  </si>
  <si>
    <t xml:space="preserve">P92397</t>
  </si>
  <si>
    <t xml:space="preserve">Surname006</t>
  </si>
  <si>
    <t xml:space="preserve">Forename006</t>
  </si>
  <si>
    <t xml:space="preserve">P16006</t>
  </si>
  <si>
    <t xml:space="preserve">Surname823</t>
  </si>
  <si>
    <t xml:space="preserve">Forename823</t>
  </si>
  <si>
    <t xml:space="preserve">P59823</t>
  </si>
  <si>
    <t xml:space="preserve">ELM</t>
  </si>
  <si>
    <t xml:space="preserve">Surname841</t>
  </si>
  <si>
    <t xml:space="preserve">Forename841</t>
  </si>
  <si>
    <t xml:space="preserve">P97841</t>
  </si>
  <si>
    <t xml:space="preserve">Surname431</t>
  </si>
  <si>
    <t xml:space="preserve">Forename431</t>
  </si>
  <si>
    <t xml:space="preserve">P32431</t>
  </si>
  <si>
    <t xml:space="preserve">Surname886</t>
  </si>
  <si>
    <t xml:space="preserve">Forename886</t>
  </si>
  <si>
    <t xml:space="preserve">P93886</t>
  </si>
  <si>
    <t xml:space="preserve">Surname331</t>
  </si>
  <si>
    <t xml:space="preserve">Forename331</t>
  </si>
  <si>
    <t xml:space="preserve">P17331</t>
  </si>
  <si>
    <t xml:space="preserve">Surname341</t>
  </si>
  <si>
    <t xml:space="preserve">Forename341</t>
  </si>
  <si>
    <t xml:space="preserve">P84341</t>
  </si>
  <si>
    <t xml:space="preserve">Surname142</t>
  </si>
  <si>
    <t xml:space="preserve">Forename142</t>
  </si>
  <si>
    <t xml:space="preserve">P70142</t>
  </si>
  <si>
    <t xml:space="preserve">Surname622</t>
  </si>
  <si>
    <t xml:space="preserve">Forename622</t>
  </si>
  <si>
    <t xml:space="preserve">P86622</t>
  </si>
  <si>
    <t xml:space="preserve">Surname131</t>
  </si>
  <si>
    <t xml:space="preserve">Forename131</t>
  </si>
  <si>
    <t xml:space="preserve">P28131</t>
  </si>
  <si>
    <t xml:space="preserve">Surname371</t>
  </si>
  <si>
    <t xml:space="preserve">Forename371</t>
  </si>
  <si>
    <t xml:space="preserve">P24371</t>
  </si>
  <si>
    <t xml:space="preserve">Surname019</t>
  </si>
  <si>
    <t xml:space="preserve">Forename019</t>
  </si>
  <si>
    <t xml:space="preserve">P60019</t>
  </si>
  <si>
    <t xml:space="preserve">Surname504</t>
  </si>
  <si>
    <t xml:space="preserve">Forename504</t>
  </si>
  <si>
    <t xml:space="preserve">P11504</t>
  </si>
  <si>
    <t xml:space="preserve">Surname587</t>
  </si>
  <si>
    <t xml:space="preserve">Forename587</t>
  </si>
  <si>
    <t xml:space="preserve">P54587</t>
  </si>
  <si>
    <t xml:space="preserve">Surname522</t>
  </si>
  <si>
    <t xml:space="preserve">Forename522</t>
  </si>
  <si>
    <t xml:space="preserve">P44522</t>
  </si>
  <si>
    <t xml:space="preserve">Surname959</t>
  </si>
  <si>
    <t xml:space="preserve">Forename959</t>
  </si>
  <si>
    <t xml:space="preserve">P91959</t>
  </si>
  <si>
    <t xml:space="preserve">Surname697</t>
  </si>
  <si>
    <t xml:space="preserve">Forename697</t>
  </si>
  <si>
    <t xml:space="preserve">P80697</t>
  </si>
  <si>
    <t xml:space="preserve">Surname662</t>
  </si>
  <si>
    <t xml:space="preserve">Forename662</t>
  </si>
  <si>
    <t xml:space="preserve">P24662</t>
  </si>
  <si>
    <t xml:space="preserve">Surname364</t>
  </si>
  <si>
    <t xml:space="preserve">Forename364</t>
  </si>
  <si>
    <t xml:space="preserve">P84364</t>
  </si>
  <si>
    <t xml:space="preserve">Surname822</t>
  </si>
  <si>
    <t xml:space="preserve">Forename822</t>
  </si>
  <si>
    <t xml:space="preserve">P79822</t>
  </si>
  <si>
    <t xml:space="preserve">Surname163</t>
  </si>
  <si>
    <t xml:space="preserve">Forename163</t>
  </si>
  <si>
    <t xml:space="preserve">P79163</t>
  </si>
  <si>
    <t xml:space="preserve">Surname365</t>
  </si>
  <si>
    <t xml:space="preserve">Forename365</t>
  </si>
  <si>
    <t xml:space="preserve">P36365</t>
  </si>
  <si>
    <t xml:space="preserve">Surname860</t>
  </si>
  <si>
    <t xml:space="preserve">Forename860</t>
  </si>
  <si>
    <t xml:space="preserve">P25860</t>
  </si>
  <si>
    <t xml:space="preserve">Surname603</t>
  </si>
  <si>
    <t xml:space="preserve">Forename603</t>
  </si>
  <si>
    <t xml:space="preserve">P82603</t>
  </si>
  <si>
    <t xml:space="preserve">Surname719</t>
  </si>
  <si>
    <t xml:space="preserve">Forename719</t>
  </si>
  <si>
    <t xml:space="preserve">P92719</t>
  </si>
  <si>
    <t xml:space="preserve">Surname287</t>
  </si>
  <si>
    <t xml:space="preserve">Forename287</t>
  </si>
  <si>
    <t xml:space="preserve">P19287</t>
  </si>
  <si>
    <t xml:space="preserve">Surname624</t>
  </si>
  <si>
    <t xml:space="preserve">Forename624</t>
  </si>
  <si>
    <t xml:space="preserve">P73624</t>
  </si>
  <si>
    <t xml:space="preserve">Surname847</t>
  </si>
  <si>
    <t xml:space="preserve">Forename847</t>
  </si>
  <si>
    <t xml:space="preserve">P84847</t>
  </si>
  <si>
    <t xml:space="preserve">Surname993</t>
  </si>
  <si>
    <t xml:space="preserve">Forename993</t>
  </si>
  <si>
    <t xml:space="preserve">P71993</t>
  </si>
  <si>
    <t xml:space="preserve">Surname438</t>
  </si>
  <si>
    <t xml:space="preserve">Forename438</t>
  </si>
  <si>
    <t xml:space="preserve">P56438</t>
  </si>
  <si>
    <t xml:space="preserve">Surname696</t>
  </si>
  <si>
    <t xml:space="preserve">Forename696</t>
  </si>
  <si>
    <t xml:space="preserve">P94696</t>
  </si>
  <si>
    <t xml:space="preserve">Surname322</t>
  </si>
  <si>
    <t xml:space="preserve">Forename322</t>
  </si>
  <si>
    <t xml:space="preserve">P24322</t>
  </si>
  <si>
    <t xml:space="preserve">Surname050</t>
  </si>
  <si>
    <t xml:space="preserve">Forename050</t>
  </si>
  <si>
    <t xml:space="preserve">P34050</t>
  </si>
  <si>
    <t xml:space="preserve">Surname630</t>
  </si>
  <si>
    <t xml:space="preserve">Forename630</t>
  </si>
  <si>
    <t xml:space="preserve">P16630</t>
  </si>
  <si>
    <t xml:space="preserve">Surname224</t>
  </si>
  <si>
    <t xml:space="preserve">Forename224</t>
  </si>
  <si>
    <t xml:space="preserve">P22224</t>
  </si>
  <si>
    <t xml:space="preserve">Surname092</t>
  </si>
  <si>
    <t xml:space="preserve">Forename092</t>
  </si>
  <si>
    <t xml:space="preserve">P73092</t>
  </si>
  <si>
    <t xml:space="preserve">Surname579</t>
  </si>
  <si>
    <t xml:space="preserve">Forename579</t>
  </si>
  <si>
    <t xml:space="preserve">P31579</t>
  </si>
  <si>
    <t xml:space="preserve">Surname638</t>
  </si>
  <si>
    <t xml:space="preserve">Forename638</t>
  </si>
  <si>
    <t xml:space="preserve">P69638</t>
  </si>
  <si>
    <t xml:space="preserve">Surname890</t>
  </si>
  <si>
    <t xml:space="preserve">Forename890</t>
  </si>
  <si>
    <t xml:space="preserve">P48890</t>
  </si>
  <si>
    <t xml:space="preserve">Surname492</t>
  </si>
  <si>
    <t xml:space="preserve">Forename492</t>
  </si>
  <si>
    <t xml:space="preserve">P17492</t>
  </si>
  <si>
    <t xml:space="preserve">Surname615</t>
  </si>
  <si>
    <t xml:space="preserve">Forename615</t>
  </si>
  <si>
    <t xml:space="preserve">P79615</t>
  </si>
  <si>
    <t xml:space="preserve">Surname356</t>
  </si>
  <si>
    <t xml:space="preserve">Forename356</t>
  </si>
  <si>
    <t xml:space="preserve">P34356</t>
  </si>
  <si>
    <t xml:space="preserve">Surname828</t>
  </si>
  <si>
    <t xml:space="preserve">Forename828</t>
  </si>
  <si>
    <t xml:space="preserve">P40828</t>
  </si>
  <si>
    <t xml:space="preserve">Surname271</t>
  </si>
  <si>
    <t xml:space="preserve">Forename271</t>
  </si>
  <si>
    <t xml:space="preserve">P42271</t>
  </si>
  <si>
    <t xml:space="preserve">Surname503</t>
  </si>
  <si>
    <t xml:space="preserve">Forename503</t>
  </si>
  <si>
    <t xml:space="preserve">P86503</t>
  </si>
  <si>
    <t xml:space="preserve">Surname814</t>
  </si>
  <si>
    <t xml:space="preserve">Forename814</t>
  </si>
  <si>
    <t xml:space="preserve">P44814</t>
  </si>
  <si>
    <t xml:space="preserve">Surname508</t>
  </si>
  <si>
    <t xml:space="preserve">Forename508</t>
  </si>
  <si>
    <t xml:space="preserve">P19508</t>
  </si>
  <si>
    <t xml:space="preserve">Surname602</t>
  </si>
  <si>
    <t xml:space="preserve">Forename602</t>
  </si>
  <si>
    <t xml:space="preserve">P19602</t>
  </si>
  <si>
    <t xml:space="preserve">Surname468</t>
  </si>
  <si>
    <t xml:space="preserve">Forename468</t>
  </si>
  <si>
    <t xml:space="preserve">P80468</t>
  </si>
  <si>
    <t xml:space="preserve">Surname745</t>
  </si>
  <si>
    <t xml:space="preserve">Forename745</t>
  </si>
  <si>
    <t xml:space="preserve">P55745</t>
  </si>
  <si>
    <t xml:space="preserve">Surname016</t>
  </si>
  <si>
    <t xml:space="preserve">Forename016</t>
  </si>
  <si>
    <t xml:space="preserve">P19016</t>
  </si>
  <si>
    <t xml:space="preserve">Surname200</t>
  </si>
  <si>
    <t xml:space="preserve">Forename200</t>
  </si>
  <si>
    <t xml:space="preserve">P81200</t>
  </si>
  <si>
    <t xml:space="preserve">Surname538</t>
  </si>
  <si>
    <t xml:space="preserve">Forename538</t>
  </si>
  <si>
    <t xml:space="preserve">P97538</t>
  </si>
  <si>
    <t xml:space="preserve">Payment Breakdown - current month (July 2026) - paste from row 14</t>
  </si>
  <si>
    <t xml:space="preserve">Paste the full export starting at A14 (headers) so data begins row 15.</t>
  </si>
  <si>
    <t xml:space="preserve">Row</t>
  </si>
  <si>
    <t xml:space="preserve">Department</t>
  </si>
  <si>
    <t xml:space="preserve">Cost Centre</t>
  </si>
  <si>
    <t xml:space="preserve">Tax Code</t>
  </si>
  <si>
    <t xml:space="preserve">NI Category</t>
  </si>
  <si>
    <t xml:space="preserve">Reference No</t>
  </si>
  <si>
    <t xml:space="preserve">Riverside Dental Practice</t>
  </si>
  <si>
    <t xml:space="preserve">Clinical</t>
  </si>
  <si>
    <t xml:space="preserve">CC-RIV</t>
  </si>
  <si>
    <t xml:space="preserve">1257L</t>
  </si>
  <si>
    <t xml:space="preserve">A</t>
  </si>
  <si>
    <t xml:space="preserve">Hakim Group Head Office</t>
  </si>
  <si>
    <t xml:space="preserve">Support</t>
  </si>
  <si>
    <t xml:space="preserve">CC-HAK</t>
  </si>
  <si>
    <t xml:space="preserve">Kings Road Dental Practice</t>
  </si>
  <si>
    <t xml:space="preserve">CC-KIN</t>
  </si>
  <si>
    <t xml:space="preserve">Oakfield Dental Practice</t>
  </si>
  <si>
    <t xml:space="preserve">CC-OAK</t>
  </si>
  <si>
    <t xml:space="preserve">Elm Park Dental Practice</t>
  </si>
  <si>
    <t xml:space="preserve">CC-ELM</t>
  </si>
  <si>
    <t xml:space="preserve">Payment Breakdown - prior month (June 2026) - paste from row 14</t>
  </si>
  <si>
    <t xml:space="preserve">If this export carries an EXTRA leading 'Reference No' column shifting everything right by one, delete that column before pasting - see Control Sheet warning.</t>
  </si>
  <si>
    <t xml:space="preserve">New Starters - paste raw iTrent export below from row 13</t>
  </si>
  <si>
    <t xml:space="preserve">Paste the full export starting at A13 (headers) so data begins row 14.</t>
  </si>
  <si>
    <t xml:space="preserve">Title</t>
  </si>
  <si>
    <t xml:space="preserve">Position Name</t>
  </si>
  <si>
    <t xml:space="preserve">Start Date</t>
  </si>
  <si>
    <t xml:space="preserve">Category</t>
  </si>
  <si>
    <t xml:space="preserve">Basis</t>
  </si>
  <si>
    <t xml:space="preserve">Personal Reference</t>
  </si>
  <si>
    <t xml:space="preserve">Mr/Mrs</t>
  </si>
  <si>
    <t xml:space="preserve">Payroll Advisor</t>
  </si>
  <si>
    <t xml:space="preserve">HGHQ</t>
  </si>
  <si>
    <t xml:space="preserve">Permanent</t>
  </si>
  <si>
    <t xml:space="preserve">N/A</t>
  </si>
  <si>
    <t xml:space="preserve">PR16630</t>
  </si>
  <si>
    <t xml:space="preserve">PR22224</t>
  </si>
  <si>
    <t xml:space="preserve">Orthodontist</t>
  </si>
  <si>
    <t xml:space="preserve">Practice Clinical</t>
  </si>
  <si>
    <t xml:space="preserve">PR73092</t>
  </si>
  <si>
    <t xml:space="preserve">Practice Partner</t>
  </si>
  <si>
    <t xml:space="preserve">PR31579</t>
  </si>
  <si>
    <t xml:space="preserve">Practice Administrator</t>
  </si>
  <si>
    <t xml:space="preserve">Practice Support</t>
  </si>
  <si>
    <t xml:space="preserve">PRTRF1000</t>
  </si>
  <si>
    <t xml:space="preserve">Finance Analyst</t>
  </si>
  <si>
    <t xml:space="preserve">PRTRF1001</t>
  </si>
  <si>
    <t xml:space="preserve">Leavers - paste raw iTrent export below from row 11</t>
  </si>
  <si>
    <t xml:space="preserve">Paste the full export starting at A11 (headers) so data begins row 12.</t>
  </si>
  <si>
    <t xml:space="preserve">Leave Date</t>
  </si>
  <si>
    <t xml:space="preserve">PR69638</t>
  </si>
  <si>
    <t xml:space="preserve">PR48890</t>
  </si>
  <si>
    <t xml:space="preserve">Regional Support Officer</t>
  </si>
  <si>
    <t xml:space="preserve">Employee</t>
  </si>
  <si>
    <t xml:space="preserve">PR17492</t>
  </si>
  <si>
    <t xml:space="preserve">PR79615</t>
  </si>
  <si>
    <t xml:space="preserve">Structure Report - paste raw iTrent export below from row 12</t>
  </si>
  <si>
    <t xml:space="preserve">Paste the full export starting at A12 (headers) so data begins row 13. One row per assignment - staff with more than one contract (e.g. Zero Hours + Permanent) appear on multiple rows.</t>
  </si>
  <si>
    <t xml:space="preserve">Structure ID</t>
  </si>
  <si>
    <t xml:space="preserve">First Name</t>
  </si>
  <si>
    <t xml:space="preserve">Last Name</t>
  </si>
  <si>
    <t xml:space="preserve">End Date</t>
  </si>
  <si>
    <t xml:space="preserve">Employment Status</t>
  </si>
  <si>
    <t xml:space="preserve">Contracted Hours</t>
  </si>
  <si>
    <t xml:space="preserve">Grade</t>
  </si>
  <si>
    <t xml:space="preserve">FTE</t>
  </si>
  <si>
    <t xml:space="preserve">Payroll Reference</t>
  </si>
  <si>
    <t xml:space="preserve">Line Manager</t>
  </si>
  <si>
    <t xml:space="preserve">Region</t>
  </si>
  <si>
    <t xml:space="preserve">Division</t>
  </si>
  <si>
    <t xml:space="preserve">Pay Group</t>
  </si>
  <si>
    <t xml:space="preserve">Pension Scheme</t>
  </si>
  <si>
    <t xml:space="preserve">Pension Status</t>
  </si>
  <si>
    <t xml:space="preserve">Address Line 1</t>
  </si>
  <si>
    <t xml:space="preserve">Address Line 2</t>
  </si>
  <si>
    <t xml:space="preserve">Town</t>
  </si>
  <si>
    <t xml:space="preserve">Postcode</t>
  </si>
  <si>
    <t xml:space="preserve">Email</t>
  </si>
  <si>
    <t xml:space="preserve">Phone</t>
  </si>
  <si>
    <t xml:space="preserve">Bank Name</t>
  </si>
  <si>
    <t xml:space="preserve">Account Ref</t>
  </si>
  <si>
    <t xml:space="preserve">Union Member</t>
  </si>
  <si>
    <t xml:space="preserve">01/01/2022</t>
  </si>
  <si>
    <t xml:space="preserve">Active</t>
  </si>
  <si>
    <t xml:space="preserve">Dental Nurse</t>
  </si>
  <si>
    <t xml:space="preserve">Band 4</t>
  </si>
  <si>
    <t xml:space="preserve">Dentist</t>
  </si>
  <si>
    <t xml:space="preserve">Dental Hygienist</t>
  </si>
  <si>
    <t xml:space="preserve">Treatment Coordinator</t>
  </si>
  <si>
    <t xml:space="preserve">Practice Receptionist</t>
  </si>
  <si>
    <t xml:space="preserve">HR Business Partner</t>
  </si>
  <si>
    <t xml:space="preserve">Clinical Director</t>
  </si>
  <si>
    <t xml:space="preserve">IT Support Engineer</t>
  </si>
  <si>
    <t xml:space="preserve">Leaver</t>
  </si>
  <si>
    <t xml:space="preserve">Bank Dental Nurse</t>
  </si>
  <si>
    <t xml:space="preserve">Zero Hours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</si>
</sst>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\£#,##0"/>
    <numFmt numFmtId="167" formatCode="#,##0.00;\(#,##0.00\)"/>
    <numFmt numFmtId="168" formatCode="#,##0"/>
    <numFmt numFmtId="169" formatCode="#,##0.00"/>
    <numFmt numFmtId="170" formatCode="0.0%"/>
    <numFmt numFmtId="171" formatCode="General"/>
    <numFmt numFmtId="172" formatCode="\£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ptos"/>
      <family val="0"/>
      <charset val="1"/>
    </font>
    <font>
      <b val="true"/>
      <sz val="11"/>
      <color rgb="FF3D315D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i val="true"/>
      <sz val="9"/>
      <color rgb="FF595959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sz val="10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2"/>
      <color rgb="FF3D315D"/>
      <name val="Aptos"/>
      <family val="0"/>
      <charset val="1"/>
    </font>
    <font>
      <sz val="9"/>
      <color rgb="FF595959"/>
      <name val="Aptos"/>
      <family val="0"/>
      <charset val="1"/>
    </font>
    <font>
      <sz val="11"/>
      <name val="Aptos"/>
      <family val="0"/>
      <charset val="1"/>
    </font>
    <font>
      <b val="true"/>
      <sz val="11"/>
      <name val="Aptos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D315D"/>
        <bgColor rgb="FF333399"/>
      </patternFill>
    </fill>
    <fill>
      <patternFill patternType="solid">
        <fgColor rgb="FFF7F7F7"/>
        <bgColor rgb="FFFFFFFF"/>
      </patternFill>
    </fill>
    <fill>
      <patternFill patternType="solid">
        <fgColor rgb="FFFFC000"/>
        <bgColor rgb="FFFF9900"/>
      </patternFill>
    </fill>
    <fill>
      <patternFill patternType="solid">
        <fgColor rgb="FF66609B"/>
        <bgColor rgb="FF595959"/>
      </patternFill>
    </fill>
    <fill>
      <patternFill patternType="solid">
        <fgColor rgb="FFDF5694"/>
        <bgColor rgb="FF993366"/>
      </patternFill>
    </fill>
    <fill>
      <patternFill patternType="solid">
        <fgColor rgb="FFFFFFFF"/>
        <bgColor rgb="FFF7F7F7"/>
      </patternFill>
    </fill>
    <fill>
      <patternFill patternType="solid">
        <fgColor rgb="FFD9D9D9"/>
        <bgColor rgb="FFFBE1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ptos"/>
        <charset val="1"/>
        <family val="0"/>
        <b val="1"/>
        <color rgb="FFC00000"/>
      </font>
      <fill>
        <patternFill>
          <bgColor rgb="FFFBE1EC"/>
        </patternFill>
      </fill>
    </dxf>
    <dxf>
      <font>
        <name val="Aptos"/>
        <charset val="1"/>
        <family val="0"/>
        <b val="1"/>
        <color rgb="FFFFFFFF"/>
      </font>
      <fill>
        <patternFill>
          <bgColor rgb="FFDF5694"/>
        </patternFill>
      </fill>
    </dxf>
    <dxf>
      <fill>
        <patternFill patternType="solid">
          <fgColor rgb="FF3D315D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FBE1E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595959"/>
      <rgbColor rgb="FF9999FF"/>
      <rgbColor rgb="FF993366"/>
      <rgbColor rgb="FFF7F7F7"/>
      <rgbColor rgb="FFCCFFFF"/>
      <rgbColor rgb="FF660066"/>
      <rgbColor rgb="FFDF569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1EC"/>
      <rgbColor rgb="FF3366FF"/>
      <rgbColor rgb="FF33CCCC"/>
      <rgbColor rgb="FF99CC00"/>
      <rgbColor rgb="FFFFC000"/>
      <rgbColor rgb="FFFF9900"/>
      <rgbColor rgb="FFFF6600"/>
      <rgbColor rgb="FF66609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1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15D"/>
    <pageSetUpPr fitToPage="false"/>
  </sheetPr>
  <dimension ref="A1:J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5" min="4" style="0" width="12"/>
    <col collapsed="false" customWidth="true" hidden="false" outlineLevel="0" max="6" min="6" style="0" width="45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"/>
      <c r="B4" s="3" t="s">
        <v>1</v>
      </c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2"/>
      <c r="B5" s="4" t="s">
        <v>2</v>
      </c>
      <c r="C5" s="5" t="n">
        <v>0.2</v>
      </c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2"/>
      <c r="B6" s="4" t="s">
        <v>3</v>
      </c>
      <c r="C6" s="5" t="n">
        <v>0.05</v>
      </c>
      <c r="D6" s="2"/>
      <c r="E6" s="2"/>
      <c r="F6" s="2"/>
      <c r="G6" s="2"/>
      <c r="H6" s="2"/>
      <c r="I6" s="2"/>
      <c r="J6" s="2"/>
    </row>
    <row r="7" customFormat="false" ht="15" hidden="false" customHeight="false" outlineLevel="0" collapsed="false">
      <c r="A7" s="2"/>
      <c r="B7" s="4" t="s">
        <v>4</v>
      </c>
      <c r="C7" s="6" t="n">
        <v>50</v>
      </c>
      <c r="D7" s="2"/>
      <c r="E7" s="2"/>
      <c r="F7" s="2"/>
      <c r="G7" s="2"/>
      <c r="H7" s="2"/>
      <c r="I7" s="2"/>
      <c r="J7" s="2"/>
    </row>
    <row r="8" customFormat="false" ht="15" hidden="false" customHeight="false" outlineLevel="0" collapsed="false">
      <c r="A8" s="2"/>
      <c r="B8" s="4" t="s">
        <v>5</v>
      </c>
      <c r="C8" s="7" t="s">
        <v>6</v>
      </c>
      <c r="D8" s="2"/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2"/>
      <c r="B9" s="4" t="s">
        <v>7</v>
      </c>
      <c r="C9" s="7" t="s">
        <v>8</v>
      </c>
      <c r="D9" s="2"/>
      <c r="E9" s="2"/>
      <c r="F9" s="2"/>
      <c r="G9" s="2"/>
      <c r="H9" s="2"/>
      <c r="I9" s="2"/>
      <c r="J9" s="2"/>
    </row>
    <row r="10" customFormat="false" ht="27.75" hidden="false" customHeight="true" outlineLevel="0" collapsed="false">
      <c r="A10" s="2"/>
      <c r="B10" s="8" t="s">
        <v>9</v>
      </c>
      <c r="C10" s="8"/>
      <c r="D10" s="8"/>
      <c r="E10" s="8"/>
      <c r="F10" s="8"/>
      <c r="G10" s="8"/>
      <c r="H10" s="8"/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"/>
      <c r="B12" s="3" t="s">
        <v>10</v>
      </c>
      <c r="C12" s="2"/>
      <c r="D12" s="2"/>
      <c r="E12" s="2"/>
      <c r="F12" s="2"/>
      <c r="G12" s="2"/>
      <c r="H12" s="2"/>
      <c r="I12" s="2"/>
      <c r="J12" s="2"/>
    </row>
    <row r="13" customFormat="false" ht="15.75" hidden="false" customHeight="true" outlineLevel="0" collapsed="false">
      <c r="A13" s="2"/>
      <c r="B13" s="9" t="s">
        <v>11</v>
      </c>
      <c r="C13" s="9"/>
      <c r="D13" s="9"/>
      <c r="E13" s="9"/>
      <c r="F13" s="9"/>
      <c r="G13" s="9"/>
      <c r="H13" s="9"/>
      <c r="I13" s="2"/>
      <c r="J13" s="2"/>
    </row>
    <row r="14" customFormat="false" ht="15.75" hidden="false" customHeight="true" outlineLevel="0" collapsed="false">
      <c r="A14" s="2"/>
      <c r="B14" s="9" t="s">
        <v>12</v>
      </c>
      <c r="C14" s="9"/>
      <c r="D14" s="9"/>
      <c r="E14" s="9"/>
      <c r="F14" s="9"/>
      <c r="G14" s="9"/>
      <c r="H14" s="9"/>
      <c r="I14" s="2"/>
      <c r="J14" s="2"/>
    </row>
    <row r="15" customFormat="false" ht="15.75" hidden="false" customHeight="true" outlineLevel="0" collapsed="false">
      <c r="A15" s="2"/>
      <c r="B15" s="9" t="s">
        <v>13</v>
      </c>
      <c r="C15" s="9"/>
      <c r="D15" s="9"/>
      <c r="E15" s="9"/>
      <c r="F15" s="9"/>
      <c r="G15" s="9"/>
      <c r="H15" s="9"/>
      <c r="I15" s="2"/>
      <c r="J15" s="2"/>
    </row>
    <row r="16" customFormat="false" ht="15.75" hidden="false" customHeight="true" outlineLevel="0" collapsed="false">
      <c r="A16" s="2"/>
      <c r="B16" s="9" t="s">
        <v>14</v>
      </c>
      <c r="C16" s="9"/>
      <c r="D16" s="9"/>
      <c r="E16" s="9"/>
      <c r="F16" s="9"/>
      <c r="G16" s="9"/>
      <c r="H16" s="9"/>
      <c r="I16" s="2"/>
      <c r="J16" s="2"/>
    </row>
    <row r="17" customFormat="false" ht="15.75" hidden="false" customHeight="true" outlineLevel="0" collapsed="false">
      <c r="A17" s="2"/>
      <c r="B17" s="9" t="s">
        <v>15</v>
      </c>
      <c r="C17" s="9"/>
      <c r="D17" s="9"/>
      <c r="E17" s="9"/>
      <c r="F17" s="9"/>
      <c r="G17" s="9"/>
      <c r="H17" s="9"/>
      <c r="I17" s="2"/>
      <c r="J17" s="2"/>
    </row>
    <row r="18" customFormat="false" ht="15.75" hidden="false" customHeight="true" outlineLevel="0" collapsed="false">
      <c r="A18" s="2"/>
      <c r="B18" s="9" t="s">
        <v>16</v>
      </c>
      <c r="C18" s="9"/>
      <c r="D18" s="9"/>
      <c r="E18" s="9"/>
      <c r="F18" s="9"/>
      <c r="G18" s="9"/>
      <c r="H18" s="9"/>
      <c r="I18" s="2"/>
      <c r="J18" s="2"/>
    </row>
    <row r="19" customFormat="false" ht="15.75" hidden="false" customHeight="true" outlineLevel="0" collapsed="false">
      <c r="A19" s="2"/>
      <c r="B19" s="9" t="s">
        <v>17</v>
      </c>
      <c r="C19" s="9"/>
      <c r="D19" s="9"/>
      <c r="E19" s="9"/>
      <c r="F19" s="9"/>
      <c r="G19" s="9"/>
      <c r="H19" s="9"/>
      <c r="I19" s="2"/>
      <c r="J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"/>
      <c r="B22" s="3" t="s">
        <v>18</v>
      </c>
      <c r="C22" s="2"/>
      <c r="D22" s="2"/>
      <c r="E22" s="2"/>
      <c r="F22" s="2"/>
      <c r="G22" s="2"/>
      <c r="H22" s="2"/>
      <c r="I22" s="2"/>
      <c r="J22" s="2"/>
    </row>
    <row r="23" customFormat="false" ht="19.5" hidden="false" customHeight="true" outlineLevel="0" collapsed="false">
      <c r="A23" s="2"/>
      <c r="B23" s="10" t="s">
        <v>19</v>
      </c>
      <c r="C23" s="10" t="s">
        <v>20</v>
      </c>
      <c r="D23" s="10" t="s">
        <v>21</v>
      </c>
      <c r="E23" s="10" t="s">
        <v>22</v>
      </c>
      <c r="F23" s="10" t="s">
        <v>23</v>
      </c>
      <c r="G23" s="2"/>
      <c r="H23" s="2"/>
      <c r="I23" s="2"/>
      <c r="J23" s="2"/>
    </row>
    <row r="24" customFormat="false" ht="15" hidden="false" customHeight="false" outlineLevel="0" collapsed="false">
      <c r="A24" s="2"/>
      <c r="B24" s="11" t="s">
        <v>24</v>
      </c>
      <c r="C24" s="11" t="s">
        <v>25</v>
      </c>
      <c r="D24" s="11" t="n">
        <v>14</v>
      </c>
      <c r="E24" s="11" t="n">
        <v>15</v>
      </c>
      <c r="F24" s="11" t="s">
        <v>26</v>
      </c>
      <c r="G24" s="2"/>
      <c r="H24" s="2"/>
      <c r="I24" s="2"/>
      <c r="J24" s="2"/>
    </row>
    <row r="25" customFormat="false" ht="15" hidden="false" customHeight="false" outlineLevel="0" collapsed="false">
      <c r="A25" s="2"/>
      <c r="B25" s="11" t="s">
        <v>27</v>
      </c>
      <c r="C25" s="11" t="s">
        <v>28</v>
      </c>
      <c r="D25" s="11" t="n">
        <v>14</v>
      </c>
      <c r="E25" s="11" t="n">
        <v>15</v>
      </c>
      <c r="F25" s="11" t="s">
        <v>29</v>
      </c>
      <c r="G25" s="2"/>
      <c r="H25" s="2"/>
      <c r="I25" s="2"/>
      <c r="J25" s="2"/>
    </row>
    <row r="26" customFormat="false" ht="15" hidden="false" customHeight="false" outlineLevel="0" collapsed="false">
      <c r="A26" s="2"/>
      <c r="B26" s="11" t="s">
        <v>30</v>
      </c>
      <c r="C26" s="11" t="s">
        <v>31</v>
      </c>
      <c r="D26" s="11" t="n">
        <v>14</v>
      </c>
      <c r="E26" s="11" t="n">
        <v>15</v>
      </c>
      <c r="F26" s="11" t="s">
        <v>32</v>
      </c>
      <c r="G26" s="2"/>
      <c r="H26" s="2"/>
      <c r="I26" s="2"/>
      <c r="J26" s="2"/>
    </row>
    <row r="27" customFormat="false" ht="15" hidden="false" customHeight="false" outlineLevel="0" collapsed="false">
      <c r="A27" s="2"/>
      <c r="B27" s="11" t="s">
        <v>33</v>
      </c>
      <c r="C27" s="11" t="s">
        <v>33</v>
      </c>
      <c r="D27" s="11" t="n">
        <v>13</v>
      </c>
      <c r="E27" s="11" t="n">
        <v>14</v>
      </c>
      <c r="F27" s="11" t="s">
        <v>34</v>
      </c>
      <c r="G27" s="2"/>
      <c r="H27" s="2"/>
      <c r="I27" s="2"/>
      <c r="J27" s="2"/>
    </row>
    <row r="28" customFormat="false" ht="15" hidden="false" customHeight="false" outlineLevel="0" collapsed="false">
      <c r="A28" s="2"/>
      <c r="B28" s="11" t="s">
        <v>35</v>
      </c>
      <c r="C28" s="11" t="s">
        <v>35</v>
      </c>
      <c r="D28" s="11" t="n">
        <v>11</v>
      </c>
      <c r="E28" s="11" t="n">
        <v>12</v>
      </c>
      <c r="F28" s="11" t="s">
        <v>34</v>
      </c>
      <c r="G28" s="2"/>
      <c r="H28" s="2"/>
      <c r="I28" s="2"/>
      <c r="J28" s="2"/>
    </row>
    <row r="29" customFormat="false" ht="15" hidden="false" customHeight="false" outlineLevel="0" collapsed="false">
      <c r="A29" s="2"/>
      <c r="B29" s="11" t="s">
        <v>36</v>
      </c>
      <c r="C29" s="11" t="s">
        <v>37</v>
      </c>
      <c r="D29" s="11" t="n">
        <v>12</v>
      </c>
      <c r="E29" s="11" t="n">
        <v>13</v>
      </c>
      <c r="F29" s="11" t="s">
        <v>38</v>
      </c>
      <c r="G29" s="2"/>
      <c r="H29" s="2"/>
      <c r="I29" s="2"/>
      <c r="J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8" hidden="false" customHeight="true" outlineLevel="0" collapsed="false">
      <c r="A32" s="2"/>
      <c r="B32" s="12" t="s">
        <v>39</v>
      </c>
      <c r="C32" s="12"/>
      <c r="D32" s="12"/>
      <c r="E32" s="12"/>
      <c r="F32" s="12"/>
      <c r="G32" s="12"/>
      <c r="H32" s="12"/>
      <c r="I32" s="2"/>
      <c r="J32" s="2"/>
    </row>
    <row r="33" customFormat="false" ht="18" hidden="false" customHeight="true" outlineLevel="0" collapsed="false">
      <c r="A33" s="2"/>
      <c r="B33" s="12"/>
      <c r="C33" s="12"/>
      <c r="D33" s="12"/>
      <c r="E33" s="12"/>
      <c r="F33" s="12"/>
      <c r="G33" s="12"/>
      <c r="H33" s="12"/>
      <c r="I33" s="2"/>
      <c r="J33" s="2"/>
    </row>
    <row r="34" customFormat="false" ht="18" hidden="false" customHeight="true" outlineLevel="0" collapsed="false">
      <c r="A34" s="2"/>
      <c r="B34" s="12"/>
      <c r="C34" s="12"/>
      <c r="D34" s="12"/>
      <c r="E34" s="12"/>
      <c r="F34" s="12"/>
      <c r="G34" s="12"/>
      <c r="H34" s="12"/>
      <c r="I34" s="2"/>
      <c r="J34" s="2"/>
    </row>
    <row r="35" customFormat="false" ht="18" hidden="false" customHeight="true" outlineLevel="0" collapsed="false">
      <c r="A35" s="2"/>
      <c r="B35" s="12"/>
      <c r="C35" s="12"/>
      <c r="D35" s="12"/>
      <c r="E35" s="12"/>
      <c r="F35" s="12"/>
      <c r="G35" s="12"/>
      <c r="H35" s="12"/>
      <c r="I35" s="2"/>
      <c r="J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</sheetData>
  <mergeCells count="10">
    <mergeCell ref="A1:H2"/>
    <mergeCell ref="B10:H10"/>
    <mergeCell ref="B13:H13"/>
    <mergeCell ref="B14:H14"/>
    <mergeCell ref="B15:H15"/>
    <mergeCell ref="B16:H16"/>
    <mergeCell ref="B17:H17"/>
    <mergeCell ref="B18:H18"/>
    <mergeCell ref="B19:H19"/>
    <mergeCell ref="B32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40</v>
      </c>
      <c r="B1" s="0" t="s">
        <v>41</v>
      </c>
      <c r="C1" s="0" t="s">
        <v>42</v>
      </c>
      <c r="D1" s="0" t="s">
        <v>43</v>
      </c>
      <c r="E1" s="0" t="s">
        <v>44</v>
      </c>
      <c r="F1" s="0" t="s">
        <v>45</v>
      </c>
      <c r="G1" s="0" t="s">
        <v>46</v>
      </c>
      <c r="H1" s="0" t="s">
        <v>47</v>
      </c>
      <c r="I1" s="0" t="s">
        <v>48</v>
      </c>
      <c r="J1" s="0" t="s">
        <v>49</v>
      </c>
      <c r="K1" s="0" t="s">
        <v>50</v>
      </c>
      <c r="L1" s="0" t="s">
        <v>51</v>
      </c>
      <c r="M1" s="0" t="s">
        <v>52</v>
      </c>
      <c r="N1" s="0" t="s">
        <v>53</v>
      </c>
      <c r="O1" s="0" t="s">
        <v>54</v>
      </c>
      <c r="P1" s="0" t="s">
        <v>55</v>
      </c>
      <c r="Q1" s="0" t="s">
        <v>56</v>
      </c>
      <c r="R1" s="0" t="s">
        <v>57</v>
      </c>
      <c r="S1" s="0" t="s">
        <v>58</v>
      </c>
      <c r="T1" s="0" t="s">
        <v>59</v>
      </c>
      <c r="U1" s="0" t="s">
        <v>60</v>
      </c>
      <c r="V1" s="0" t="s">
        <v>61</v>
      </c>
      <c r="W1" s="0" t="s">
        <v>62</v>
      </c>
      <c r="X1" s="0" t="s">
        <v>63</v>
      </c>
      <c r="Y1" s="0" t="s">
        <v>64</v>
      </c>
      <c r="Z1" s="0" t="s">
        <v>65</v>
      </c>
      <c r="AA1" s="0" t="s">
        <v>66</v>
      </c>
      <c r="AB1" s="0" t="s">
        <v>67</v>
      </c>
      <c r="AC1" s="0" t="s">
        <v>68</v>
      </c>
      <c r="AD1" s="0" t="s">
        <v>69</v>
      </c>
      <c r="AE1" s="0" t="s">
        <v>70</v>
      </c>
      <c r="AF1" s="0" t="s">
        <v>71</v>
      </c>
      <c r="AG1" s="0" t="s">
        <v>72</v>
      </c>
      <c r="AH1" s="0" t="s">
        <v>73</v>
      </c>
      <c r="AI1" s="0" t="s">
        <v>74</v>
      </c>
      <c r="AJ1" s="0" t="s">
        <v>75</v>
      </c>
      <c r="AK1" s="0" t="s">
        <v>76</v>
      </c>
      <c r="AL1" s="0" t="s">
        <v>77</v>
      </c>
    </row>
    <row r="2" customFormat="false" ht="15" hidden="false" customHeight="false" outlineLevel="0" collapsed="false">
      <c r="A2" s="0" t="str">
        <f aca="false">IF('NPV Comparison'!D15="","",'NPV Comparison'!D15)</f>
        <v>P23434</v>
      </c>
      <c r="B2" s="13" t="n">
        <f aca="false">IF('NPV Comparison'!E15="","",'NPV Comparison'!E15)</f>
        <v>1840.81</v>
      </c>
      <c r="C2" s="13" t="n">
        <f aca="false">IF('NPV Comparison'!F15="","",'NPV Comparison'!F15)</f>
        <v>1625.82</v>
      </c>
      <c r="D2" s="0" t="str">
        <f aca="false">IF($A2="","",IFERROR(INDEX(Structure!$E$13:$E$312,MATCH($A2,Structure!$P$13:$P$312,0)),""))</f>
        <v>Riverside Dental Practice</v>
      </c>
      <c r="E2" s="0" t="n">
        <f aca="false">IF($A2="",0,IF(COUNTIF(Structure!$P$13:$P$312,$A2)=0,0,IF(COUNTIFS(Structure!$P$13:$P$312,$A2,Structure!$N$13:$N$312,"&lt;&gt;Zero Hours")=0,1,0)))</f>
        <v>0</v>
      </c>
      <c r="F2" s="0" t="n">
        <f aca="false">IF($A2="",0,1-E2)</f>
        <v>1</v>
      </c>
      <c r="G2" s="0" t="n">
        <f aca="false">IF($A2="",0,IF(COUNTIF('New Starters'!$D$14:$D$73,$A2)&gt;0,1,0))</f>
        <v>0</v>
      </c>
      <c r="H2" s="0" t="n">
        <f aca="false">IF($A2="",0,IF(COUNTIF(Leavers!$D$12:$D$71,$A2)&gt;0,1,0))</f>
        <v>0</v>
      </c>
      <c r="I2" s="0" t="str">
        <f aca="false">IF($A2="","",IFERROR(INDEX('New Starters'!$K$14:$K$73,MATCH($A2,'New Starters'!$D$14:$D$73,0)),IFERROR(INDEX(Leavers!$K$12:$K$71,MATCH($A2,Leavers!$D$12:$D$71,0)),"")))</f>
        <v/>
      </c>
      <c r="J2" s="0" t="n">
        <f aca="false">IF(AND(G2=1,I2&lt;&gt;"",COUNTIF(Leavers!$K$12:$K$71,I2)&gt;0),1,IF(AND(H2=1,I2&lt;&gt;"",COUNTIF('New Starters'!$K$14:$K$73,I2)&gt;0),1,0))</f>
        <v>0</v>
      </c>
      <c r="K2" s="14" t="n">
        <f aca="false">IF(ISNUMBER(SEARCH("Head Office",D2)),'Control Sheet'!$C$6,'Control Sheet'!$C$5)</f>
        <v>0.2</v>
      </c>
      <c r="L2" s="0" t="n">
        <f aca="false">IF(OR($A2="",AND(B2="",C2="")),"",IF(B2="",C2,IF(C2="",-B2,C2-B2)))</f>
        <v>-214.99</v>
      </c>
      <c r="M2" s="0" t="n">
        <f aca="false">IFERROR(L2/B2,"")</f>
        <v>-0.116790977884736</v>
      </c>
      <c r="N2" s="0" t="n">
        <f aca="false">IF($A2="",0,IF(OR(B2="",C2="",C2=0,IF(ISNUMBER(M2),ABS(M2)&gt;K2,FALSE())),1,0))</f>
        <v>0</v>
      </c>
      <c r="O2" s="0" t="n">
        <f aca="false">IF(OR($A2="",L2=""),0,IF(AND(N2=1,ABS(L2)&gt;='Control Sheet'!$C$7,F2=1),1,0))</f>
        <v>0</v>
      </c>
      <c r="P2" s="0" t="str">
        <f aca="false">IF($A2="","",IF(F2=0,"Zero Hours",IF(J2=1,"Explained: Paired transfer",IF(AND(G2=1,H2=0,J2=0),"Explained: Starter",IF(AND(H2=1,G2=0,J2=0),"Explained: Leaver",IF(O2=1,"Review required","OK"))))))</f>
        <v>OK</v>
      </c>
      <c r="Q2" s="0" t="n">
        <f aca="false">IF(AND(F2=1,OR(C2="",C2=0),H2=0,J2=0),1,0)</f>
        <v>0</v>
      </c>
      <c r="R2" s="0" t="n">
        <f aca="false">IF(F2=0,0,IF(P2="Review required",1,IF(AND(P2="Explained: Starter",ISNUMBER(C2),C2&gt;=1500),1,0)))</f>
        <v>0</v>
      </c>
      <c r="S2" s="0" t="str">
        <f aca="false">IF(R2=0,"",IF(Q2=1,"High",IF(AND(P2="Explained: Starter",C2&gt;=1500),"High",IF(ABS(L2)&gt;=2000,"High",IF(ABS(L2)&gt;=500,"Medium","Low")))))</f>
        <v/>
      </c>
      <c r="T2" s="0" t="n">
        <f aca="false">SUMIFS('Payment Breakdown Prior'!$S$15:$S$104,'Payment Breakdown Prior'!$AE$15:$AE$104,$A2)</f>
        <v>2485.09</v>
      </c>
      <c r="U2" s="0" t="n">
        <f aca="false">SUMIFS('Payment Breakdown Current'!$S$15:$S$104,'Payment Breakdown Current'!$AE$15:$AE$104,$A2)</f>
        <v>2194.86</v>
      </c>
      <c r="V2" s="0" t="n">
        <f aca="false">IFERROR((U2-T2)/T2,"")</f>
        <v>-0.116788526773678</v>
      </c>
      <c r="W2" s="0" t="n">
        <f aca="false">(SUMIFS('Payment Breakdown Current'!$S$15:$S$104,'Payment Breakdown Current'!$AE$15:$AE$104,$A2))-(SUMIFS('Payment Breakdown Prior'!$S$15:$S$104,'Payment Breakdown Prior'!$AE$15:$AE$104,$A2))</f>
        <v>-290.23</v>
      </c>
      <c r="X2" s="0" t="n">
        <f aca="false">(SUMIFS('Payment Breakdown Current'!$T$15:$T$104,'Payment Breakdown Current'!$AE$15:$AE$104,$A2))-(SUMIFS('Payment Breakdown Prior'!$T$15:$T$104,'Payment Breakdown Prior'!$AE$15:$AE$104,$A2))</f>
        <v>0</v>
      </c>
      <c r="Y2" s="0" t="n">
        <f aca="false">(SUMIFS('Payment Breakdown Current'!$U$15:$U$104,'Payment Breakdown Current'!$AE$15:$AE$104,$A2))-(SUMIFS('Payment Breakdown Prior'!$U$15:$U$104,'Payment Breakdown Prior'!$AE$15:$AE$104,$A2))</f>
        <v>0</v>
      </c>
      <c r="Z2" s="0" t="n">
        <f aca="false">(SUMIFS('Payment Breakdown Current'!$V$15:$V$104,'Payment Breakdown Current'!$AE$15:$AE$104,$A2))-(SUMIFS('Payment Breakdown Prior'!$V$15:$V$104,'Payment Breakdown Prior'!$AE$15:$AE$104,$A2))</f>
        <v>0</v>
      </c>
      <c r="AA2" s="0" t="n">
        <f aca="false">(SUMIFS('Payment Breakdown Current'!$W$15:$W$104,'Payment Breakdown Current'!$AE$15:$AE$104,$A2))-(SUMIFS('Payment Breakdown Prior'!$W$15:$W$104,'Payment Breakdown Prior'!$AE$15:$AE$104,$A2))</f>
        <v>0</v>
      </c>
      <c r="AB2" s="0" t="n">
        <f aca="false">(SUMIFS('Payment Breakdown Current'!$X$15:$X$104,'Payment Breakdown Current'!$AE$15:$AE$104,$A2))-(SUMIFS('Payment Breakdown Prior'!$X$15:$X$104,'Payment Breakdown Prior'!$AE$15:$AE$104,$A2))</f>
        <v>0</v>
      </c>
      <c r="AC2" s="0" t="n">
        <f aca="false">(SUMIFS('Payment Breakdown Current'!$Y$15:$Y$104,'Payment Breakdown Current'!$AE$15:$AE$104,$A2))-(SUMIFS('Payment Breakdown Prior'!$Y$15:$Y$104,'Payment Breakdown Prior'!$AE$15:$AE$104,$A2))</f>
        <v>0</v>
      </c>
      <c r="AD2" s="0" t="n">
        <f aca="false">(SUMIFS('Payment Breakdown Current'!$Z$15:$Z$104,'Payment Breakdown Current'!$AE$15:$AE$104,$A2))-(SUMIFS('Payment Breakdown Prior'!$Z$15:$Z$104,'Payment Breakdown Prior'!$AE$15:$AE$104,$A2))</f>
        <v>0</v>
      </c>
      <c r="AE2" s="0" t="n">
        <f aca="false">(SUMIFS('Payment Breakdown Current'!$AA$15:$AA$104,'Payment Breakdown Current'!$AE$15:$AE$104,$A2))-(SUMIFS('Payment Breakdown Prior'!$AA$15:$AA$104,'Payment Breakdown Prior'!$AE$15:$AE$104,$A2))</f>
        <v>0</v>
      </c>
      <c r="AF2" s="0" t="n">
        <f aca="false">(SUMIFS('Payment Breakdown Current'!$AB$15:$AB$104,'Payment Breakdown Current'!$AE$15:$AE$104,$A2))-(SUMIFS('Payment Breakdown Prior'!$AB$15:$AB$104,'Payment Breakdown Prior'!$AE$15:$AE$104,$A2))</f>
        <v>0</v>
      </c>
      <c r="AG2" s="0" t="n">
        <f aca="false">(SUMIFS('Payment Breakdown Current'!$AC$15:$AC$104,'Payment Breakdown Current'!$AE$15:$AE$104,$A2))-(SUMIFS('Payment Breakdown Prior'!$AC$15:$AC$104,'Payment Breakdown Prior'!$AE$15:$AE$104,$A2))</f>
        <v>0</v>
      </c>
      <c r="AH2" s="0" t="n">
        <f aca="false">(SUMIFS('Payment Breakdown Current'!$AD$15:$AD$104,'Payment Breakdown Current'!$AE$15:$AE$104,$A2))-(SUMIFS('Payment Breakdown Prior'!$AD$15:$AD$104,'Payment Breakdown Prior'!$AE$15:$AE$104,$A2))</f>
        <v>0</v>
      </c>
      <c r="AI2" s="0" t="n">
        <f aca="false">MAX(ABS(W2),ABS(X2),ABS(Y2),ABS(Z2),ABS(AA2),ABS(AB2),ABS(AC2),ABS(AD2),ABS(AE2),ABS(AF2),ABS(AG2),ABS(AH2))</f>
        <v>290.23</v>
      </c>
      <c r="AJ2" s="0" t="str">
        <f aca="false">IF(AI2&lt;0.005,"",IF(ABS(W2)=AI2,W$1,IF(ABS(X2)=AI2,X$1,IF(ABS(Y2)=AI2,Y$1,IF(ABS(Z2)=AI2,Z$1,IF(ABS(AA2)=AI2,AA$1,IF(ABS(AB2)=AI2,AB$1,IF(ABS(AC2)=AI2,AC$1,IF(ABS(AD2)=AI2,AD$1,IF(ABS(AE2)=AI2,AE$1,IF(ABS(AF2)=AI2,AF$1,IF(ABS(AG2)=AI2,AG$1,IF(ABS(AH2)=AI2,AH$1,"")))))))))))))</f>
        <v>Basic Salary</v>
      </c>
      <c r="AK2" s="0" t="n">
        <f aca="false">IF(AI2&lt;0.005,"",IF(ABS(W2)=AI2,W2,IF(ABS(X2)=AI2,X2,IF(ABS(Y2)=AI2,Y2,IF(ABS(Z2)=AI2,Z2,IF(ABS(AA2)=AI2,AA2,IF(ABS(AB2)=AI2,AB2,IF(ABS(AC2)=AI2,AC2,IF(ABS(AD2)=AI2,AD2,IF(ABS(AE2)=AI2,AE2,IF(ABS(AF2)=AI2,AF2,IF(ABS(AG2)=AI2,AG2,IF(ABS(AH2)=AI2,AH2,"")))))))))))))</f>
        <v>-290.23</v>
      </c>
      <c r="AL2" s="0" t="str">
        <f aca="false">IF(R2=1,ABS(L2)-ROW()/100000000,"")</f>
        <v/>
      </c>
    </row>
    <row r="3" customFormat="false" ht="15" hidden="false" customHeight="false" outlineLevel="0" collapsed="false">
      <c r="A3" s="0" t="str">
        <f aca="false">IF('NPV Comparison'!D16="","",'NPV Comparison'!D16)</f>
        <v>P22280</v>
      </c>
      <c r="B3" s="13" t="n">
        <f aca="false">IF('NPV Comparison'!E16="","",'NPV Comparison'!E16)</f>
        <v>2462.89</v>
      </c>
      <c r="C3" s="13" t="n">
        <f aca="false">IF('NPV Comparison'!F16="","",'NPV Comparison'!F16)</f>
        <v>2400.62</v>
      </c>
      <c r="D3" s="0" t="str">
        <f aca="false">IF($A3="","",IFERROR(INDEX(Structure!$E$13:$E$312,MATCH($A3,Structure!$P$13:$P$312,0)),""))</f>
        <v>Hakim Group Head Office</v>
      </c>
      <c r="E3" s="0" t="n">
        <f aca="false">IF($A3="",0,IF(COUNTIF(Structure!$P$13:$P$312,$A3)=0,0,IF(COUNTIFS(Structure!$P$13:$P$312,$A3,Structure!$N$13:$N$312,"&lt;&gt;Zero Hours")=0,1,0)))</f>
        <v>0</v>
      </c>
      <c r="F3" s="0" t="n">
        <f aca="false">IF($A3="",0,1-E3)</f>
        <v>1</v>
      </c>
      <c r="G3" s="0" t="n">
        <f aca="false">IF($A3="",0,IF(COUNTIF('New Starters'!$D$14:$D$73,$A3)&gt;0,1,0))</f>
        <v>0</v>
      </c>
      <c r="H3" s="0" t="n">
        <f aca="false">IF($A3="",0,IF(COUNTIF(Leavers!$D$12:$D$71,$A3)&gt;0,1,0))</f>
        <v>0</v>
      </c>
      <c r="I3" s="0" t="str">
        <f aca="false">IF($A3="","",IFERROR(INDEX('New Starters'!$K$14:$K$73,MATCH($A3,'New Starters'!$D$14:$D$73,0)),IFERROR(INDEX(Leavers!$K$12:$K$71,MATCH($A3,Leavers!$D$12:$D$71,0)),"")))</f>
        <v/>
      </c>
      <c r="J3" s="0" t="n">
        <f aca="false">IF(AND(G3=1,I3&lt;&gt;"",COUNTIF(Leavers!$K$12:$K$71,I3)&gt;0),1,IF(AND(H3=1,I3&lt;&gt;"",COUNTIF('New Starters'!$K$14:$K$73,I3)&gt;0),1,0))</f>
        <v>0</v>
      </c>
      <c r="K3" s="14" t="n">
        <f aca="false">IF(ISNUMBER(SEARCH("Head Office",D3)),'Control Sheet'!$C$6,'Control Sheet'!$C$5)</f>
        <v>0.05</v>
      </c>
      <c r="L3" s="0" t="n">
        <f aca="false">IF(OR($A3="",AND(B3="",C3="")),"",IF(B3="",C3,IF(C3="",-B3,C3-B3)))</f>
        <v>-62.27</v>
      </c>
      <c r="M3" s="0" t="n">
        <f aca="false">IFERROR(L3/B3,"")</f>
        <v>-0.025283305385137</v>
      </c>
      <c r="N3" s="0" t="n">
        <f aca="false">IF($A3="",0,IF(OR(B3="",C3="",C3=0,IF(ISNUMBER(M3),ABS(M3)&gt;K3,FALSE())),1,0))</f>
        <v>0</v>
      </c>
      <c r="O3" s="0" t="n">
        <f aca="false">IF(OR($A3="",L3=""),0,IF(AND(N3=1,ABS(L3)&gt;='Control Sheet'!$C$7,F3=1),1,0))</f>
        <v>0</v>
      </c>
      <c r="P3" s="0" t="str">
        <f aca="false">IF($A3="","",IF(F3=0,"Zero Hours",IF(J3=1,"Explained: Paired transfer",IF(AND(G3=1,H3=0,J3=0),"Explained: Starter",IF(AND(H3=1,G3=0,J3=0),"Explained: Leaver",IF(O3=1,"Review required","OK"))))))</f>
        <v>OK</v>
      </c>
      <c r="Q3" s="0" t="n">
        <f aca="false">IF(AND(F3=1,OR(C3="",C3=0),H3=0,J3=0),1,0)</f>
        <v>0</v>
      </c>
      <c r="R3" s="0" t="n">
        <f aca="false">IF(F3=0,0,IF(P3="Review required",1,IF(AND(P3="Explained: Starter",ISNUMBER(C3),C3&gt;=1500),1,0)))</f>
        <v>0</v>
      </c>
      <c r="S3" s="0" t="str">
        <f aca="false">IF(R3=0,"",IF(Q3=1,"High",IF(AND(P3="Explained: Starter",C3&gt;=1500),"High",IF(ABS(L3)&gt;=2000,"High",IF(ABS(L3)&gt;=500,"Medium","Low")))))</f>
        <v/>
      </c>
      <c r="T3" s="0" t="n">
        <f aca="false">SUMIFS('Payment Breakdown Prior'!$S$15:$S$104,'Payment Breakdown Prior'!$AE$15:$AE$104,$A3)</f>
        <v>3324.9</v>
      </c>
      <c r="U3" s="0" t="n">
        <f aca="false">SUMIFS('Payment Breakdown Current'!$S$15:$S$104,'Payment Breakdown Current'!$AE$15:$AE$104,$A3)</f>
        <v>3240.84</v>
      </c>
      <c r="V3" s="0" t="n">
        <f aca="false">IFERROR((U3-T3)/T3,"")</f>
        <v>-0.0252819633673193</v>
      </c>
      <c r="W3" s="0" t="n">
        <f aca="false">(SUMIFS('Payment Breakdown Current'!$S$15:$S$104,'Payment Breakdown Current'!$AE$15:$AE$104,$A3))-(SUMIFS('Payment Breakdown Prior'!$S$15:$S$104,'Payment Breakdown Prior'!$AE$15:$AE$104,$A3))</f>
        <v>-84.06</v>
      </c>
      <c r="X3" s="0" t="n">
        <f aca="false">(SUMIFS('Payment Breakdown Current'!$T$15:$T$104,'Payment Breakdown Current'!$AE$15:$AE$104,$A3))-(SUMIFS('Payment Breakdown Prior'!$T$15:$T$104,'Payment Breakdown Prior'!$AE$15:$AE$104,$A3))</f>
        <v>0</v>
      </c>
      <c r="Y3" s="0" t="n">
        <f aca="false">(SUMIFS('Payment Breakdown Current'!$U$15:$U$104,'Payment Breakdown Current'!$AE$15:$AE$104,$A3))-(SUMIFS('Payment Breakdown Prior'!$U$15:$U$104,'Payment Breakdown Prior'!$AE$15:$AE$104,$A3))</f>
        <v>0</v>
      </c>
      <c r="Z3" s="0" t="n">
        <f aca="false">(SUMIFS('Payment Breakdown Current'!$V$15:$V$104,'Payment Breakdown Current'!$AE$15:$AE$104,$A3))-(SUMIFS('Payment Breakdown Prior'!$V$15:$V$104,'Payment Breakdown Prior'!$AE$15:$AE$104,$A3))</f>
        <v>0</v>
      </c>
      <c r="AA3" s="0" t="n">
        <f aca="false">(SUMIFS('Payment Breakdown Current'!$W$15:$W$104,'Payment Breakdown Current'!$AE$15:$AE$104,$A3))-(SUMIFS('Payment Breakdown Prior'!$W$15:$W$104,'Payment Breakdown Prior'!$AE$15:$AE$104,$A3))</f>
        <v>0</v>
      </c>
      <c r="AB3" s="0" t="n">
        <f aca="false">(SUMIFS('Payment Breakdown Current'!$X$15:$X$104,'Payment Breakdown Current'!$AE$15:$AE$104,$A3))-(SUMIFS('Payment Breakdown Prior'!$X$15:$X$104,'Payment Breakdown Prior'!$AE$15:$AE$104,$A3))</f>
        <v>0</v>
      </c>
      <c r="AC3" s="0" t="n">
        <f aca="false">(SUMIFS('Payment Breakdown Current'!$Y$15:$Y$104,'Payment Breakdown Current'!$AE$15:$AE$104,$A3))-(SUMIFS('Payment Breakdown Prior'!$Y$15:$Y$104,'Payment Breakdown Prior'!$AE$15:$AE$104,$A3))</f>
        <v>0</v>
      </c>
      <c r="AD3" s="0" t="n">
        <f aca="false">(SUMIFS('Payment Breakdown Current'!$Z$15:$Z$104,'Payment Breakdown Current'!$AE$15:$AE$104,$A3))-(SUMIFS('Payment Breakdown Prior'!$Z$15:$Z$104,'Payment Breakdown Prior'!$AE$15:$AE$104,$A3))</f>
        <v>0</v>
      </c>
      <c r="AE3" s="0" t="n">
        <f aca="false">(SUMIFS('Payment Breakdown Current'!$AA$15:$AA$104,'Payment Breakdown Current'!$AE$15:$AE$104,$A3))-(SUMIFS('Payment Breakdown Prior'!$AA$15:$AA$104,'Payment Breakdown Prior'!$AE$15:$AE$104,$A3))</f>
        <v>0</v>
      </c>
      <c r="AF3" s="0" t="n">
        <f aca="false">(SUMIFS('Payment Breakdown Current'!$AB$15:$AB$104,'Payment Breakdown Current'!$AE$15:$AE$104,$A3))-(SUMIFS('Payment Breakdown Prior'!$AB$15:$AB$104,'Payment Breakdown Prior'!$AE$15:$AE$104,$A3))</f>
        <v>0</v>
      </c>
      <c r="AG3" s="0" t="n">
        <f aca="false">(SUMIFS('Payment Breakdown Current'!$AC$15:$AC$104,'Payment Breakdown Current'!$AE$15:$AE$104,$A3))-(SUMIFS('Payment Breakdown Prior'!$AC$15:$AC$104,'Payment Breakdown Prior'!$AE$15:$AE$104,$A3))</f>
        <v>0</v>
      </c>
      <c r="AH3" s="0" t="n">
        <f aca="false">(SUMIFS('Payment Breakdown Current'!$AD$15:$AD$104,'Payment Breakdown Current'!$AE$15:$AE$104,$A3))-(SUMIFS('Payment Breakdown Prior'!$AD$15:$AD$104,'Payment Breakdown Prior'!$AE$15:$AE$104,$A3))</f>
        <v>0</v>
      </c>
      <c r="AI3" s="0" t="n">
        <f aca="false">MAX(ABS(W3),ABS(X3),ABS(Y3),ABS(Z3),ABS(AA3),ABS(AB3),ABS(AC3),ABS(AD3),ABS(AE3),ABS(AF3),ABS(AG3),ABS(AH3))</f>
        <v>84.06</v>
      </c>
      <c r="AJ3" s="0" t="str">
        <f aca="false">IF(AI3&lt;0.005,"",IF(ABS(W3)=AI3,W$1,IF(ABS(X3)=AI3,X$1,IF(ABS(Y3)=AI3,Y$1,IF(ABS(Z3)=AI3,Z$1,IF(ABS(AA3)=AI3,AA$1,IF(ABS(AB3)=AI3,AB$1,IF(ABS(AC3)=AI3,AC$1,IF(ABS(AD3)=AI3,AD$1,IF(ABS(AE3)=AI3,AE$1,IF(ABS(AF3)=AI3,AF$1,IF(ABS(AG3)=AI3,AG$1,IF(ABS(AH3)=AI3,AH$1,"")))))))))))))</f>
        <v>Basic Salary</v>
      </c>
      <c r="AK3" s="0" t="n">
        <f aca="false">IF(AI3&lt;0.005,"",IF(ABS(W3)=AI3,W3,IF(ABS(X3)=AI3,X3,IF(ABS(Y3)=AI3,Y3,IF(ABS(Z3)=AI3,Z3,IF(ABS(AA3)=AI3,AA3,IF(ABS(AB3)=AI3,AB3,IF(ABS(AC3)=AI3,AC3,IF(ABS(AD3)=AI3,AD3,IF(ABS(AE3)=AI3,AE3,IF(ABS(AF3)=AI3,AF3,IF(ABS(AG3)=AI3,AG3,IF(ABS(AH3)=AI3,AH3,"")))))))))))))</f>
        <v>-84.06</v>
      </c>
      <c r="AL3" s="0" t="str">
        <f aca="false">IF(R3=1,ABS(L3)-ROW()/100000000,"")</f>
        <v/>
      </c>
    </row>
    <row r="4" customFormat="false" ht="15" hidden="false" customHeight="false" outlineLevel="0" collapsed="false">
      <c r="A4" s="0" t="str">
        <f aca="false">IF('NPV Comparison'!D17="","",'NPV Comparison'!D17)</f>
        <v>P81426</v>
      </c>
      <c r="B4" s="13" t="n">
        <f aca="false">IF('NPV Comparison'!E17="","",'NPV Comparison'!E17)</f>
        <v>2410.24</v>
      </c>
      <c r="C4" s="13" t="n">
        <f aca="false">IF('NPV Comparison'!F17="","",'NPV Comparison'!F17)</f>
        <v>2578.93</v>
      </c>
      <c r="D4" s="0" t="str">
        <f aca="false">IF($A4="","",IFERROR(INDEX(Structure!$E$13:$E$312,MATCH($A4,Structure!$P$13:$P$312,0)),""))</f>
        <v>Kings Road Dental Practice</v>
      </c>
      <c r="E4" s="0" t="n">
        <f aca="false">IF($A4="",0,IF(COUNTIF(Structure!$P$13:$P$312,$A4)=0,0,IF(COUNTIFS(Structure!$P$13:$P$312,$A4,Structure!$N$13:$N$312,"&lt;&gt;Zero Hours")=0,1,0)))</f>
        <v>0</v>
      </c>
      <c r="F4" s="0" t="n">
        <f aca="false">IF($A4="",0,1-E4)</f>
        <v>1</v>
      </c>
      <c r="G4" s="0" t="n">
        <f aca="false">IF($A4="",0,IF(COUNTIF('New Starters'!$D$14:$D$73,$A4)&gt;0,1,0))</f>
        <v>0</v>
      </c>
      <c r="H4" s="0" t="n">
        <f aca="false">IF($A4="",0,IF(COUNTIF(Leavers!$D$12:$D$71,$A4)&gt;0,1,0))</f>
        <v>0</v>
      </c>
      <c r="I4" s="0" t="str">
        <f aca="false">IF($A4="","",IFERROR(INDEX('New Starters'!$K$14:$K$73,MATCH($A4,'New Starters'!$D$14:$D$73,0)),IFERROR(INDEX(Leavers!$K$12:$K$71,MATCH($A4,Leavers!$D$12:$D$71,0)),"")))</f>
        <v/>
      </c>
      <c r="J4" s="0" t="n">
        <f aca="false">IF(AND(G4=1,I4&lt;&gt;"",COUNTIF(Leavers!$K$12:$K$71,I4)&gt;0),1,IF(AND(H4=1,I4&lt;&gt;"",COUNTIF('New Starters'!$K$14:$K$73,I4)&gt;0),1,0))</f>
        <v>0</v>
      </c>
      <c r="K4" s="14" t="n">
        <f aca="false">IF(ISNUMBER(SEARCH("Head Office",D4)),'Control Sheet'!$C$6,'Control Sheet'!$C$5)</f>
        <v>0.2</v>
      </c>
      <c r="L4" s="0" t="n">
        <f aca="false">IF(OR($A4="",AND(B4="",C4="")),"",IF(B4="",C4,IF(C4="",-B4,C4-B4)))</f>
        <v>168.69</v>
      </c>
      <c r="M4" s="0" t="n">
        <f aca="false">IFERROR(L4/B4,"")</f>
        <v>0.0699888807753585</v>
      </c>
      <c r="N4" s="0" t="n">
        <f aca="false">IF($A4="",0,IF(OR(B4="",C4="",C4=0,IF(ISNUMBER(M4),ABS(M4)&gt;K4,FALSE())),1,0))</f>
        <v>0</v>
      </c>
      <c r="O4" s="0" t="n">
        <f aca="false">IF(OR($A4="",L4=""),0,IF(AND(N4=1,ABS(L4)&gt;='Control Sheet'!$C$7,F4=1),1,0))</f>
        <v>0</v>
      </c>
      <c r="P4" s="0" t="str">
        <f aca="false">IF($A4="","",IF(F4=0,"Zero Hours",IF(J4=1,"Explained: Paired transfer",IF(AND(G4=1,H4=0,J4=0),"Explained: Starter",IF(AND(H4=1,G4=0,J4=0),"Explained: Leaver",IF(O4=1,"Review required","OK"))))))</f>
        <v>OK</v>
      </c>
      <c r="Q4" s="0" t="n">
        <f aca="false">IF(AND(F4=1,OR(C4="",C4=0),H4=0,J4=0),1,0)</f>
        <v>0</v>
      </c>
      <c r="R4" s="0" t="n">
        <f aca="false">IF(F4=0,0,IF(P4="Review required",1,IF(AND(P4="Explained: Starter",ISNUMBER(C4),C4&gt;=1500),1,0)))</f>
        <v>0</v>
      </c>
      <c r="S4" s="0" t="str">
        <f aca="false">IF(R4=0,"",IF(Q4=1,"High",IF(AND(P4="Explained: Starter",C4&gt;=1500),"High",IF(ABS(L4)&gt;=2000,"High",IF(ABS(L4)&gt;=500,"Medium","Low")))))</f>
        <v/>
      </c>
      <c r="T4" s="0" t="n">
        <f aca="false">SUMIFS('Payment Breakdown Prior'!$S$15:$S$104,'Payment Breakdown Prior'!$AE$15:$AE$104,$A4)</f>
        <v>3253.83</v>
      </c>
      <c r="U4" s="0" t="n">
        <f aca="false">SUMIFS('Payment Breakdown Current'!$S$15:$S$104,'Payment Breakdown Current'!$AE$15:$AE$104,$A4)</f>
        <v>3481.56</v>
      </c>
      <c r="V4" s="0" t="n">
        <f aca="false">IFERROR((U4-T4)/T4,"")</f>
        <v>0.0699882907220107</v>
      </c>
      <c r="W4" s="0" t="n">
        <f aca="false">(SUMIFS('Payment Breakdown Current'!$S$15:$S$104,'Payment Breakdown Current'!$AE$15:$AE$104,$A4))-(SUMIFS('Payment Breakdown Prior'!$S$15:$S$104,'Payment Breakdown Prior'!$AE$15:$AE$104,$A4))</f>
        <v>227.73</v>
      </c>
      <c r="X4" s="0" t="n">
        <f aca="false">(SUMIFS('Payment Breakdown Current'!$T$15:$T$104,'Payment Breakdown Current'!$AE$15:$AE$104,$A4))-(SUMIFS('Payment Breakdown Prior'!$T$15:$T$104,'Payment Breakdown Prior'!$AE$15:$AE$104,$A4))</f>
        <v>0</v>
      </c>
      <c r="Y4" s="0" t="n">
        <f aca="false">(SUMIFS('Payment Breakdown Current'!$U$15:$U$104,'Payment Breakdown Current'!$AE$15:$AE$104,$A4))-(SUMIFS('Payment Breakdown Prior'!$U$15:$U$104,'Payment Breakdown Prior'!$AE$15:$AE$104,$A4))</f>
        <v>0</v>
      </c>
      <c r="Z4" s="0" t="n">
        <f aca="false">(SUMIFS('Payment Breakdown Current'!$V$15:$V$104,'Payment Breakdown Current'!$AE$15:$AE$104,$A4))-(SUMIFS('Payment Breakdown Prior'!$V$15:$V$104,'Payment Breakdown Prior'!$AE$15:$AE$104,$A4))</f>
        <v>0</v>
      </c>
      <c r="AA4" s="0" t="n">
        <f aca="false">(SUMIFS('Payment Breakdown Current'!$W$15:$W$104,'Payment Breakdown Current'!$AE$15:$AE$104,$A4))-(SUMIFS('Payment Breakdown Prior'!$W$15:$W$104,'Payment Breakdown Prior'!$AE$15:$AE$104,$A4))</f>
        <v>0</v>
      </c>
      <c r="AB4" s="0" t="n">
        <f aca="false">(SUMIFS('Payment Breakdown Current'!$X$15:$X$104,'Payment Breakdown Current'!$AE$15:$AE$104,$A4))-(SUMIFS('Payment Breakdown Prior'!$X$15:$X$104,'Payment Breakdown Prior'!$AE$15:$AE$104,$A4))</f>
        <v>0</v>
      </c>
      <c r="AC4" s="0" t="n">
        <f aca="false">(SUMIFS('Payment Breakdown Current'!$Y$15:$Y$104,'Payment Breakdown Current'!$AE$15:$AE$104,$A4))-(SUMIFS('Payment Breakdown Prior'!$Y$15:$Y$104,'Payment Breakdown Prior'!$AE$15:$AE$104,$A4))</f>
        <v>0</v>
      </c>
      <c r="AD4" s="0" t="n">
        <f aca="false">(SUMIFS('Payment Breakdown Current'!$Z$15:$Z$104,'Payment Breakdown Current'!$AE$15:$AE$104,$A4))-(SUMIFS('Payment Breakdown Prior'!$Z$15:$Z$104,'Payment Breakdown Prior'!$AE$15:$AE$104,$A4))</f>
        <v>0</v>
      </c>
      <c r="AE4" s="0" t="n">
        <f aca="false">(SUMIFS('Payment Breakdown Current'!$AA$15:$AA$104,'Payment Breakdown Current'!$AE$15:$AE$104,$A4))-(SUMIFS('Payment Breakdown Prior'!$AA$15:$AA$104,'Payment Breakdown Prior'!$AE$15:$AE$104,$A4))</f>
        <v>0</v>
      </c>
      <c r="AF4" s="0" t="n">
        <f aca="false">(SUMIFS('Payment Breakdown Current'!$AB$15:$AB$104,'Payment Breakdown Current'!$AE$15:$AE$104,$A4))-(SUMIFS('Payment Breakdown Prior'!$AB$15:$AB$104,'Payment Breakdown Prior'!$AE$15:$AE$104,$A4))</f>
        <v>0</v>
      </c>
      <c r="AG4" s="0" t="n">
        <f aca="false">(SUMIFS('Payment Breakdown Current'!$AC$15:$AC$104,'Payment Breakdown Current'!$AE$15:$AE$104,$A4))-(SUMIFS('Payment Breakdown Prior'!$AC$15:$AC$104,'Payment Breakdown Prior'!$AE$15:$AE$104,$A4))</f>
        <v>0</v>
      </c>
      <c r="AH4" s="0" t="n">
        <f aca="false">(SUMIFS('Payment Breakdown Current'!$AD$15:$AD$104,'Payment Breakdown Current'!$AE$15:$AE$104,$A4))-(SUMIFS('Payment Breakdown Prior'!$AD$15:$AD$104,'Payment Breakdown Prior'!$AE$15:$AE$104,$A4))</f>
        <v>0</v>
      </c>
      <c r="AI4" s="0" t="n">
        <f aca="false">MAX(ABS(W4),ABS(X4),ABS(Y4),ABS(Z4),ABS(AA4),ABS(AB4),ABS(AC4),ABS(AD4),ABS(AE4),ABS(AF4),ABS(AG4),ABS(AH4))</f>
        <v>227.73</v>
      </c>
      <c r="AJ4" s="0" t="str">
        <f aca="false">IF(AI4&lt;0.005,"",IF(ABS(W4)=AI4,W$1,IF(ABS(X4)=AI4,X$1,IF(ABS(Y4)=AI4,Y$1,IF(ABS(Z4)=AI4,Z$1,IF(ABS(AA4)=AI4,AA$1,IF(ABS(AB4)=AI4,AB$1,IF(ABS(AC4)=AI4,AC$1,IF(ABS(AD4)=AI4,AD$1,IF(ABS(AE4)=AI4,AE$1,IF(ABS(AF4)=AI4,AF$1,IF(ABS(AG4)=AI4,AG$1,IF(ABS(AH4)=AI4,AH$1,"")))))))))))))</f>
        <v>Basic Salary</v>
      </c>
      <c r="AK4" s="0" t="n">
        <f aca="false">IF(AI4&lt;0.005,"",IF(ABS(W4)=AI4,W4,IF(ABS(X4)=AI4,X4,IF(ABS(Y4)=AI4,Y4,IF(ABS(Z4)=AI4,Z4,IF(ABS(AA4)=AI4,AA4,IF(ABS(AB4)=AI4,AB4,IF(ABS(AC4)=AI4,AC4,IF(ABS(AD4)=AI4,AD4,IF(ABS(AE4)=AI4,AE4,IF(ABS(AF4)=AI4,AF4,IF(ABS(AG4)=AI4,AG4,IF(ABS(AH4)=AI4,AH4,"")))))))))))))</f>
        <v>227.73</v>
      </c>
      <c r="AL4" s="0" t="str">
        <f aca="false">IF(R4=1,ABS(L4)-ROW()/100000000,"")</f>
        <v/>
      </c>
    </row>
    <row r="5" customFormat="false" ht="15" hidden="false" customHeight="false" outlineLevel="0" collapsed="false">
      <c r="A5" s="0" t="str">
        <f aca="false">IF('NPV Comparison'!D18="","",'NPV Comparison'!D18)</f>
        <v>P30926</v>
      </c>
      <c r="B5" s="13" t="n">
        <f aca="false">IF('NPV Comparison'!E18="","",'NPV Comparison'!E18)</f>
        <v>2856.97</v>
      </c>
      <c r="C5" s="13" t="n">
        <f aca="false">IF('NPV Comparison'!F18="","",'NPV Comparison'!F18)</f>
        <v>2400.16</v>
      </c>
      <c r="D5" s="0" t="str">
        <f aca="false">IF($A5="","",IFERROR(INDEX(Structure!$E$13:$E$312,MATCH($A5,Structure!$P$13:$P$312,0)),""))</f>
        <v>Oakfield Dental Practice</v>
      </c>
      <c r="E5" s="0" t="n">
        <f aca="false">IF($A5="",0,IF(COUNTIF(Structure!$P$13:$P$312,$A5)=0,0,IF(COUNTIFS(Structure!$P$13:$P$312,$A5,Structure!$N$13:$N$312,"&lt;&gt;Zero Hours")=0,1,0)))</f>
        <v>0</v>
      </c>
      <c r="F5" s="0" t="n">
        <f aca="false">IF($A5="",0,1-E5)</f>
        <v>1</v>
      </c>
      <c r="G5" s="0" t="n">
        <f aca="false">IF($A5="",0,IF(COUNTIF('New Starters'!$D$14:$D$73,$A5)&gt;0,1,0))</f>
        <v>0</v>
      </c>
      <c r="H5" s="0" t="n">
        <f aca="false">IF($A5="",0,IF(COUNTIF(Leavers!$D$12:$D$71,$A5)&gt;0,1,0))</f>
        <v>0</v>
      </c>
      <c r="I5" s="0" t="str">
        <f aca="false">IF($A5="","",IFERROR(INDEX('New Starters'!$K$14:$K$73,MATCH($A5,'New Starters'!$D$14:$D$73,0)),IFERROR(INDEX(Leavers!$K$12:$K$71,MATCH($A5,Leavers!$D$12:$D$71,0)),"")))</f>
        <v/>
      </c>
      <c r="J5" s="0" t="n">
        <f aca="false">IF(AND(G5=1,I5&lt;&gt;"",COUNTIF(Leavers!$K$12:$K$71,I5)&gt;0),1,IF(AND(H5=1,I5&lt;&gt;"",COUNTIF('New Starters'!$K$14:$K$73,I5)&gt;0),1,0))</f>
        <v>0</v>
      </c>
      <c r="K5" s="14" t="n">
        <f aca="false">IF(ISNUMBER(SEARCH("Head Office",D5)),'Control Sheet'!$C$6,'Control Sheet'!$C$5)</f>
        <v>0.2</v>
      </c>
      <c r="L5" s="0" t="n">
        <f aca="false">IF(OR($A5="",AND(B5="",C5="")),"",IF(B5="",C5,IF(C5="",-B5,C5-B5)))</f>
        <v>-456.81</v>
      </c>
      <c r="M5" s="0" t="n">
        <f aca="false">IFERROR(L5/B5,"")</f>
        <v>-0.159893173536999</v>
      </c>
      <c r="N5" s="0" t="n">
        <f aca="false">IF($A5="",0,IF(OR(B5="",C5="",C5=0,IF(ISNUMBER(M5),ABS(M5)&gt;K5,FALSE())),1,0))</f>
        <v>0</v>
      </c>
      <c r="O5" s="0" t="n">
        <f aca="false">IF(OR($A5="",L5=""),0,IF(AND(N5=1,ABS(L5)&gt;='Control Sheet'!$C$7,F5=1),1,0))</f>
        <v>0</v>
      </c>
      <c r="P5" s="0" t="str">
        <f aca="false">IF($A5="","",IF(F5=0,"Zero Hours",IF(J5=1,"Explained: Paired transfer",IF(AND(G5=1,H5=0,J5=0),"Explained: Starter",IF(AND(H5=1,G5=0,J5=0),"Explained: Leaver",IF(O5=1,"Review required","OK"))))))</f>
        <v>OK</v>
      </c>
      <c r="Q5" s="0" t="n">
        <f aca="false">IF(AND(F5=1,OR(C5="",C5=0),H5=0,J5=0),1,0)</f>
        <v>0</v>
      </c>
      <c r="R5" s="0" t="n">
        <f aca="false">IF(F5=0,0,IF(P5="Review required",1,IF(AND(P5="Explained: Starter",ISNUMBER(C5),C5&gt;=1500),1,0)))</f>
        <v>0</v>
      </c>
      <c r="S5" s="0" t="str">
        <f aca="false">IF(R5=0,"",IF(Q5=1,"High",IF(AND(P5="Explained: Starter",C5&gt;=1500),"High",IF(ABS(L5)&gt;=2000,"High",IF(ABS(L5)&gt;=500,"Medium","Low")))))</f>
        <v/>
      </c>
      <c r="T5" s="0" t="n">
        <f aca="false">SUMIFS('Payment Breakdown Prior'!$S$15:$S$104,'Payment Breakdown Prior'!$AE$15:$AE$104,$A5)</f>
        <v>3856.92</v>
      </c>
      <c r="U5" s="0" t="n">
        <f aca="false">SUMIFS('Payment Breakdown Current'!$S$15:$S$104,'Payment Breakdown Current'!$AE$15:$AE$104,$A5)</f>
        <v>3240.22</v>
      </c>
      <c r="V5" s="0" t="n">
        <f aca="false">IFERROR((U5-T5)/T5,"")</f>
        <v>-0.159894423529656</v>
      </c>
      <c r="W5" s="0" t="n">
        <f aca="false">(SUMIFS('Payment Breakdown Current'!$S$15:$S$104,'Payment Breakdown Current'!$AE$15:$AE$104,$A5))-(SUMIFS('Payment Breakdown Prior'!$S$15:$S$104,'Payment Breakdown Prior'!$AE$15:$AE$104,$A5))</f>
        <v>-616.7</v>
      </c>
      <c r="X5" s="0" t="n">
        <f aca="false">(SUMIFS('Payment Breakdown Current'!$T$15:$T$104,'Payment Breakdown Current'!$AE$15:$AE$104,$A5))-(SUMIFS('Payment Breakdown Prior'!$T$15:$T$104,'Payment Breakdown Prior'!$AE$15:$AE$104,$A5))</f>
        <v>0</v>
      </c>
      <c r="Y5" s="0" t="n">
        <f aca="false">(SUMIFS('Payment Breakdown Current'!$U$15:$U$104,'Payment Breakdown Current'!$AE$15:$AE$104,$A5))-(SUMIFS('Payment Breakdown Prior'!$U$15:$U$104,'Payment Breakdown Prior'!$AE$15:$AE$104,$A5))</f>
        <v>0</v>
      </c>
      <c r="Z5" s="0" t="n">
        <f aca="false">(SUMIFS('Payment Breakdown Current'!$V$15:$V$104,'Payment Breakdown Current'!$AE$15:$AE$104,$A5))-(SUMIFS('Payment Breakdown Prior'!$V$15:$V$104,'Payment Breakdown Prior'!$AE$15:$AE$104,$A5))</f>
        <v>0</v>
      </c>
      <c r="AA5" s="0" t="n">
        <f aca="false">(SUMIFS('Payment Breakdown Current'!$W$15:$W$104,'Payment Breakdown Current'!$AE$15:$AE$104,$A5))-(SUMIFS('Payment Breakdown Prior'!$W$15:$W$104,'Payment Breakdown Prior'!$AE$15:$AE$104,$A5))</f>
        <v>0</v>
      </c>
      <c r="AB5" s="0" t="n">
        <f aca="false">(SUMIFS('Payment Breakdown Current'!$X$15:$X$104,'Payment Breakdown Current'!$AE$15:$AE$104,$A5))-(SUMIFS('Payment Breakdown Prior'!$X$15:$X$104,'Payment Breakdown Prior'!$AE$15:$AE$104,$A5))</f>
        <v>0</v>
      </c>
      <c r="AC5" s="0" t="n">
        <f aca="false">(SUMIFS('Payment Breakdown Current'!$Y$15:$Y$104,'Payment Breakdown Current'!$AE$15:$AE$104,$A5))-(SUMIFS('Payment Breakdown Prior'!$Y$15:$Y$104,'Payment Breakdown Prior'!$AE$15:$AE$104,$A5))</f>
        <v>0</v>
      </c>
      <c r="AD5" s="0" t="n">
        <f aca="false">(SUMIFS('Payment Breakdown Current'!$Z$15:$Z$104,'Payment Breakdown Current'!$AE$15:$AE$104,$A5))-(SUMIFS('Payment Breakdown Prior'!$Z$15:$Z$104,'Payment Breakdown Prior'!$AE$15:$AE$104,$A5))</f>
        <v>0</v>
      </c>
      <c r="AE5" s="0" t="n">
        <f aca="false">(SUMIFS('Payment Breakdown Current'!$AA$15:$AA$104,'Payment Breakdown Current'!$AE$15:$AE$104,$A5))-(SUMIFS('Payment Breakdown Prior'!$AA$15:$AA$104,'Payment Breakdown Prior'!$AE$15:$AE$104,$A5))</f>
        <v>0</v>
      </c>
      <c r="AF5" s="0" t="n">
        <f aca="false">(SUMIFS('Payment Breakdown Current'!$AB$15:$AB$104,'Payment Breakdown Current'!$AE$15:$AE$104,$A5))-(SUMIFS('Payment Breakdown Prior'!$AB$15:$AB$104,'Payment Breakdown Prior'!$AE$15:$AE$104,$A5))</f>
        <v>0</v>
      </c>
      <c r="AG5" s="0" t="n">
        <f aca="false">(SUMIFS('Payment Breakdown Current'!$AC$15:$AC$104,'Payment Breakdown Current'!$AE$15:$AE$104,$A5))-(SUMIFS('Payment Breakdown Prior'!$AC$15:$AC$104,'Payment Breakdown Prior'!$AE$15:$AE$104,$A5))</f>
        <v>0</v>
      </c>
      <c r="AH5" s="0" t="n">
        <f aca="false">(SUMIFS('Payment Breakdown Current'!$AD$15:$AD$104,'Payment Breakdown Current'!$AE$15:$AE$104,$A5))-(SUMIFS('Payment Breakdown Prior'!$AD$15:$AD$104,'Payment Breakdown Prior'!$AE$15:$AE$104,$A5))</f>
        <v>0</v>
      </c>
      <c r="AI5" s="0" t="n">
        <f aca="false">MAX(ABS(W5),ABS(X5),ABS(Y5),ABS(Z5),ABS(AA5),ABS(AB5),ABS(AC5),ABS(AD5),ABS(AE5),ABS(AF5),ABS(AG5),ABS(AH5))</f>
        <v>616.7</v>
      </c>
      <c r="AJ5" s="0" t="str">
        <f aca="false">IF(AI5&lt;0.005,"",IF(ABS(W5)=AI5,W$1,IF(ABS(X5)=AI5,X$1,IF(ABS(Y5)=AI5,Y$1,IF(ABS(Z5)=AI5,Z$1,IF(ABS(AA5)=AI5,AA$1,IF(ABS(AB5)=AI5,AB$1,IF(ABS(AC5)=AI5,AC$1,IF(ABS(AD5)=AI5,AD$1,IF(ABS(AE5)=AI5,AE$1,IF(ABS(AF5)=AI5,AF$1,IF(ABS(AG5)=AI5,AG$1,IF(ABS(AH5)=AI5,AH$1,"")))))))))))))</f>
        <v>Basic Salary</v>
      </c>
      <c r="AK5" s="0" t="n">
        <f aca="false">IF(AI5&lt;0.005,"",IF(ABS(W5)=AI5,W5,IF(ABS(X5)=AI5,X5,IF(ABS(Y5)=AI5,Y5,IF(ABS(Z5)=AI5,Z5,IF(ABS(AA5)=AI5,AA5,IF(ABS(AB5)=AI5,AB5,IF(ABS(AC5)=AI5,AC5,IF(ABS(AD5)=AI5,AD5,IF(ABS(AE5)=AI5,AE5,IF(ABS(AF5)=AI5,AF5,IF(ABS(AG5)=AI5,AG5,IF(ABS(AH5)=AI5,AH5,"")))))))))))))</f>
        <v>-616.7</v>
      </c>
      <c r="AL5" s="0" t="str">
        <f aca="false">IF(R5=1,ABS(L5)-ROW()/100000000,"")</f>
        <v/>
      </c>
    </row>
    <row r="6" customFormat="false" ht="15" hidden="false" customHeight="false" outlineLevel="0" collapsed="false">
      <c r="A6" s="0" t="str">
        <f aca="false">IF('NPV Comparison'!D19="","",'NPV Comparison'!D19)</f>
        <v>P23396</v>
      </c>
      <c r="B6" s="13" t="n">
        <f aca="false">IF('NPV Comparison'!E19="","",'NPV Comparison'!E19)</f>
        <v>1787.56</v>
      </c>
      <c r="C6" s="13" t="n">
        <f aca="false">IF('NPV Comparison'!F19="","",'NPV Comparison'!F19)</f>
        <v>1940.17</v>
      </c>
      <c r="D6" s="0" t="str">
        <f aca="false">IF($A6="","",IFERROR(INDEX(Structure!$E$13:$E$312,MATCH($A6,Structure!$P$13:$P$312,0)),""))</f>
        <v>Oakfield Dental Practice</v>
      </c>
      <c r="E6" s="0" t="n">
        <f aca="false">IF($A6="",0,IF(COUNTIF(Structure!$P$13:$P$312,$A6)=0,0,IF(COUNTIFS(Structure!$P$13:$P$312,$A6,Structure!$N$13:$N$312,"&lt;&gt;Zero Hours")=0,1,0)))</f>
        <v>0</v>
      </c>
      <c r="F6" s="0" t="n">
        <f aca="false">IF($A6="",0,1-E6)</f>
        <v>1</v>
      </c>
      <c r="G6" s="0" t="n">
        <f aca="false">IF($A6="",0,IF(COUNTIF('New Starters'!$D$14:$D$73,$A6)&gt;0,1,0))</f>
        <v>0</v>
      </c>
      <c r="H6" s="0" t="n">
        <f aca="false">IF($A6="",0,IF(COUNTIF(Leavers!$D$12:$D$71,$A6)&gt;0,1,0))</f>
        <v>0</v>
      </c>
      <c r="I6" s="0" t="str">
        <f aca="false">IF($A6="","",IFERROR(INDEX('New Starters'!$K$14:$K$73,MATCH($A6,'New Starters'!$D$14:$D$73,0)),IFERROR(INDEX(Leavers!$K$12:$K$71,MATCH($A6,Leavers!$D$12:$D$71,0)),"")))</f>
        <v/>
      </c>
      <c r="J6" s="0" t="n">
        <f aca="false">IF(AND(G6=1,I6&lt;&gt;"",COUNTIF(Leavers!$K$12:$K$71,I6)&gt;0),1,IF(AND(H6=1,I6&lt;&gt;"",COUNTIF('New Starters'!$K$14:$K$73,I6)&gt;0),1,0))</f>
        <v>0</v>
      </c>
      <c r="K6" s="14" t="n">
        <f aca="false">IF(ISNUMBER(SEARCH("Head Office",D6)),'Control Sheet'!$C$6,'Control Sheet'!$C$5)</f>
        <v>0.2</v>
      </c>
      <c r="L6" s="0" t="n">
        <f aca="false">IF(OR($A6="",AND(B6="",C6="")),"",IF(B6="",C6,IF(C6="",-B6,C6-B6)))</f>
        <v>152.61</v>
      </c>
      <c r="M6" s="0" t="n">
        <f aca="false">IFERROR(L6/B6,"")</f>
        <v>0.0853733580970709</v>
      </c>
      <c r="N6" s="0" t="n">
        <f aca="false">IF($A6="",0,IF(OR(B6="",C6="",C6=0,IF(ISNUMBER(M6),ABS(M6)&gt;K6,FALSE())),1,0))</f>
        <v>0</v>
      </c>
      <c r="O6" s="0" t="n">
        <f aca="false">IF(OR($A6="",L6=""),0,IF(AND(N6=1,ABS(L6)&gt;='Control Sheet'!$C$7,F6=1),1,0))</f>
        <v>0</v>
      </c>
      <c r="P6" s="0" t="str">
        <f aca="false">IF($A6="","",IF(F6=0,"Zero Hours",IF(J6=1,"Explained: Paired transfer",IF(AND(G6=1,H6=0,J6=0),"Explained: Starter",IF(AND(H6=1,G6=0,J6=0),"Explained: Leaver",IF(O6=1,"Review required","OK"))))))</f>
        <v>OK</v>
      </c>
      <c r="Q6" s="0" t="n">
        <f aca="false">IF(AND(F6=1,OR(C6="",C6=0),H6=0,J6=0),1,0)</f>
        <v>0</v>
      </c>
      <c r="R6" s="0" t="n">
        <f aca="false">IF(F6=0,0,IF(P6="Review required",1,IF(AND(P6="Explained: Starter",ISNUMBER(C6),C6&gt;=1500),1,0)))</f>
        <v>0</v>
      </c>
      <c r="S6" s="0" t="str">
        <f aca="false">IF(R6=0,"",IF(Q6=1,"High",IF(AND(P6="Explained: Starter",C6&gt;=1500),"High",IF(ABS(L6)&gt;=2000,"High",IF(ABS(L6)&gt;=500,"Medium","Low")))))</f>
        <v/>
      </c>
      <c r="T6" s="0" t="n">
        <f aca="false">SUMIFS('Payment Breakdown Prior'!$S$15:$S$104,'Payment Breakdown Prior'!$AE$15:$AE$104,$A6)</f>
        <v>2413.21</v>
      </c>
      <c r="U6" s="0" t="n">
        <f aca="false">SUMIFS('Payment Breakdown Current'!$S$15:$S$104,'Payment Breakdown Current'!$AE$15:$AE$104,$A6)</f>
        <v>2619.23</v>
      </c>
      <c r="V6" s="0" t="n">
        <f aca="false">IFERROR((U6-T6)/T6,"")</f>
        <v>0.0853717662366723</v>
      </c>
      <c r="W6" s="0" t="n">
        <f aca="false">(SUMIFS('Payment Breakdown Current'!$S$15:$S$104,'Payment Breakdown Current'!$AE$15:$AE$104,$A6))-(SUMIFS('Payment Breakdown Prior'!$S$15:$S$104,'Payment Breakdown Prior'!$AE$15:$AE$104,$A6))</f>
        <v>206.02</v>
      </c>
      <c r="X6" s="0" t="n">
        <f aca="false">(SUMIFS('Payment Breakdown Current'!$T$15:$T$104,'Payment Breakdown Current'!$AE$15:$AE$104,$A6))-(SUMIFS('Payment Breakdown Prior'!$T$15:$T$104,'Payment Breakdown Prior'!$AE$15:$AE$104,$A6))</f>
        <v>0</v>
      </c>
      <c r="Y6" s="0" t="n">
        <f aca="false">(SUMIFS('Payment Breakdown Current'!$U$15:$U$104,'Payment Breakdown Current'!$AE$15:$AE$104,$A6))-(SUMIFS('Payment Breakdown Prior'!$U$15:$U$104,'Payment Breakdown Prior'!$AE$15:$AE$104,$A6))</f>
        <v>0</v>
      </c>
      <c r="Z6" s="0" t="n">
        <f aca="false">(SUMIFS('Payment Breakdown Current'!$V$15:$V$104,'Payment Breakdown Current'!$AE$15:$AE$104,$A6))-(SUMIFS('Payment Breakdown Prior'!$V$15:$V$104,'Payment Breakdown Prior'!$AE$15:$AE$104,$A6))</f>
        <v>0</v>
      </c>
      <c r="AA6" s="0" t="n">
        <f aca="false">(SUMIFS('Payment Breakdown Current'!$W$15:$W$104,'Payment Breakdown Current'!$AE$15:$AE$104,$A6))-(SUMIFS('Payment Breakdown Prior'!$W$15:$W$104,'Payment Breakdown Prior'!$AE$15:$AE$104,$A6))</f>
        <v>0</v>
      </c>
      <c r="AB6" s="0" t="n">
        <f aca="false">(SUMIFS('Payment Breakdown Current'!$X$15:$X$104,'Payment Breakdown Current'!$AE$15:$AE$104,$A6))-(SUMIFS('Payment Breakdown Prior'!$X$15:$X$104,'Payment Breakdown Prior'!$AE$15:$AE$104,$A6))</f>
        <v>0</v>
      </c>
      <c r="AC6" s="0" t="n">
        <f aca="false">(SUMIFS('Payment Breakdown Current'!$Y$15:$Y$104,'Payment Breakdown Current'!$AE$15:$AE$104,$A6))-(SUMIFS('Payment Breakdown Prior'!$Y$15:$Y$104,'Payment Breakdown Prior'!$AE$15:$AE$104,$A6))</f>
        <v>0</v>
      </c>
      <c r="AD6" s="0" t="n">
        <f aca="false">(SUMIFS('Payment Breakdown Current'!$Z$15:$Z$104,'Payment Breakdown Current'!$AE$15:$AE$104,$A6))-(SUMIFS('Payment Breakdown Prior'!$Z$15:$Z$104,'Payment Breakdown Prior'!$AE$15:$AE$104,$A6))</f>
        <v>0</v>
      </c>
      <c r="AE6" s="0" t="n">
        <f aca="false">(SUMIFS('Payment Breakdown Current'!$AA$15:$AA$104,'Payment Breakdown Current'!$AE$15:$AE$104,$A6))-(SUMIFS('Payment Breakdown Prior'!$AA$15:$AA$104,'Payment Breakdown Prior'!$AE$15:$AE$104,$A6))</f>
        <v>0</v>
      </c>
      <c r="AF6" s="0" t="n">
        <f aca="false">(SUMIFS('Payment Breakdown Current'!$AB$15:$AB$104,'Payment Breakdown Current'!$AE$15:$AE$104,$A6))-(SUMIFS('Payment Breakdown Prior'!$AB$15:$AB$104,'Payment Breakdown Prior'!$AE$15:$AE$104,$A6))</f>
        <v>0</v>
      </c>
      <c r="AG6" s="0" t="n">
        <f aca="false">(SUMIFS('Payment Breakdown Current'!$AC$15:$AC$104,'Payment Breakdown Current'!$AE$15:$AE$104,$A6))-(SUMIFS('Payment Breakdown Prior'!$AC$15:$AC$104,'Payment Breakdown Prior'!$AE$15:$AE$104,$A6))</f>
        <v>0</v>
      </c>
      <c r="AH6" s="0" t="n">
        <f aca="false">(SUMIFS('Payment Breakdown Current'!$AD$15:$AD$104,'Payment Breakdown Current'!$AE$15:$AE$104,$A6))-(SUMIFS('Payment Breakdown Prior'!$AD$15:$AD$104,'Payment Breakdown Prior'!$AE$15:$AE$104,$A6))</f>
        <v>0</v>
      </c>
      <c r="AI6" s="0" t="n">
        <f aca="false">MAX(ABS(W6),ABS(X6),ABS(Y6),ABS(Z6),ABS(AA6),ABS(AB6),ABS(AC6),ABS(AD6),ABS(AE6),ABS(AF6),ABS(AG6),ABS(AH6))</f>
        <v>206.02</v>
      </c>
      <c r="AJ6" s="0" t="str">
        <f aca="false">IF(AI6&lt;0.005,"",IF(ABS(W6)=AI6,W$1,IF(ABS(X6)=AI6,X$1,IF(ABS(Y6)=AI6,Y$1,IF(ABS(Z6)=AI6,Z$1,IF(ABS(AA6)=AI6,AA$1,IF(ABS(AB6)=AI6,AB$1,IF(ABS(AC6)=AI6,AC$1,IF(ABS(AD6)=AI6,AD$1,IF(ABS(AE6)=AI6,AE$1,IF(ABS(AF6)=AI6,AF$1,IF(ABS(AG6)=AI6,AG$1,IF(ABS(AH6)=AI6,AH$1,"")))))))))))))</f>
        <v>Basic Salary</v>
      </c>
      <c r="AK6" s="0" t="n">
        <f aca="false">IF(AI6&lt;0.005,"",IF(ABS(W6)=AI6,W6,IF(ABS(X6)=AI6,X6,IF(ABS(Y6)=AI6,Y6,IF(ABS(Z6)=AI6,Z6,IF(ABS(AA6)=AI6,AA6,IF(ABS(AB6)=AI6,AB6,IF(ABS(AC6)=AI6,AC6,IF(ABS(AD6)=AI6,AD6,IF(ABS(AE6)=AI6,AE6,IF(ABS(AF6)=AI6,AF6,IF(ABS(AG6)=AI6,AG6,IF(ABS(AH6)=AI6,AH6,"")))))))))))))</f>
        <v>206.02</v>
      </c>
      <c r="AL6" s="0" t="str">
        <f aca="false">IF(R6=1,ABS(L6)-ROW()/100000000,"")</f>
        <v/>
      </c>
    </row>
    <row r="7" customFormat="false" ht="15" hidden="false" customHeight="false" outlineLevel="0" collapsed="false">
      <c r="A7" s="0" t="str">
        <f aca="false">IF('NPV Comparison'!D20="","",'NPV Comparison'!D20)</f>
        <v>P15695</v>
      </c>
      <c r="B7" s="13" t="n">
        <f aca="false">IF('NPV Comparison'!E20="","",'NPV Comparison'!E20)</f>
        <v>2925.49</v>
      </c>
      <c r="C7" s="13" t="n">
        <f aca="false">IF('NPV Comparison'!F20="","",'NPV Comparison'!F20)</f>
        <v>3023.81</v>
      </c>
      <c r="D7" s="0" t="str">
        <f aca="false">IF($A7="","",IFERROR(INDEX(Structure!$E$13:$E$312,MATCH($A7,Structure!$P$13:$P$312,0)),""))</f>
        <v>Riverside Dental Practice</v>
      </c>
      <c r="E7" s="0" t="n">
        <f aca="false">IF($A7="",0,IF(COUNTIF(Structure!$P$13:$P$312,$A7)=0,0,IF(COUNTIFS(Structure!$P$13:$P$312,$A7,Structure!$N$13:$N$312,"&lt;&gt;Zero Hours")=0,1,0)))</f>
        <v>0</v>
      </c>
      <c r="F7" s="0" t="n">
        <f aca="false">IF($A7="",0,1-E7)</f>
        <v>1</v>
      </c>
      <c r="G7" s="0" t="n">
        <f aca="false">IF($A7="",0,IF(COUNTIF('New Starters'!$D$14:$D$73,$A7)&gt;0,1,0))</f>
        <v>0</v>
      </c>
      <c r="H7" s="0" t="n">
        <f aca="false">IF($A7="",0,IF(COUNTIF(Leavers!$D$12:$D$71,$A7)&gt;0,1,0))</f>
        <v>0</v>
      </c>
      <c r="I7" s="0" t="str">
        <f aca="false">IF($A7="","",IFERROR(INDEX('New Starters'!$K$14:$K$73,MATCH($A7,'New Starters'!$D$14:$D$73,0)),IFERROR(INDEX(Leavers!$K$12:$K$71,MATCH($A7,Leavers!$D$12:$D$71,0)),"")))</f>
        <v/>
      </c>
      <c r="J7" s="0" t="n">
        <f aca="false">IF(AND(G7=1,I7&lt;&gt;"",COUNTIF(Leavers!$K$12:$K$71,I7)&gt;0),1,IF(AND(H7=1,I7&lt;&gt;"",COUNTIF('New Starters'!$K$14:$K$73,I7)&gt;0),1,0))</f>
        <v>0</v>
      </c>
      <c r="K7" s="14" t="n">
        <f aca="false">IF(ISNUMBER(SEARCH("Head Office",D7)),'Control Sheet'!$C$6,'Control Sheet'!$C$5)</f>
        <v>0.2</v>
      </c>
      <c r="L7" s="0" t="n">
        <f aca="false">IF(OR($A7="",AND(B7="",C7="")),"",IF(B7="",C7,IF(C7="",-B7,C7-B7)))</f>
        <v>98.3200000000002</v>
      </c>
      <c r="M7" s="0" t="n">
        <f aca="false">IFERROR(L7/B7,"")</f>
        <v>0.0336080451479924</v>
      </c>
      <c r="N7" s="0" t="n">
        <f aca="false">IF($A7="",0,IF(OR(B7="",C7="",C7=0,IF(ISNUMBER(M7),ABS(M7)&gt;K7,FALSE())),1,0))</f>
        <v>0</v>
      </c>
      <c r="O7" s="0" t="n">
        <f aca="false">IF(OR($A7="",L7=""),0,IF(AND(N7=1,ABS(L7)&gt;='Control Sheet'!$C$7,F7=1),1,0))</f>
        <v>0</v>
      </c>
      <c r="P7" s="0" t="str">
        <f aca="false">IF($A7="","",IF(F7=0,"Zero Hours",IF(J7=1,"Explained: Paired transfer",IF(AND(G7=1,H7=0,J7=0),"Explained: Starter",IF(AND(H7=1,G7=0,J7=0),"Explained: Leaver",IF(O7=1,"Review required","OK"))))))</f>
        <v>OK</v>
      </c>
      <c r="Q7" s="0" t="n">
        <f aca="false">IF(AND(F7=1,OR(C7="",C7=0),H7=0,J7=0),1,0)</f>
        <v>0</v>
      </c>
      <c r="R7" s="0" t="n">
        <f aca="false">IF(F7=0,0,IF(P7="Review required",1,IF(AND(P7="Explained: Starter",ISNUMBER(C7),C7&gt;=1500),1,0)))</f>
        <v>0</v>
      </c>
      <c r="S7" s="0" t="str">
        <f aca="false">IF(R7=0,"",IF(Q7=1,"High",IF(AND(P7="Explained: Starter",C7&gt;=1500),"High",IF(ABS(L7)&gt;=2000,"High",IF(ABS(L7)&gt;=500,"Medium","Low")))))</f>
        <v/>
      </c>
      <c r="T7" s="0" t="n">
        <f aca="false">SUMIFS('Payment Breakdown Prior'!$S$15:$S$104,'Payment Breakdown Prior'!$AE$15:$AE$104,$A7)</f>
        <v>3949.41</v>
      </c>
      <c r="U7" s="0" t="n">
        <f aca="false">SUMIFS('Payment Breakdown Current'!$S$15:$S$104,'Payment Breakdown Current'!$AE$15:$AE$104,$A7)</f>
        <v>4082.14</v>
      </c>
      <c r="V7" s="0" t="n">
        <f aca="false">IFERROR((U7-T7)/T7,"")</f>
        <v>0.0336075515076936</v>
      </c>
      <c r="W7" s="0" t="n">
        <f aca="false">(SUMIFS('Payment Breakdown Current'!$S$15:$S$104,'Payment Breakdown Current'!$AE$15:$AE$104,$A7))-(SUMIFS('Payment Breakdown Prior'!$S$15:$S$104,'Payment Breakdown Prior'!$AE$15:$AE$104,$A7))</f>
        <v>132.73</v>
      </c>
      <c r="X7" s="0" t="n">
        <f aca="false">(SUMIFS('Payment Breakdown Current'!$T$15:$T$104,'Payment Breakdown Current'!$AE$15:$AE$104,$A7))-(SUMIFS('Payment Breakdown Prior'!$T$15:$T$104,'Payment Breakdown Prior'!$AE$15:$AE$104,$A7))</f>
        <v>0</v>
      </c>
      <c r="Y7" s="0" t="n">
        <f aca="false">(SUMIFS('Payment Breakdown Current'!$U$15:$U$104,'Payment Breakdown Current'!$AE$15:$AE$104,$A7))-(SUMIFS('Payment Breakdown Prior'!$U$15:$U$104,'Payment Breakdown Prior'!$AE$15:$AE$104,$A7))</f>
        <v>0</v>
      </c>
      <c r="Z7" s="0" t="n">
        <f aca="false">(SUMIFS('Payment Breakdown Current'!$V$15:$V$104,'Payment Breakdown Current'!$AE$15:$AE$104,$A7))-(SUMIFS('Payment Breakdown Prior'!$V$15:$V$104,'Payment Breakdown Prior'!$AE$15:$AE$104,$A7))</f>
        <v>0</v>
      </c>
      <c r="AA7" s="0" t="n">
        <f aca="false">(SUMIFS('Payment Breakdown Current'!$W$15:$W$104,'Payment Breakdown Current'!$AE$15:$AE$104,$A7))-(SUMIFS('Payment Breakdown Prior'!$W$15:$W$104,'Payment Breakdown Prior'!$AE$15:$AE$104,$A7))</f>
        <v>0</v>
      </c>
      <c r="AB7" s="0" t="n">
        <f aca="false">(SUMIFS('Payment Breakdown Current'!$X$15:$X$104,'Payment Breakdown Current'!$AE$15:$AE$104,$A7))-(SUMIFS('Payment Breakdown Prior'!$X$15:$X$104,'Payment Breakdown Prior'!$AE$15:$AE$104,$A7))</f>
        <v>0</v>
      </c>
      <c r="AC7" s="0" t="n">
        <f aca="false">(SUMIFS('Payment Breakdown Current'!$Y$15:$Y$104,'Payment Breakdown Current'!$AE$15:$AE$104,$A7))-(SUMIFS('Payment Breakdown Prior'!$Y$15:$Y$104,'Payment Breakdown Prior'!$AE$15:$AE$104,$A7))</f>
        <v>0</v>
      </c>
      <c r="AD7" s="0" t="n">
        <f aca="false">(SUMIFS('Payment Breakdown Current'!$Z$15:$Z$104,'Payment Breakdown Current'!$AE$15:$AE$104,$A7))-(SUMIFS('Payment Breakdown Prior'!$Z$15:$Z$104,'Payment Breakdown Prior'!$AE$15:$AE$104,$A7))</f>
        <v>0</v>
      </c>
      <c r="AE7" s="0" t="n">
        <f aca="false">(SUMIFS('Payment Breakdown Current'!$AA$15:$AA$104,'Payment Breakdown Current'!$AE$15:$AE$104,$A7))-(SUMIFS('Payment Breakdown Prior'!$AA$15:$AA$104,'Payment Breakdown Prior'!$AE$15:$AE$104,$A7))</f>
        <v>0</v>
      </c>
      <c r="AF7" s="0" t="n">
        <f aca="false">(SUMIFS('Payment Breakdown Current'!$AB$15:$AB$104,'Payment Breakdown Current'!$AE$15:$AE$104,$A7))-(SUMIFS('Payment Breakdown Prior'!$AB$15:$AB$104,'Payment Breakdown Prior'!$AE$15:$AE$104,$A7))</f>
        <v>0</v>
      </c>
      <c r="AG7" s="0" t="n">
        <f aca="false">(SUMIFS('Payment Breakdown Current'!$AC$15:$AC$104,'Payment Breakdown Current'!$AE$15:$AE$104,$A7))-(SUMIFS('Payment Breakdown Prior'!$AC$15:$AC$104,'Payment Breakdown Prior'!$AE$15:$AE$104,$A7))</f>
        <v>0</v>
      </c>
      <c r="AH7" s="0" t="n">
        <f aca="false">(SUMIFS('Payment Breakdown Current'!$AD$15:$AD$104,'Payment Breakdown Current'!$AE$15:$AE$104,$A7))-(SUMIFS('Payment Breakdown Prior'!$AD$15:$AD$104,'Payment Breakdown Prior'!$AE$15:$AE$104,$A7))</f>
        <v>0</v>
      </c>
      <c r="AI7" s="0" t="n">
        <f aca="false">MAX(ABS(W7),ABS(X7),ABS(Y7),ABS(Z7),ABS(AA7),ABS(AB7),ABS(AC7),ABS(AD7),ABS(AE7),ABS(AF7),ABS(AG7),ABS(AH7))</f>
        <v>132.73</v>
      </c>
      <c r="AJ7" s="0" t="str">
        <f aca="false">IF(AI7&lt;0.005,"",IF(ABS(W7)=AI7,W$1,IF(ABS(X7)=AI7,X$1,IF(ABS(Y7)=AI7,Y$1,IF(ABS(Z7)=AI7,Z$1,IF(ABS(AA7)=AI7,AA$1,IF(ABS(AB7)=AI7,AB$1,IF(ABS(AC7)=AI7,AC$1,IF(ABS(AD7)=AI7,AD$1,IF(ABS(AE7)=AI7,AE$1,IF(ABS(AF7)=AI7,AF$1,IF(ABS(AG7)=AI7,AG$1,IF(ABS(AH7)=AI7,AH$1,"")))))))))))))</f>
        <v>Basic Salary</v>
      </c>
      <c r="AK7" s="0" t="n">
        <f aca="false">IF(AI7&lt;0.005,"",IF(ABS(W7)=AI7,W7,IF(ABS(X7)=AI7,X7,IF(ABS(Y7)=AI7,Y7,IF(ABS(Z7)=AI7,Z7,IF(ABS(AA7)=AI7,AA7,IF(ABS(AB7)=AI7,AB7,IF(ABS(AC7)=AI7,AC7,IF(ABS(AD7)=AI7,AD7,IF(ABS(AE7)=AI7,AE7,IF(ABS(AF7)=AI7,AF7,IF(ABS(AG7)=AI7,AG7,IF(ABS(AH7)=AI7,AH7,"")))))))))))))</f>
        <v>132.73</v>
      </c>
      <c r="AL7" s="0" t="str">
        <f aca="false">IF(R7=1,ABS(L7)-ROW()/100000000,"")</f>
        <v/>
      </c>
    </row>
    <row r="8" customFormat="false" ht="15" hidden="false" customHeight="false" outlineLevel="0" collapsed="false">
      <c r="A8" s="0" t="str">
        <f aca="false">IF('NPV Comparison'!D21="","",'NPV Comparison'!D21)</f>
        <v>P92397</v>
      </c>
      <c r="B8" s="13" t="n">
        <f aca="false">IF('NPV Comparison'!E21="","",'NPV Comparison'!E21)</f>
        <v>1541.84</v>
      </c>
      <c r="C8" s="13" t="n">
        <f aca="false">IF('NPV Comparison'!F21="","",'NPV Comparison'!F21)</f>
        <v>1438.52</v>
      </c>
      <c r="D8" s="0" t="str">
        <f aca="false">IF($A8="","",IFERROR(INDEX(Structure!$E$13:$E$312,MATCH($A8,Structure!$P$13:$P$312,0)),""))</f>
        <v>Oakfield Dental Practice</v>
      </c>
      <c r="E8" s="0" t="n">
        <f aca="false">IF($A8="",0,IF(COUNTIF(Structure!$P$13:$P$312,$A8)=0,0,IF(COUNTIFS(Structure!$P$13:$P$312,$A8,Structure!$N$13:$N$312,"&lt;&gt;Zero Hours")=0,1,0)))</f>
        <v>0</v>
      </c>
      <c r="F8" s="0" t="n">
        <f aca="false">IF($A8="",0,1-E8)</f>
        <v>1</v>
      </c>
      <c r="G8" s="0" t="n">
        <f aca="false">IF($A8="",0,IF(COUNTIF('New Starters'!$D$14:$D$73,$A8)&gt;0,1,0))</f>
        <v>0</v>
      </c>
      <c r="H8" s="0" t="n">
        <f aca="false">IF($A8="",0,IF(COUNTIF(Leavers!$D$12:$D$71,$A8)&gt;0,1,0))</f>
        <v>0</v>
      </c>
      <c r="I8" s="0" t="str">
        <f aca="false">IF($A8="","",IFERROR(INDEX('New Starters'!$K$14:$K$73,MATCH($A8,'New Starters'!$D$14:$D$73,0)),IFERROR(INDEX(Leavers!$K$12:$K$71,MATCH($A8,Leavers!$D$12:$D$71,0)),"")))</f>
        <v/>
      </c>
      <c r="J8" s="0" t="n">
        <f aca="false">IF(AND(G8=1,I8&lt;&gt;"",COUNTIF(Leavers!$K$12:$K$71,I8)&gt;0),1,IF(AND(H8=1,I8&lt;&gt;"",COUNTIF('New Starters'!$K$14:$K$73,I8)&gt;0),1,0))</f>
        <v>0</v>
      </c>
      <c r="K8" s="14" t="n">
        <f aca="false">IF(ISNUMBER(SEARCH("Head Office",D8)),'Control Sheet'!$C$6,'Control Sheet'!$C$5)</f>
        <v>0.2</v>
      </c>
      <c r="L8" s="0" t="n">
        <f aca="false">IF(OR($A8="",AND(B8="",C8="")),"",IF(B8="",C8,IF(C8="",-B8,C8-B8)))</f>
        <v>-103.32</v>
      </c>
      <c r="M8" s="0" t="n">
        <f aca="false">IFERROR(L8/B8,"")</f>
        <v>-0.0670108441861671</v>
      </c>
      <c r="N8" s="0" t="n">
        <f aca="false">IF($A8="",0,IF(OR(B8="",C8="",C8=0,IF(ISNUMBER(M8),ABS(M8)&gt;K8,FALSE())),1,0))</f>
        <v>0</v>
      </c>
      <c r="O8" s="0" t="n">
        <f aca="false">IF(OR($A8="",L8=""),0,IF(AND(N8=1,ABS(L8)&gt;='Control Sheet'!$C$7,F8=1),1,0))</f>
        <v>0</v>
      </c>
      <c r="P8" s="0" t="str">
        <f aca="false">IF($A8="","",IF(F8=0,"Zero Hours",IF(J8=1,"Explained: Paired transfer",IF(AND(G8=1,H8=0,J8=0),"Explained: Starter",IF(AND(H8=1,G8=0,J8=0),"Explained: Leaver",IF(O8=1,"Review required","OK"))))))</f>
        <v>OK</v>
      </c>
      <c r="Q8" s="0" t="n">
        <f aca="false">IF(AND(F8=1,OR(C8="",C8=0),H8=0,J8=0),1,0)</f>
        <v>0</v>
      </c>
      <c r="R8" s="0" t="n">
        <f aca="false">IF(F8=0,0,IF(P8="Review required",1,IF(AND(P8="Explained: Starter",ISNUMBER(C8),C8&gt;=1500),1,0)))</f>
        <v>0</v>
      </c>
      <c r="S8" s="0" t="str">
        <f aca="false">IF(R8=0,"",IF(Q8=1,"High",IF(AND(P8="Explained: Starter",C8&gt;=1500),"High",IF(ABS(L8)&gt;=2000,"High",IF(ABS(L8)&gt;=500,"Medium","Low")))))</f>
        <v/>
      </c>
      <c r="T8" s="0" t="n">
        <f aca="false">SUMIFS('Payment Breakdown Prior'!$S$15:$S$104,'Payment Breakdown Prior'!$AE$15:$AE$104,$A8)</f>
        <v>2081.48</v>
      </c>
      <c r="U8" s="0" t="n">
        <f aca="false">SUMIFS('Payment Breakdown Current'!$S$15:$S$104,'Payment Breakdown Current'!$AE$15:$AE$104,$A8)</f>
        <v>1942</v>
      </c>
      <c r="V8" s="0" t="n">
        <f aca="false">IFERROR((U8-T8)/T8,"")</f>
        <v>-0.0670100121067702</v>
      </c>
      <c r="W8" s="0" t="n">
        <f aca="false">(SUMIFS('Payment Breakdown Current'!$S$15:$S$104,'Payment Breakdown Current'!$AE$15:$AE$104,$A8))-(SUMIFS('Payment Breakdown Prior'!$S$15:$S$104,'Payment Breakdown Prior'!$AE$15:$AE$104,$A8))</f>
        <v>-139.48</v>
      </c>
      <c r="X8" s="0" t="n">
        <f aca="false">(SUMIFS('Payment Breakdown Current'!$T$15:$T$104,'Payment Breakdown Current'!$AE$15:$AE$104,$A8))-(SUMIFS('Payment Breakdown Prior'!$T$15:$T$104,'Payment Breakdown Prior'!$AE$15:$AE$104,$A8))</f>
        <v>0</v>
      </c>
      <c r="Y8" s="0" t="n">
        <f aca="false">(SUMIFS('Payment Breakdown Current'!$U$15:$U$104,'Payment Breakdown Current'!$AE$15:$AE$104,$A8))-(SUMIFS('Payment Breakdown Prior'!$U$15:$U$104,'Payment Breakdown Prior'!$AE$15:$AE$104,$A8))</f>
        <v>0</v>
      </c>
      <c r="Z8" s="0" t="n">
        <f aca="false">(SUMIFS('Payment Breakdown Current'!$V$15:$V$104,'Payment Breakdown Current'!$AE$15:$AE$104,$A8))-(SUMIFS('Payment Breakdown Prior'!$V$15:$V$104,'Payment Breakdown Prior'!$AE$15:$AE$104,$A8))</f>
        <v>0</v>
      </c>
      <c r="AA8" s="0" t="n">
        <f aca="false">(SUMIFS('Payment Breakdown Current'!$W$15:$W$104,'Payment Breakdown Current'!$AE$15:$AE$104,$A8))-(SUMIFS('Payment Breakdown Prior'!$W$15:$W$104,'Payment Breakdown Prior'!$AE$15:$AE$104,$A8))</f>
        <v>0</v>
      </c>
      <c r="AB8" s="0" t="n">
        <f aca="false">(SUMIFS('Payment Breakdown Current'!$X$15:$X$104,'Payment Breakdown Current'!$AE$15:$AE$104,$A8))-(SUMIFS('Payment Breakdown Prior'!$X$15:$X$104,'Payment Breakdown Prior'!$AE$15:$AE$104,$A8))</f>
        <v>0</v>
      </c>
      <c r="AC8" s="0" t="n">
        <f aca="false">(SUMIFS('Payment Breakdown Current'!$Y$15:$Y$104,'Payment Breakdown Current'!$AE$15:$AE$104,$A8))-(SUMIFS('Payment Breakdown Prior'!$Y$15:$Y$104,'Payment Breakdown Prior'!$AE$15:$AE$104,$A8))</f>
        <v>0</v>
      </c>
      <c r="AD8" s="0" t="n">
        <f aca="false">(SUMIFS('Payment Breakdown Current'!$Z$15:$Z$104,'Payment Breakdown Current'!$AE$15:$AE$104,$A8))-(SUMIFS('Payment Breakdown Prior'!$Z$15:$Z$104,'Payment Breakdown Prior'!$AE$15:$AE$104,$A8))</f>
        <v>0</v>
      </c>
      <c r="AE8" s="0" t="n">
        <f aca="false">(SUMIFS('Payment Breakdown Current'!$AA$15:$AA$104,'Payment Breakdown Current'!$AE$15:$AE$104,$A8))-(SUMIFS('Payment Breakdown Prior'!$AA$15:$AA$104,'Payment Breakdown Prior'!$AE$15:$AE$104,$A8))</f>
        <v>0</v>
      </c>
      <c r="AF8" s="0" t="n">
        <f aca="false">(SUMIFS('Payment Breakdown Current'!$AB$15:$AB$104,'Payment Breakdown Current'!$AE$15:$AE$104,$A8))-(SUMIFS('Payment Breakdown Prior'!$AB$15:$AB$104,'Payment Breakdown Prior'!$AE$15:$AE$104,$A8))</f>
        <v>0</v>
      </c>
      <c r="AG8" s="0" t="n">
        <f aca="false">(SUMIFS('Payment Breakdown Current'!$AC$15:$AC$104,'Payment Breakdown Current'!$AE$15:$AE$104,$A8))-(SUMIFS('Payment Breakdown Prior'!$AC$15:$AC$104,'Payment Breakdown Prior'!$AE$15:$AE$104,$A8))</f>
        <v>0</v>
      </c>
      <c r="AH8" s="0" t="n">
        <f aca="false">(SUMIFS('Payment Breakdown Current'!$AD$15:$AD$104,'Payment Breakdown Current'!$AE$15:$AE$104,$A8))-(SUMIFS('Payment Breakdown Prior'!$AD$15:$AD$104,'Payment Breakdown Prior'!$AE$15:$AE$104,$A8))</f>
        <v>0</v>
      </c>
      <c r="AI8" s="0" t="n">
        <f aca="false">MAX(ABS(W8),ABS(X8),ABS(Y8),ABS(Z8),ABS(AA8),ABS(AB8),ABS(AC8),ABS(AD8),ABS(AE8),ABS(AF8),ABS(AG8),ABS(AH8))</f>
        <v>139.48</v>
      </c>
      <c r="AJ8" s="0" t="str">
        <f aca="false">IF(AI8&lt;0.005,"",IF(ABS(W8)=AI8,W$1,IF(ABS(X8)=AI8,X$1,IF(ABS(Y8)=AI8,Y$1,IF(ABS(Z8)=AI8,Z$1,IF(ABS(AA8)=AI8,AA$1,IF(ABS(AB8)=AI8,AB$1,IF(ABS(AC8)=AI8,AC$1,IF(ABS(AD8)=AI8,AD$1,IF(ABS(AE8)=AI8,AE$1,IF(ABS(AF8)=AI8,AF$1,IF(ABS(AG8)=AI8,AG$1,IF(ABS(AH8)=AI8,AH$1,"")))))))))))))</f>
        <v>Basic Salary</v>
      </c>
      <c r="AK8" s="0" t="n">
        <f aca="false">IF(AI8&lt;0.005,"",IF(ABS(W8)=AI8,W8,IF(ABS(X8)=AI8,X8,IF(ABS(Y8)=AI8,Y8,IF(ABS(Z8)=AI8,Z8,IF(ABS(AA8)=AI8,AA8,IF(ABS(AB8)=AI8,AB8,IF(ABS(AC8)=AI8,AC8,IF(ABS(AD8)=AI8,AD8,IF(ABS(AE8)=AI8,AE8,IF(ABS(AF8)=AI8,AF8,IF(ABS(AG8)=AI8,AG8,IF(ABS(AH8)=AI8,AH8,"")))))))))))))</f>
        <v>-139.48</v>
      </c>
      <c r="AL8" s="0" t="str">
        <f aca="false">IF(R8=1,ABS(L8)-ROW()/100000000,"")</f>
        <v/>
      </c>
    </row>
    <row r="9" customFormat="false" ht="15" hidden="false" customHeight="false" outlineLevel="0" collapsed="false">
      <c r="A9" s="0" t="str">
        <f aca="false">IF('NPV Comparison'!D22="","",'NPV Comparison'!D22)</f>
        <v>P16006</v>
      </c>
      <c r="B9" s="13" t="n">
        <f aca="false">IF('NPV Comparison'!E22="","",'NPV Comparison'!E22)</f>
        <v>2439.23</v>
      </c>
      <c r="C9" s="13" t="n">
        <f aca="false">IF('NPV Comparison'!F22="","",'NPV Comparison'!F22)</f>
        <v>2466.18</v>
      </c>
      <c r="D9" s="0" t="str">
        <f aca="false">IF($A9="","",IFERROR(INDEX(Structure!$E$13:$E$312,MATCH($A9,Structure!$P$13:$P$312,0)),""))</f>
        <v>Hakim Group Head Office</v>
      </c>
      <c r="E9" s="0" t="n">
        <f aca="false">IF($A9="",0,IF(COUNTIF(Structure!$P$13:$P$312,$A9)=0,0,IF(COUNTIFS(Structure!$P$13:$P$312,$A9,Structure!$N$13:$N$312,"&lt;&gt;Zero Hours")=0,1,0)))</f>
        <v>0</v>
      </c>
      <c r="F9" s="0" t="n">
        <f aca="false">IF($A9="",0,1-E9)</f>
        <v>1</v>
      </c>
      <c r="G9" s="0" t="n">
        <f aca="false">IF($A9="",0,IF(COUNTIF('New Starters'!$D$14:$D$73,$A9)&gt;0,1,0))</f>
        <v>0</v>
      </c>
      <c r="H9" s="0" t="n">
        <f aca="false">IF($A9="",0,IF(COUNTIF(Leavers!$D$12:$D$71,$A9)&gt;0,1,0))</f>
        <v>0</v>
      </c>
      <c r="I9" s="0" t="str">
        <f aca="false">IF($A9="","",IFERROR(INDEX('New Starters'!$K$14:$K$73,MATCH($A9,'New Starters'!$D$14:$D$73,0)),IFERROR(INDEX(Leavers!$K$12:$K$71,MATCH($A9,Leavers!$D$12:$D$71,0)),"")))</f>
        <v/>
      </c>
      <c r="J9" s="0" t="n">
        <f aca="false">IF(AND(G9=1,I9&lt;&gt;"",COUNTIF(Leavers!$K$12:$K$71,I9)&gt;0),1,IF(AND(H9=1,I9&lt;&gt;"",COUNTIF('New Starters'!$K$14:$K$73,I9)&gt;0),1,0))</f>
        <v>0</v>
      </c>
      <c r="K9" s="14" t="n">
        <f aca="false">IF(ISNUMBER(SEARCH("Head Office",D9)),'Control Sheet'!$C$6,'Control Sheet'!$C$5)</f>
        <v>0.05</v>
      </c>
      <c r="L9" s="0" t="n">
        <f aca="false">IF(OR($A9="",AND(B9="",C9="")),"",IF(B9="",C9,IF(C9="",-B9,C9-B9)))</f>
        <v>26.9499999999998</v>
      </c>
      <c r="M9" s="0" t="n">
        <f aca="false">IFERROR(L9/B9,"")</f>
        <v>0.0110485686056665</v>
      </c>
      <c r="N9" s="0" t="n">
        <f aca="false">IF($A9="",0,IF(OR(B9="",C9="",C9=0,IF(ISNUMBER(M9),ABS(M9)&gt;K9,FALSE())),1,0))</f>
        <v>0</v>
      </c>
      <c r="O9" s="0" t="n">
        <f aca="false">IF(OR($A9="",L9=""),0,IF(AND(N9=1,ABS(L9)&gt;='Control Sheet'!$C$7,F9=1),1,0))</f>
        <v>0</v>
      </c>
      <c r="P9" s="0" t="str">
        <f aca="false">IF($A9="","",IF(F9=0,"Zero Hours",IF(J9=1,"Explained: Paired transfer",IF(AND(G9=1,H9=0,J9=0),"Explained: Starter",IF(AND(H9=1,G9=0,J9=0),"Explained: Leaver",IF(O9=1,"Review required","OK"))))))</f>
        <v>OK</v>
      </c>
      <c r="Q9" s="0" t="n">
        <f aca="false">IF(AND(F9=1,OR(C9="",C9=0),H9=0,J9=0),1,0)</f>
        <v>0</v>
      </c>
      <c r="R9" s="0" t="n">
        <f aca="false">IF(F9=0,0,IF(P9="Review required",1,IF(AND(P9="Explained: Starter",ISNUMBER(C9),C9&gt;=1500),1,0)))</f>
        <v>0</v>
      </c>
      <c r="S9" s="0" t="str">
        <f aca="false">IF(R9=0,"",IF(Q9=1,"High",IF(AND(P9="Explained: Starter",C9&gt;=1500),"High",IF(ABS(L9)&gt;=2000,"High",IF(ABS(L9)&gt;=500,"Medium","Low")))))</f>
        <v/>
      </c>
      <c r="T9" s="0" t="n">
        <f aca="false">SUMIFS('Payment Breakdown Prior'!$S$15:$S$104,'Payment Breakdown Prior'!$AE$15:$AE$104,$A9)</f>
        <v>3292.97</v>
      </c>
      <c r="U9" s="0" t="n">
        <f aca="false">SUMIFS('Payment Breakdown Current'!$S$15:$S$104,'Payment Breakdown Current'!$AE$15:$AE$104,$A9)</f>
        <v>3329.34</v>
      </c>
      <c r="V9" s="0" t="n">
        <f aca="false">IFERROR((U9-T9)/T9,"")</f>
        <v>0.0110447407659348</v>
      </c>
      <c r="W9" s="0" t="n">
        <f aca="false">(SUMIFS('Payment Breakdown Current'!$S$15:$S$104,'Payment Breakdown Current'!$AE$15:$AE$104,$A9))-(SUMIFS('Payment Breakdown Prior'!$S$15:$S$104,'Payment Breakdown Prior'!$AE$15:$AE$104,$A9))</f>
        <v>36.3700000000003</v>
      </c>
      <c r="X9" s="0" t="n">
        <f aca="false">(SUMIFS('Payment Breakdown Current'!$T$15:$T$104,'Payment Breakdown Current'!$AE$15:$AE$104,$A9))-(SUMIFS('Payment Breakdown Prior'!$T$15:$T$104,'Payment Breakdown Prior'!$AE$15:$AE$104,$A9))</f>
        <v>0</v>
      </c>
      <c r="Y9" s="0" t="n">
        <f aca="false">(SUMIFS('Payment Breakdown Current'!$U$15:$U$104,'Payment Breakdown Current'!$AE$15:$AE$104,$A9))-(SUMIFS('Payment Breakdown Prior'!$U$15:$U$104,'Payment Breakdown Prior'!$AE$15:$AE$104,$A9))</f>
        <v>0</v>
      </c>
      <c r="Z9" s="0" t="n">
        <f aca="false">(SUMIFS('Payment Breakdown Current'!$V$15:$V$104,'Payment Breakdown Current'!$AE$15:$AE$104,$A9))-(SUMIFS('Payment Breakdown Prior'!$V$15:$V$104,'Payment Breakdown Prior'!$AE$15:$AE$104,$A9))</f>
        <v>0</v>
      </c>
      <c r="AA9" s="0" t="n">
        <f aca="false">(SUMIFS('Payment Breakdown Current'!$W$15:$W$104,'Payment Breakdown Current'!$AE$15:$AE$104,$A9))-(SUMIFS('Payment Breakdown Prior'!$W$15:$W$104,'Payment Breakdown Prior'!$AE$15:$AE$104,$A9))</f>
        <v>0</v>
      </c>
      <c r="AB9" s="0" t="n">
        <f aca="false">(SUMIFS('Payment Breakdown Current'!$X$15:$X$104,'Payment Breakdown Current'!$AE$15:$AE$104,$A9))-(SUMIFS('Payment Breakdown Prior'!$X$15:$X$104,'Payment Breakdown Prior'!$AE$15:$AE$104,$A9))</f>
        <v>0</v>
      </c>
      <c r="AC9" s="0" t="n">
        <f aca="false">(SUMIFS('Payment Breakdown Current'!$Y$15:$Y$104,'Payment Breakdown Current'!$AE$15:$AE$104,$A9))-(SUMIFS('Payment Breakdown Prior'!$Y$15:$Y$104,'Payment Breakdown Prior'!$AE$15:$AE$104,$A9))</f>
        <v>0</v>
      </c>
      <c r="AD9" s="0" t="n">
        <f aca="false">(SUMIFS('Payment Breakdown Current'!$Z$15:$Z$104,'Payment Breakdown Current'!$AE$15:$AE$104,$A9))-(SUMIFS('Payment Breakdown Prior'!$Z$15:$Z$104,'Payment Breakdown Prior'!$AE$15:$AE$104,$A9))</f>
        <v>0</v>
      </c>
      <c r="AE9" s="0" t="n">
        <f aca="false">(SUMIFS('Payment Breakdown Current'!$AA$15:$AA$104,'Payment Breakdown Current'!$AE$15:$AE$104,$A9))-(SUMIFS('Payment Breakdown Prior'!$AA$15:$AA$104,'Payment Breakdown Prior'!$AE$15:$AE$104,$A9))</f>
        <v>0</v>
      </c>
      <c r="AF9" s="0" t="n">
        <f aca="false">(SUMIFS('Payment Breakdown Current'!$AB$15:$AB$104,'Payment Breakdown Current'!$AE$15:$AE$104,$A9))-(SUMIFS('Payment Breakdown Prior'!$AB$15:$AB$104,'Payment Breakdown Prior'!$AE$15:$AE$104,$A9))</f>
        <v>0</v>
      </c>
      <c r="AG9" s="0" t="n">
        <f aca="false">(SUMIFS('Payment Breakdown Current'!$AC$15:$AC$104,'Payment Breakdown Current'!$AE$15:$AE$104,$A9))-(SUMIFS('Payment Breakdown Prior'!$AC$15:$AC$104,'Payment Breakdown Prior'!$AE$15:$AE$104,$A9))</f>
        <v>0</v>
      </c>
      <c r="AH9" s="0" t="n">
        <f aca="false">(SUMIFS('Payment Breakdown Current'!$AD$15:$AD$104,'Payment Breakdown Current'!$AE$15:$AE$104,$A9))-(SUMIFS('Payment Breakdown Prior'!$AD$15:$AD$104,'Payment Breakdown Prior'!$AE$15:$AE$104,$A9))</f>
        <v>0</v>
      </c>
      <c r="AI9" s="0" t="n">
        <f aca="false">MAX(ABS(W9),ABS(X9),ABS(Y9),ABS(Z9),ABS(AA9),ABS(AB9),ABS(AC9),ABS(AD9),ABS(AE9),ABS(AF9),ABS(AG9),ABS(AH9))</f>
        <v>36.3700000000003</v>
      </c>
      <c r="AJ9" s="0" t="str">
        <f aca="false">IF(AI9&lt;0.005,"",IF(ABS(W9)=AI9,W$1,IF(ABS(X9)=AI9,X$1,IF(ABS(Y9)=AI9,Y$1,IF(ABS(Z9)=AI9,Z$1,IF(ABS(AA9)=AI9,AA$1,IF(ABS(AB9)=AI9,AB$1,IF(ABS(AC9)=AI9,AC$1,IF(ABS(AD9)=AI9,AD$1,IF(ABS(AE9)=AI9,AE$1,IF(ABS(AF9)=AI9,AF$1,IF(ABS(AG9)=AI9,AG$1,IF(ABS(AH9)=AI9,AH$1,"")))))))))))))</f>
        <v>Basic Salary</v>
      </c>
      <c r="AK9" s="0" t="n">
        <f aca="false">IF(AI9&lt;0.005,"",IF(ABS(W9)=AI9,W9,IF(ABS(X9)=AI9,X9,IF(ABS(Y9)=AI9,Y9,IF(ABS(Z9)=AI9,Z9,IF(ABS(AA9)=AI9,AA9,IF(ABS(AB9)=AI9,AB9,IF(ABS(AC9)=AI9,AC9,IF(ABS(AD9)=AI9,AD9,IF(ABS(AE9)=AI9,AE9,IF(ABS(AF9)=AI9,AF9,IF(ABS(AG9)=AI9,AG9,IF(ABS(AH9)=AI9,AH9,"")))))))))))))</f>
        <v>36.3700000000003</v>
      </c>
      <c r="AL9" s="0" t="str">
        <f aca="false">IF(R9=1,ABS(L9)-ROW()/100000000,"")</f>
        <v/>
      </c>
    </row>
    <row r="10" customFormat="false" ht="15" hidden="false" customHeight="false" outlineLevel="0" collapsed="false">
      <c r="A10" s="0" t="str">
        <f aca="false">IF('NPV Comparison'!D23="","",'NPV Comparison'!D23)</f>
        <v>P59823</v>
      </c>
      <c r="B10" s="13" t="n">
        <f aca="false">IF('NPV Comparison'!E23="","",'NPV Comparison'!E23)</f>
        <v>2939.57</v>
      </c>
      <c r="C10" s="13" t="n">
        <f aca="false">IF('NPV Comparison'!F23="","",'NPV Comparison'!F23)</f>
        <v>3288.62</v>
      </c>
      <c r="D10" s="0" t="str">
        <f aca="false">IF($A10="","",IFERROR(INDEX(Structure!$E$13:$E$312,MATCH($A10,Structure!$P$13:$P$312,0)),""))</f>
        <v>Kings Road Dental Practice</v>
      </c>
      <c r="E10" s="0" t="n">
        <f aca="false">IF($A10="",0,IF(COUNTIF(Structure!$P$13:$P$312,$A10)=0,0,IF(COUNTIFS(Structure!$P$13:$P$312,$A10,Structure!$N$13:$N$312,"&lt;&gt;Zero Hours")=0,1,0)))</f>
        <v>0</v>
      </c>
      <c r="F10" s="0" t="n">
        <f aca="false">IF($A10="",0,1-E10)</f>
        <v>1</v>
      </c>
      <c r="G10" s="0" t="n">
        <f aca="false">IF($A10="",0,IF(COUNTIF('New Starters'!$D$14:$D$73,$A10)&gt;0,1,0))</f>
        <v>0</v>
      </c>
      <c r="H10" s="0" t="n">
        <f aca="false">IF($A10="",0,IF(COUNTIF(Leavers!$D$12:$D$71,$A10)&gt;0,1,0))</f>
        <v>0</v>
      </c>
      <c r="I10" s="0" t="str">
        <f aca="false">IF($A10="","",IFERROR(INDEX('New Starters'!$K$14:$K$73,MATCH($A10,'New Starters'!$D$14:$D$73,0)),IFERROR(INDEX(Leavers!$K$12:$K$71,MATCH($A10,Leavers!$D$12:$D$71,0)),"")))</f>
        <v/>
      </c>
      <c r="J10" s="0" t="n">
        <f aca="false">IF(AND(G10=1,I10&lt;&gt;"",COUNTIF(Leavers!$K$12:$K$71,I10)&gt;0),1,IF(AND(H10=1,I10&lt;&gt;"",COUNTIF('New Starters'!$K$14:$K$73,I10)&gt;0),1,0))</f>
        <v>0</v>
      </c>
      <c r="K10" s="14" t="n">
        <f aca="false">IF(ISNUMBER(SEARCH("Head Office",D10)),'Control Sheet'!$C$6,'Control Sheet'!$C$5)</f>
        <v>0.2</v>
      </c>
      <c r="L10" s="0" t="n">
        <f aca="false">IF(OR($A10="",AND(B10="",C10="")),"",IF(B10="",C10,IF(C10="",-B10,C10-B10)))</f>
        <v>349.05</v>
      </c>
      <c r="M10" s="0" t="n">
        <f aca="false">IFERROR(L10/B10,"")</f>
        <v>0.118741856802185</v>
      </c>
      <c r="N10" s="0" t="n">
        <f aca="false">IF($A10="",0,IF(OR(B10="",C10="",C10=0,IF(ISNUMBER(M10),ABS(M10)&gt;K10,FALSE())),1,0))</f>
        <v>0</v>
      </c>
      <c r="O10" s="0" t="n">
        <f aca="false">IF(OR($A10="",L10=""),0,IF(AND(N10=1,ABS(L10)&gt;='Control Sheet'!$C$7,F10=1),1,0))</f>
        <v>0</v>
      </c>
      <c r="P10" s="0" t="str">
        <f aca="false">IF($A10="","",IF(F10=0,"Zero Hours",IF(J10=1,"Explained: Paired transfer",IF(AND(G10=1,H10=0,J10=0),"Explained: Starter",IF(AND(H10=1,G10=0,J10=0),"Explained: Leaver",IF(O10=1,"Review required","OK"))))))</f>
        <v>OK</v>
      </c>
      <c r="Q10" s="0" t="n">
        <f aca="false">IF(AND(F10=1,OR(C10="",C10=0),H10=0,J10=0),1,0)</f>
        <v>0</v>
      </c>
      <c r="R10" s="0" t="n">
        <f aca="false">IF(F10=0,0,IF(P10="Review required",1,IF(AND(P10="Explained: Starter",ISNUMBER(C10),C10&gt;=1500),1,0)))</f>
        <v>0</v>
      </c>
      <c r="S10" s="0" t="str">
        <f aca="false">IF(R10=0,"",IF(Q10=1,"High",IF(AND(P10="Explained: Starter",C10&gt;=1500),"High",IF(ABS(L10)&gt;=2000,"High",IF(ABS(L10)&gt;=500,"Medium","Low")))))</f>
        <v/>
      </c>
      <c r="T10" s="0" t="n">
        <f aca="false">SUMIFS('Payment Breakdown Prior'!$S$15:$S$104,'Payment Breakdown Prior'!$AE$15:$AE$104,$A10)</f>
        <v>3968.42</v>
      </c>
      <c r="U10" s="0" t="n">
        <f aca="false">SUMIFS('Payment Breakdown Current'!$S$15:$S$104,'Payment Breakdown Current'!$AE$15:$AE$104,$A10)</f>
        <v>4439.64</v>
      </c>
      <c r="V10" s="0" t="n">
        <f aca="false">IFERROR((U10-T10)/T10,"")</f>
        <v>0.118742471814979</v>
      </c>
      <c r="W10" s="0" t="n">
        <f aca="false">(SUMIFS('Payment Breakdown Current'!$S$15:$S$104,'Payment Breakdown Current'!$AE$15:$AE$104,$A10))-(SUMIFS('Payment Breakdown Prior'!$S$15:$S$104,'Payment Breakdown Prior'!$AE$15:$AE$104,$A10))</f>
        <v>471.22</v>
      </c>
      <c r="X10" s="0" t="n">
        <f aca="false">(SUMIFS('Payment Breakdown Current'!$T$15:$T$104,'Payment Breakdown Current'!$AE$15:$AE$104,$A10))-(SUMIFS('Payment Breakdown Prior'!$T$15:$T$104,'Payment Breakdown Prior'!$AE$15:$AE$104,$A10))</f>
        <v>0</v>
      </c>
      <c r="Y10" s="0" t="n">
        <f aca="false">(SUMIFS('Payment Breakdown Current'!$U$15:$U$104,'Payment Breakdown Current'!$AE$15:$AE$104,$A10))-(SUMIFS('Payment Breakdown Prior'!$U$15:$U$104,'Payment Breakdown Prior'!$AE$15:$AE$104,$A10))</f>
        <v>0</v>
      </c>
      <c r="Z10" s="0" t="n">
        <f aca="false">(SUMIFS('Payment Breakdown Current'!$V$15:$V$104,'Payment Breakdown Current'!$AE$15:$AE$104,$A10))-(SUMIFS('Payment Breakdown Prior'!$V$15:$V$104,'Payment Breakdown Prior'!$AE$15:$AE$104,$A10))</f>
        <v>0</v>
      </c>
      <c r="AA10" s="0" t="n">
        <f aca="false">(SUMIFS('Payment Breakdown Current'!$W$15:$W$104,'Payment Breakdown Current'!$AE$15:$AE$104,$A10))-(SUMIFS('Payment Breakdown Prior'!$W$15:$W$104,'Payment Breakdown Prior'!$AE$15:$AE$104,$A10))</f>
        <v>0</v>
      </c>
      <c r="AB10" s="0" t="n">
        <f aca="false">(SUMIFS('Payment Breakdown Current'!$X$15:$X$104,'Payment Breakdown Current'!$AE$15:$AE$104,$A10))-(SUMIFS('Payment Breakdown Prior'!$X$15:$X$104,'Payment Breakdown Prior'!$AE$15:$AE$104,$A10))</f>
        <v>0</v>
      </c>
      <c r="AC10" s="0" t="n">
        <f aca="false">(SUMIFS('Payment Breakdown Current'!$Y$15:$Y$104,'Payment Breakdown Current'!$AE$15:$AE$104,$A10))-(SUMIFS('Payment Breakdown Prior'!$Y$15:$Y$104,'Payment Breakdown Prior'!$AE$15:$AE$104,$A10))</f>
        <v>0</v>
      </c>
      <c r="AD10" s="0" t="n">
        <f aca="false">(SUMIFS('Payment Breakdown Current'!$Z$15:$Z$104,'Payment Breakdown Current'!$AE$15:$AE$104,$A10))-(SUMIFS('Payment Breakdown Prior'!$Z$15:$Z$104,'Payment Breakdown Prior'!$AE$15:$AE$104,$A10))</f>
        <v>0</v>
      </c>
      <c r="AE10" s="0" t="n">
        <f aca="false">(SUMIFS('Payment Breakdown Current'!$AA$15:$AA$104,'Payment Breakdown Current'!$AE$15:$AE$104,$A10))-(SUMIFS('Payment Breakdown Prior'!$AA$15:$AA$104,'Payment Breakdown Prior'!$AE$15:$AE$104,$A10))</f>
        <v>0</v>
      </c>
      <c r="AF10" s="0" t="n">
        <f aca="false">(SUMIFS('Payment Breakdown Current'!$AB$15:$AB$104,'Payment Breakdown Current'!$AE$15:$AE$104,$A10))-(SUMIFS('Payment Breakdown Prior'!$AB$15:$AB$104,'Payment Breakdown Prior'!$AE$15:$AE$104,$A10))</f>
        <v>0</v>
      </c>
      <c r="AG10" s="0" t="n">
        <f aca="false">(SUMIFS('Payment Breakdown Current'!$AC$15:$AC$104,'Payment Breakdown Current'!$AE$15:$AE$104,$A10))-(SUMIFS('Payment Breakdown Prior'!$AC$15:$AC$104,'Payment Breakdown Prior'!$AE$15:$AE$104,$A10))</f>
        <v>0</v>
      </c>
      <c r="AH10" s="0" t="n">
        <f aca="false">(SUMIFS('Payment Breakdown Current'!$AD$15:$AD$104,'Payment Breakdown Current'!$AE$15:$AE$104,$A10))-(SUMIFS('Payment Breakdown Prior'!$AD$15:$AD$104,'Payment Breakdown Prior'!$AE$15:$AE$104,$A10))</f>
        <v>0</v>
      </c>
      <c r="AI10" s="0" t="n">
        <f aca="false">MAX(ABS(W10),ABS(X10),ABS(Y10),ABS(Z10),ABS(AA10),ABS(AB10),ABS(AC10),ABS(AD10),ABS(AE10),ABS(AF10),ABS(AG10),ABS(AH10))</f>
        <v>471.22</v>
      </c>
      <c r="AJ10" s="0" t="str">
        <f aca="false">IF(AI10&lt;0.005,"",IF(ABS(W10)=AI10,W$1,IF(ABS(X10)=AI10,X$1,IF(ABS(Y10)=AI10,Y$1,IF(ABS(Z10)=AI10,Z$1,IF(ABS(AA10)=AI10,AA$1,IF(ABS(AB10)=AI10,AB$1,IF(ABS(AC10)=AI10,AC$1,IF(ABS(AD10)=AI10,AD$1,IF(ABS(AE10)=AI10,AE$1,IF(ABS(AF10)=AI10,AF$1,IF(ABS(AG10)=AI10,AG$1,IF(ABS(AH10)=AI10,AH$1,"")))))))))))))</f>
        <v>Basic Salary</v>
      </c>
      <c r="AK10" s="0" t="n">
        <f aca="false">IF(AI10&lt;0.005,"",IF(ABS(W10)=AI10,W10,IF(ABS(X10)=AI10,X10,IF(ABS(Y10)=AI10,Y10,IF(ABS(Z10)=AI10,Z10,IF(ABS(AA10)=AI10,AA10,IF(ABS(AB10)=AI10,AB10,IF(ABS(AC10)=AI10,AC10,IF(ABS(AD10)=AI10,AD10,IF(ABS(AE10)=AI10,AE10,IF(ABS(AF10)=AI10,AF10,IF(ABS(AG10)=AI10,AG10,IF(ABS(AH10)=AI10,AH10,"")))))))))))))</f>
        <v>471.22</v>
      </c>
      <c r="AL10" s="0" t="str">
        <f aca="false">IF(R10=1,ABS(L10)-ROW()/100000000,"")</f>
        <v/>
      </c>
    </row>
    <row r="11" customFormat="false" ht="15" hidden="false" customHeight="false" outlineLevel="0" collapsed="false">
      <c r="A11" s="0" t="str">
        <f aca="false">IF('NPV Comparison'!D24="","",'NPV Comparison'!D24)</f>
        <v>P97841</v>
      </c>
      <c r="B11" s="13" t="n">
        <f aca="false">IF('NPV Comparison'!E24="","",'NPV Comparison'!E24)</f>
        <v>1692.78</v>
      </c>
      <c r="C11" s="13" t="n">
        <f aca="false">IF('NPV Comparison'!F24="","",'NPV Comparison'!F24)</f>
        <v>1613.4</v>
      </c>
      <c r="D11" s="0" t="str">
        <f aca="false">IF($A11="","",IFERROR(INDEX(Structure!$E$13:$E$312,MATCH($A11,Structure!$P$13:$P$312,0)),""))</f>
        <v>Elm Park Dental Practice</v>
      </c>
      <c r="E11" s="0" t="n">
        <f aca="false">IF($A11="",0,IF(COUNTIF(Structure!$P$13:$P$312,$A11)=0,0,IF(COUNTIFS(Structure!$P$13:$P$312,$A11,Structure!$N$13:$N$312,"&lt;&gt;Zero Hours")=0,1,0)))</f>
        <v>0</v>
      </c>
      <c r="F11" s="0" t="n">
        <f aca="false">IF($A11="",0,1-E11)</f>
        <v>1</v>
      </c>
      <c r="G11" s="0" t="n">
        <f aca="false">IF($A11="",0,IF(COUNTIF('New Starters'!$D$14:$D$73,$A11)&gt;0,1,0))</f>
        <v>0</v>
      </c>
      <c r="H11" s="0" t="n">
        <f aca="false">IF($A11="",0,IF(COUNTIF(Leavers!$D$12:$D$71,$A11)&gt;0,1,0))</f>
        <v>0</v>
      </c>
      <c r="I11" s="0" t="str">
        <f aca="false">IF($A11="","",IFERROR(INDEX('New Starters'!$K$14:$K$73,MATCH($A11,'New Starters'!$D$14:$D$73,0)),IFERROR(INDEX(Leavers!$K$12:$K$71,MATCH($A11,Leavers!$D$12:$D$71,0)),"")))</f>
        <v/>
      </c>
      <c r="J11" s="0" t="n">
        <f aca="false">IF(AND(G11=1,I11&lt;&gt;"",COUNTIF(Leavers!$K$12:$K$71,I11)&gt;0),1,IF(AND(H11=1,I11&lt;&gt;"",COUNTIF('New Starters'!$K$14:$K$73,I11)&gt;0),1,0))</f>
        <v>0</v>
      </c>
      <c r="K11" s="14" t="n">
        <f aca="false">IF(ISNUMBER(SEARCH("Head Office",D11)),'Control Sheet'!$C$6,'Control Sheet'!$C$5)</f>
        <v>0.2</v>
      </c>
      <c r="L11" s="0" t="n">
        <f aca="false">IF(OR($A11="",AND(B11="",C11="")),"",IF(B11="",C11,IF(C11="",-B11,C11-B11)))</f>
        <v>-79.3799999999999</v>
      </c>
      <c r="M11" s="0" t="n">
        <f aca="false">IFERROR(L11/B11,"")</f>
        <v>-0.0468932761492928</v>
      </c>
      <c r="N11" s="0" t="n">
        <f aca="false">IF($A11="",0,IF(OR(B11="",C11="",C11=0,IF(ISNUMBER(M11),ABS(M11)&gt;K11,FALSE())),1,0))</f>
        <v>0</v>
      </c>
      <c r="O11" s="0" t="n">
        <f aca="false">IF(OR($A11="",L11=""),0,IF(AND(N11=1,ABS(L11)&gt;='Control Sheet'!$C$7,F11=1),1,0))</f>
        <v>0</v>
      </c>
      <c r="P11" s="0" t="str">
        <f aca="false">IF($A11="","",IF(F11=0,"Zero Hours",IF(J11=1,"Explained: Paired transfer",IF(AND(G11=1,H11=0,J11=0),"Explained: Starter",IF(AND(H11=1,G11=0,J11=0),"Explained: Leaver",IF(O11=1,"Review required","OK"))))))</f>
        <v>OK</v>
      </c>
      <c r="Q11" s="0" t="n">
        <f aca="false">IF(AND(F11=1,OR(C11="",C11=0),H11=0,J11=0),1,0)</f>
        <v>0</v>
      </c>
      <c r="R11" s="0" t="n">
        <f aca="false">IF(F11=0,0,IF(P11="Review required",1,IF(AND(P11="Explained: Starter",ISNUMBER(C11),C11&gt;=1500),1,0)))</f>
        <v>0</v>
      </c>
      <c r="S11" s="0" t="str">
        <f aca="false">IF(R11=0,"",IF(Q11=1,"High",IF(AND(P11="Explained: Starter",C11&gt;=1500),"High",IF(ABS(L11)&gt;=2000,"High",IF(ABS(L11)&gt;=500,"Medium","Low")))))</f>
        <v/>
      </c>
      <c r="T11" s="0" t="n">
        <f aca="false">SUMIFS('Payment Breakdown Prior'!$S$15:$S$104,'Payment Breakdown Prior'!$AE$15:$AE$104,$A11)</f>
        <v>2285.25</v>
      </c>
      <c r="U11" s="0" t="n">
        <f aca="false">SUMIFS('Payment Breakdown Current'!$S$15:$S$104,'Payment Breakdown Current'!$AE$15:$AE$104,$A11)</f>
        <v>2178.09</v>
      </c>
      <c r="V11" s="0" t="n">
        <f aca="false">IFERROR((U11-T11)/T11,"")</f>
        <v>-0.0468920249425664</v>
      </c>
      <c r="W11" s="0" t="n">
        <f aca="false">(SUMIFS('Payment Breakdown Current'!$S$15:$S$104,'Payment Breakdown Current'!$AE$15:$AE$104,$A11))-(SUMIFS('Payment Breakdown Prior'!$S$15:$S$104,'Payment Breakdown Prior'!$AE$15:$AE$104,$A11))</f>
        <v>-107.16</v>
      </c>
      <c r="X11" s="0" t="n">
        <f aca="false">(SUMIFS('Payment Breakdown Current'!$T$15:$T$104,'Payment Breakdown Current'!$AE$15:$AE$104,$A11))-(SUMIFS('Payment Breakdown Prior'!$T$15:$T$104,'Payment Breakdown Prior'!$AE$15:$AE$104,$A11))</f>
        <v>0</v>
      </c>
      <c r="Y11" s="0" t="n">
        <f aca="false">(SUMIFS('Payment Breakdown Current'!$U$15:$U$104,'Payment Breakdown Current'!$AE$15:$AE$104,$A11))-(SUMIFS('Payment Breakdown Prior'!$U$15:$U$104,'Payment Breakdown Prior'!$AE$15:$AE$104,$A11))</f>
        <v>0</v>
      </c>
      <c r="Z11" s="0" t="n">
        <f aca="false">(SUMIFS('Payment Breakdown Current'!$V$15:$V$104,'Payment Breakdown Current'!$AE$15:$AE$104,$A11))-(SUMIFS('Payment Breakdown Prior'!$V$15:$V$104,'Payment Breakdown Prior'!$AE$15:$AE$104,$A11))</f>
        <v>0</v>
      </c>
      <c r="AA11" s="0" t="n">
        <f aca="false">(SUMIFS('Payment Breakdown Current'!$W$15:$W$104,'Payment Breakdown Current'!$AE$15:$AE$104,$A11))-(SUMIFS('Payment Breakdown Prior'!$W$15:$W$104,'Payment Breakdown Prior'!$AE$15:$AE$104,$A11))</f>
        <v>0</v>
      </c>
      <c r="AB11" s="0" t="n">
        <f aca="false">(SUMIFS('Payment Breakdown Current'!$X$15:$X$104,'Payment Breakdown Current'!$AE$15:$AE$104,$A11))-(SUMIFS('Payment Breakdown Prior'!$X$15:$X$104,'Payment Breakdown Prior'!$AE$15:$AE$104,$A11))</f>
        <v>0</v>
      </c>
      <c r="AC11" s="0" t="n">
        <f aca="false">(SUMIFS('Payment Breakdown Current'!$Y$15:$Y$104,'Payment Breakdown Current'!$AE$15:$AE$104,$A11))-(SUMIFS('Payment Breakdown Prior'!$Y$15:$Y$104,'Payment Breakdown Prior'!$AE$15:$AE$104,$A11))</f>
        <v>0</v>
      </c>
      <c r="AD11" s="0" t="n">
        <f aca="false">(SUMIFS('Payment Breakdown Current'!$Z$15:$Z$104,'Payment Breakdown Current'!$AE$15:$AE$104,$A11))-(SUMIFS('Payment Breakdown Prior'!$Z$15:$Z$104,'Payment Breakdown Prior'!$AE$15:$AE$104,$A11))</f>
        <v>0</v>
      </c>
      <c r="AE11" s="0" t="n">
        <f aca="false">(SUMIFS('Payment Breakdown Current'!$AA$15:$AA$104,'Payment Breakdown Current'!$AE$15:$AE$104,$A11))-(SUMIFS('Payment Breakdown Prior'!$AA$15:$AA$104,'Payment Breakdown Prior'!$AE$15:$AE$104,$A11))</f>
        <v>0</v>
      </c>
      <c r="AF11" s="0" t="n">
        <f aca="false">(SUMIFS('Payment Breakdown Current'!$AB$15:$AB$104,'Payment Breakdown Current'!$AE$15:$AE$104,$A11))-(SUMIFS('Payment Breakdown Prior'!$AB$15:$AB$104,'Payment Breakdown Prior'!$AE$15:$AE$104,$A11))</f>
        <v>0</v>
      </c>
      <c r="AG11" s="0" t="n">
        <f aca="false">(SUMIFS('Payment Breakdown Current'!$AC$15:$AC$104,'Payment Breakdown Current'!$AE$15:$AE$104,$A11))-(SUMIFS('Payment Breakdown Prior'!$AC$15:$AC$104,'Payment Breakdown Prior'!$AE$15:$AE$104,$A11))</f>
        <v>0</v>
      </c>
      <c r="AH11" s="0" t="n">
        <f aca="false">(SUMIFS('Payment Breakdown Current'!$AD$15:$AD$104,'Payment Breakdown Current'!$AE$15:$AE$104,$A11))-(SUMIFS('Payment Breakdown Prior'!$AD$15:$AD$104,'Payment Breakdown Prior'!$AE$15:$AE$104,$A11))</f>
        <v>0</v>
      </c>
      <c r="AI11" s="0" t="n">
        <f aca="false">MAX(ABS(W11),ABS(X11),ABS(Y11),ABS(Z11),ABS(AA11),ABS(AB11),ABS(AC11),ABS(AD11),ABS(AE11),ABS(AF11),ABS(AG11),ABS(AH11))</f>
        <v>107.16</v>
      </c>
      <c r="AJ11" s="0" t="str">
        <f aca="false">IF(AI11&lt;0.005,"",IF(ABS(W11)=AI11,W$1,IF(ABS(X11)=AI11,X$1,IF(ABS(Y11)=AI11,Y$1,IF(ABS(Z11)=AI11,Z$1,IF(ABS(AA11)=AI11,AA$1,IF(ABS(AB11)=AI11,AB$1,IF(ABS(AC11)=AI11,AC$1,IF(ABS(AD11)=AI11,AD$1,IF(ABS(AE11)=AI11,AE$1,IF(ABS(AF11)=AI11,AF$1,IF(ABS(AG11)=AI11,AG$1,IF(ABS(AH11)=AI11,AH$1,"")))))))))))))</f>
        <v>Basic Salary</v>
      </c>
      <c r="AK11" s="0" t="n">
        <f aca="false">IF(AI11&lt;0.005,"",IF(ABS(W11)=AI11,W11,IF(ABS(X11)=AI11,X11,IF(ABS(Y11)=AI11,Y11,IF(ABS(Z11)=AI11,Z11,IF(ABS(AA11)=AI11,AA11,IF(ABS(AB11)=AI11,AB11,IF(ABS(AC11)=AI11,AC11,IF(ABS(AD11)=AI11,AD11,IF(ABS(AE11)=AI11,AE11,IF(ABS(AF11)=AI11,AF11,IF(ABS(AG11)=AI11,AG11,IF(ABS(AH11)=AI11,AH11,"")))))))))))))</f>
        <v>-107.16</v>
      </c>
      <c r="AL11" s="0" t="str">
        <f aca="false">IF(R11=1,ABS(L11)-ROW()/100000000,"")</f>
        <v/>
      </c>
    </row>
    <row r="12" customFormat="false" ht="15" hidden="false" customHeight="false" outlineLevel="0" collapsed="false">
      <c r="A12" s="0" t="str">
        <f aca="false">IF('NPV Comparison'!D25="","",'NPV Comparison'!D25)</f>
        <v>P32431</v>
      </c>
      <c r="B12" s="13" t="n">
        <f aca="false">IF('NPV Comparison'!E25="","",'NPV Comparison'!E25)</f>
        <v>2566.46</v>
      </c>
      <c r="C12" s="13" t="n">
        <f aca="false">IF('NPV Comparison'!F25="","",'NPV Comparison'!F25)</f>
        <v>2657.21</v>
      </c>
      <c r="D12" s="0" t="str">
        <f aca="false">IF($A12="","",IFERROR(INDEX(Structure!$E$13:$E$312,MATCH($A12,Structure!$P$13:$P$312,0)),""))</f>
        <v>Elm Park Dental Practice</v>
      </c>
      <c r="E12" s="0" t="n">
        <f aca="false">IF($A12="",0,IF(COUNTIF(Structure!$P$13:$P$312,$A12)=0,0,IF(COUNTIFS(Structure!$P$13:$P$312,$A12,Structure!$N$13:$N$312,"&lt;&gt;Zero Hours")=0,1,0)))</f>
        <v>0</v>
      </c>
      <c r="F12" s="0" t="n">
        <f aca="false">IF($A12="",0,1-E12)</f>
        <v>1</v>
      </c>
      <c r="G12" s="0" t="n">
        <f aca="false">IF($A12="",0,IF(COUNTIF('New Starters'!$D$14:$D$73,$A12)&gt;0,1,0))</f>
        <v>0</v>
      </c>
      <c r="H12" s="0" t="n">
        <f aca="false">IF($A12="",0,IF(COUNTIF(Leavers!$D$12:$D$71,$A12)&gt;0,1,0))</f>
        <v>0</v>
      </c>
      <c r="I12" s="0" t="str">
        <f aca="false">IF($A12="","",IFERROR(INDEX('New Starters'!$K$14:$K$73,MATCH($A12,'New Starters'!$D$14:$D$73,0)),IFERROR(INDEX(Leavers!$K$12:$K$71,MATCH($A12,Leavers!$D$12:$D$71,0)),"")))</f>
        <v/>
      </c>
      <c r="J12" s="0" t="n">
        <f aca="false">IF(AND(G12=1,I12&lt;&gt;"",COUNTIF(Leavers!$K$12:$K$71,I12)&gt;0),1,IF(AND(H12=1,I12&lt;&gt;"",COUNTIF('New Starters'!$K$14:$K$73,I12)&gt;0),1,0))</f>
        <v>0</v>
      </c>
      <c r="K12" s="14" t="n">
        <f aca="false">IF(ISNUMBER(SEARCH("Head Office",D12)),'Control Sheet'!$C$6,'Control Sheet'!$C$5)</f>
        <v>0.2</v>
      </c>
      <c r="L12" s="0" t="n">
        <f aca="false">IF(OR($A12="",AND(B12="",C12="")),"",IF(B12="",C12,IF(C12="",-B12,C12-B12)))</f>
        <v>90.75</v>
      </c>
      <c r="M12" s="0" t="n">
        <f aca="false">IFERROR(L12/B12,"")</f>
        <v>0.0353599900251709</v>
      </c>
      <c r="N12" s="0" t="n">
        <f aca="false">IF($A12="",0,IF(OR(B12="",C12="",C12=0,IF(ISNUMBER(M12),ABS(M12)&gt;K12,FALSE())),1,0))</f>
        <v>0</v>
      </c>
      <c r="O12" s="0" t="n">
        <f aca="false">IF(OR($A12="",L12=""),0,IF(AND(N12=1,ABS(L12)&gt;='Control Sheet'!$C$7,F12=1),1,0))</f>
        <v>0</v>
      </c>
      <c r="P12" s="0" t="str">
        <f aca="false">IF($A12="","",IF(F12=0,"Zero Hours",IF(J12=1,"Explained: Paired transfer",IF(AND(G12=1,H12=0,J12=0),"Explained: Starter",IF(AND(H12=1,G12=0,J12=0),"Explained: Leaver",IF(O12=1,"Review required","OK"))))))</f>
        <v>OK</v>
      </c>
      <c r="Q12" s="0" t="n">
        <f aca="false">IF(AND(F12=1,OR(C12="",C12=0),H12=0,J12=0),1,0)</f>
        <v>0</v>
      </c>
      <c r="R12" s="0" t="n">
        <f aca="false">IF(F12=0,0,IF(P12="Review required",1,IF(AND(P12="Explained: Starter",ISNUMBER(C12),C12&gt;=1500),1,0)))</f>
        <v>0</v>
      </c>
      <c r="S12" s="0" t="str">
        <f aca="false">IF(R12=0,"",IF(Q12=1,"High",IF(AND(P12="Explained: Starter",C12&gt;=1500),"High",IF(ABS(L12)&gt;=2000,"High",IF(ABS(L12)&gt;=500,"Medium","Low")))))</f>
        <v/>
      </c>
      <c r="T12" s="0" t="n">
        <f aca="false">SUMIFS('Payment Breakdown Prior'!$S$15:$S$104,'Payment Breakdown Prior'!$AE$15:$AE$104,$A12)</f>
        <v>3464.73</v>
      </c>
      <c r="U12" s="0" t="n">
        <f aca="false">SUMIFS('Payment Breakdown Current'!$S$15:$S$104,'Payment Breakdown Current'!$AE$15:$AE$104,$A12)</f>
        <v>3587.23</v>
      </c>
      <c r="V12" s="0" t="n">
        <f aca="false">IFERROR((U12-T12)/T12,"")</f>
        <v>0.0353562903891501</v>
      </c>
      <c r="W12" s="0" t="n">
        <f aca="false">(SUMIFS('Payment Breakdown Current'!$S$15:$S$104,'Payment Breakdown Current'!$AE$15:$AE$104,$A12))-(SUMIFS('Payment Breakdown Prior'!$S$15:$S$104,'Payment Breakdown Prior'!$AE$15:$AE$104,$A12))</f>
        <v>122.5</v>
      </c>
      <c r="X12" s="0" t="n">
        <f aca="false">(SUMIFS('Payment Breakdown Current'!$T$15:$T$104,'Payment Breakdown Current'!$AE$15:$AE$104,$A12))-(SUMIFS('Payment Breakdown Prior'!$T$15:$T$104,'Payment Breakdown Prior'!$AE$15:$AE$104,$A12))</f>
        <v>0</v>
      </c>
      <c r="Y12" s="0" t="n">
        <f aca="false">(SUMIFS('Payment Breakdown Current'!$U$15:$U$104,'Payment Breakdown Current'!$AE$15:$AE$104,$A12))-(SUMIFS('Payment Breakdown Prior'!$U$15:$U$104,'Payment Breakdown Prior'!$AE$15:$AE$104,$A12))</f>
        <v>0</v>
      </c>
      <c r="Z12" s="0" t="n">
        <f aca="false">(SUMIFS('Payment Breakdown Current'!$V$15:$V$104,'Payment Breakdown Current'!$AE$15:$AE$104,$A12))-(SUMIFS('Payment Breakdown Prior'!$V$15:$V$104,'Payment Breakdown Prior'!$AE$15:$AE$104,$A12))</f>
        <v>0</v>
      </c>
      <c r="AA12" s="0" t="n">
        <f aca="false">(SUMIFS('Payment Breakdown Current'!$W$15:$W$104,'Payment Breakdown Current'!$AE$15:$AE$104,$A12))-(SUMIFS('Payment Breakdown Prior'!$W$15:$W$104,'Payment Breakdown Prior'!$AE$15:$AE$104,$A12))</f>
        <v>0</v>
      </c>
      <c r="AB12" s="0" t="n">
        <f aca="false">(SUMIFS('Payment Breakdown Current'!$X$15:$X$104,'Payment Breakdown Current'!$AE$15:$AE$104,$A12))-(SUMIFS('Payment Breakdown Prior'!$X$15:$X$104,'Payment Breakdown Prior'!$AE$15:$AE$104,$A12))</f>
        <v>0</v>
      </c>
      <c r="AC12" s="0" t="n">
        <f aca="false">(SUMIFS('Payment Breakdown Current'!$Y$15:$Y$104,'Payment Breakdown Current'!$AE$15:$AE$104,$A12))-(SUMIFS('Payment Breakdown Prior'!$Y$15:$Y$104,'Payment Breakdown Prior'!$AE$15:$AE$104,$A12))</f>
        <v>0</v>
      </c>
      <c r="AD12" s="0" t="n">
        <f aca="false">(SUMIFS('Payment Breakdown Current'!$Z$15:$Z$104,'Payment Breakdown Current'!$AE$15:$AE$104,$A12))-(SUMIFS('Payment Breakdown Prior'!$Z$15:$Z$104,'Payment Breakdown Prior'!$AE$15:$AE$104,$A12))</f>
        <v>0</v>
      </c>
      <c r="AE12" s="0" t="n">
        <f aca="false">(SUMIFS('Payment Breakdown Current'!$AA$15:$AA$104,'Payment Breakdown Current'!$AE$15:$AE$104,$A12))-(SUMIFS('Payment Breakdown Prior'!$AA$15:$AA$104,'Payment Breakdown Prior'!$AE$15:$AE$104,$A12))</f>
        <v>0</v>
      </c>
      <c r="AF12" s="0" t="n">
        <f aca="false">(SUMIFS('Payment Breakdown Current'!$AB$15:$AB$104,'Payment Breakdown Current'!$AE$15:$AE$104,$A12))-(SUMIFS('Payment Breakdown Prior'!$AB$15:$AB$104,'Payment Breakdown Prior'!$AE$15:$AE$104,$A12))</f>
        <v>0</v>
      </c>
      <c r="AG12" s="0" t="n">
        <f aca="false">(SUMIFS('Payment Breakdown Current'!$AC$15:$AC$104,'Payment Breakdown Current'!$AE$15:$AE$104,$A12))-(SUMIFS('Payment Breakdown Prior'!$AC$15:$AC$104,'Payment Breakdown Prior'!$AE$15:$AE$104,$A12))</f>
        <v>0</v>
      </c>
      <c r="AH12" s="0" t="n">
        <f aca="false">(SUMIFS('Payment Breakdown Current'!$AD$15:$AD$104,'Payment Breakdown Current'!$AE$15:$AE$104,$A12))-(SUMIFS('Payment Breakdown Prior'!$AD$15:$AD$104,'Payment Breakdown Prior'!$AE$15:$AE$104,$A12))</f>
        <v>0</v>
      </c>
      <c r="AI12" s="0" t="n">
        <f aca="false">MAX(ABS(W12),ABS(X12),ABS(Y12),ABS(Z12),ABS(AA12),ABS(AB12),ABS(AC12),ABS(AD12),ABS(AE12),ABS(AF12),ABS(AG12),ABS(AH12))</f>
        <v>122.5</v>
      </c>
      <c r="AJ12" s="0" t="str">
        <f aca="false">IF(AI12&lt;0.005,"",IF(ABS(W12)=AI12,W$1,IF(ABS(X12)=AI12,X$1,IF(ABS(Y12)=AI12,Y$1,IF(ABS(Z12)=AI12,Z$1,IF(ABS(AA12)=AI12,AA$1,IF(ABS(AB12)=AI12,AB$1,IF(ABS(AC12)=AI12,AC$1,IF(ABS(AD12)=AI12,AD$1,IF(ABS(AE12)=AI12,AE$1,IF(ABS(AF12)=AI12,AF$1,IF(ABS(AG12)=AI12,AG$1,IF(ABS(AH12)=AI12,AH$1,"")))))))))))))</f>
        <v>Basic Salary</v>
      </c>
      <c r="AK12" s="0" t="n">
        <f aca="false">IF(AI12&lt;0.005,"",IF(ABS(W12)=AI12,W12,IF(ABS(X12)=AI12,X12,IF(ABS(Y12)=AI12,Y12,IF(ABS(Z12)=AI12,Z12,IF(ABS(AA12)=AI12,AA12,IF(ABS(AB12)=AI12,AB12,IF(ABS(AC12)=AI12,AC12,IF(ABS(AD12)=AI12,AD12,IF(ABS(AE12)=AI12,AE12,IF(ABS(AF12)=AI12,AF12,IF(ABS(AG12)=AI12,AG12,IF(ABS(AH12)=AI12,AH12,"")))))))))))))</f>
        <v>122.5</v>
      </c>
      <c r="AL12" s="0" t="str">
        <f aca="false">IF(R12=1,ABS(L12)-ROW()/100000000,"")</f>
        <v/>
      </c>
    </row>
    <row r="13" customFormat="false" ht="15" hidden="false" customHeight="false" outlineLevel="0" collapsed="false">
      <c r="A13" s="0" t="str">
        <f aca="false">IF('NPV Comparison'!D26="","",'NPV Comparison'!D26)</f>
        <v>P93886</v>
      </c>
      <c r="B13" s="13" t="n">
        <f aca="false">IF('NPV Comparison'!E26="","",'NPV Comparison'!E26)</f>
        <v>1694.12</v>
      </c>
      <c r="C13" s="13" t="n">
        <f aca="false">IF('NPV Comparison'!F26="","",'NPV Comparison'!F26)</f>
        <v>1683.1</v>
      </c>
      <c r="D13" s="0" t="str">
        <f aca="false">IF($A13="","",IFERROR(INDEX(Structure!$E$13:$E$312,MATCH($A13,Structure!$P$13:$P$312,0)),""))</f>
        <v>Hakim Group Head Office</v>
      </c>
      <c r="E13" s="0" t="n">
        <f aca="false">IF($A13="",0,IF(COUNTIF(Structure!$P$13:$P$312,$A13)=0,0,IF(COUNTIFS(Structure!$P$13:$P$312,$A13,Structure!$N$13:$N$312,"&lt;&gt;Zero Hours")=0,1,0)))</f>
        <v>0</v>
      </c>
      <c r="F13" s="0" t="n">
        <f aca="false">IF($A13="",0,1-E13)</f>
        <v>1</v>
      </c>
      <c r="G13" s="0" t="n">
        <f aca="false">IF($A13="",0,IF(COUNTIF('New Starters'!$D$14:$D$73,$A13)&gt;0,1,0))</f>
        <v>0</v>
      </c>
      <c r="H13" s="0" t="n">
        <f aca="false">IF($A13="",0,IF(COUNTIF(Leavers!$D$12:$D$71,$A13)&gt;0,1,0))</f>
        <v>0</v>
      </c>
      <c r="I13" s="0" t="str">
        <f aca="false">IF($A13="","",IFERROR(INDEX('New Starters'!$K$14:$K$73,MATCH($A13,'New Starters'!$D$14:$D$73,0)),IFERROR(INDEX(Leavers!$K$12:$K$71,MATCH($A13,Leavers!$D$12:$D$71,0)),"")))</f>
        <v/>
      </c>
      <c r="J13" s="0" t="n">
        <f aca="false">IF(AND(G13=1,I13&lt;&gt;"",COUNTIF(Leavers!$K$12:$K$71,I13)&gt;0),1,IF(AND(H13=1,I13&lt;&gt;"",COUNTIF('New Starters'!$K$14:$K$73,I13)&gt;0),1,0))</f>
        <v>0</v>
      </c>
      <c r="K13" s="14" t="n">
        <f aca="false">IF(ISNUMBER(SEARCH("Head Office",D13)),'Control Sheet'!$C$6,'Control Sheet'!$C$5)</f>
        <v>0.05</v>
      </c>
      <c r="L13" s="0" t="n">
        <f aca="false">IF(OR($A13="",AND(B13="",C13="")),"",IF(B13="",C13,IF(C13="",-B13,C13-B13)))</f>
        <v>-11.02</v>
      </c>
      <c r="M13" s="0" t="n">
        <f aca="false">IFERROR(L13/B13,"")</f>
        <v>-0.00650485207659433</v>
      </c>
      <c r="N13" s="0" t="n">
        <f aca="false">IF($A13="",0,IF(OR(B13="",C13="",C13=0,IF(ISNUMBER(M13),ABS(M13)&gt;K13,FALSE())),1,0))</f>
        <v>0</v>
      </c>
      <c r="O13" s="0" t="n">
        <f aca="false">IF(OR($A13="",L13=""),0,IF(AND(N13=1,ABS(L13)&gt;='Control Sheet'!$C$7,F13=1),1,0))</f>
        <v>0</v>
      </c>
      <c r="P13" s="0" t="str">
        <f aca="false">IF($A13="","",IF(F13=0,"Zero Hours",IF(J13=1,"Explained: Paired transfer",IF(AND(G13=1,H13=0,J13=0),"Explained: Starter",IF(AND(H13=1,G13=0,J13=0),"Explained: Leaver",IF(O13=1,"Review required","OK"))))))</f>
        <v>OK</v>
      </c>
      <c r="Q13" s="0" t="n">
        <f aca="false">IF(AND(F13=1,OR(C13="",C13=0),H13=0,J13=0),1,0)</f>
        <v>0</v>
      </c>
      <c r="R13" s="0" t="n">
        <f aca="false">IF(F13=0,0,IF(P13="Review required",1,IF(AND(P13="Explained: Starter",ISNUMBER(C13),C13&gt;=1500),1,0)))</f>
        <v>0</v>
      </c>
      <c r="S13" s="0" t="str">
        <f aca="false">IF(R13=0,"",IF(Q13=1,"High",IF(AND(P13="Explained: Starter",C13&gt;=1500),"High",IF(ABS(L13)&gt;=2000,"High",IF(ABS(L13)&gt;=500,"Medium","Low")))))</f>
        <v/>
      </c>
      <c r="T13" s="0" t="n">
        <f aca="false">SUMIFS('Payment Breakdown Prior'!$S$15:$S$104,'Payment Breakdown Prior'!$AE$15:$AE$104,$A13)</f>
        <v>2287.07</v>
      </c>
      <c r="U13" s="0" t="n">
        <f aca="false">SUMIFS('Payment Breakdown Current'!$S$15:$S$104,'Payment Breakdown Current'!$AE$15:$AE$104,$A13)</f>
        <v>2272.18</v>
      </c>
      <c r="V13" s="0" t="n">
        <f aca="false">IFERROR((U13-T13)/T13,"")</f>
        <v>-0.0065105134517091</v>
      </c>
      <c r="W13" s="0" t="n">
        <f aca="false">(SUMIFS('Payment Breakdown Current'!$S$15:$S$104,'Payment Breakdown Current'!$AE$15:$AE$104,$A13))-(SUMIFS('Payment Breakdown Prior'!$S$15:$S$104,'Payment Breakdown Prior'!$AE$15:$AE$104,$A13))</f>
        <v>-14.8900000000003</v>
      </c>
      <c r="X13" s="0" t="n">
        <f aca="false">(SUMIFS('Payment Breakdown Current'!$T$15:$T$104,'Payment Breakdown Current'!$AE$15:$AE$104,$A13))-(SUMIFS('Payment Breakdown Prior'!$T$15:$T$104,'Payment Breakdown Prior'!$AE$15:$AE$104,$A13))</f>
        <v>0</v>
      </c>
      <c r="Y13" s="0" t="n">
        <f aca="false">(SUMIFS('Payment Breakdown Current'!$U$15:$U$104,'Payment Breakdown Current'!$AE$15:$AE$104,$A13))-(SUMIFS('Payment Breakdown Prior'!$U$15:$U$104,'Payment Breakdown Prior'!$AE$15:$AE$104,$A13))</f>
        <v>0</v>
      </c>
      <c r="Z13" s="0" t="n">
        <f aca="false">(SUMIFS('Payment Breakdown Current'!$V$15:$V$104,'Payment Breakdown Current'!$AE$15:$AE$104,$A13))-(SUMIFS('Payment Breakdown Prior'!$V$15:$V$104,'Payment Breakdown Prior'!$AE$15:$AE$104,$A13))</f>
        <v>0</v>
      </c>
      <c r="AA13" s="0" t="n">
        <f aca="false">(SUMIFS('Payment Breakdown Current'!$W$15:$W$104,'Payment Breakdown Current'!$AE$15:$AE$104,$A13))-(SUMIFS('Payment Breakdown Prior'!$W$15:$W$104,'Payment Breakdown Prior'!$AE$15:$AE$104,$A13))</f>
        <v>0</v>
      </c>
      <c r="AB13" s="0" t="n">
        <f aca="false">(SUMIFS('Payment Breakdown Current'!$X$15:$X$104,'Payment Breakdown Current'!$AE$15:$AE$104,$A13))-(SUMIFS('Payment Breakdown Prior'!$X$15:$X$104,'Payment Breakdown Prior'!$AE$15:$AE$104,$A13))</f>
        <v>0</v>
      </c>
      <c r="AC13" s="0" t="n">
        <f aca="false">(SUMIFS('Payment Breakdown Current'!$Y$15:$Y$104,'Payment Breakdown Current'!$AE$15:$AE$104,$A13))-(SUMIFS('Payment Breakdown Prior'!$Y$15:$Y$104,'Payment Breakdown Prior'!$AE$15:$AE$104,$A13))</f>
        <v>0</v>
      </c>
      <c r="AD13" s="0" t="n">
        <f aca="false">(SUMIFS('Payment Breakdown Current'!$Z$15:$Z$104,'Payment Breakdown Current'!$AE$15:$AE$104,$A13))-(SUMIFS('Payment Breakdown Prior'!$Z$15:$Z$104,'Payment Breakdown Prior'!$AE$15:$AE$104,$A13))</f>
        <v>0</v>
      </c>
      <c r="AE13" s="0" t="n">
        <f aca="false">(SUMIFS('Payment Breakdown Current'!$AA$15:$AA$104,'Payment Breakdown Current'!$AE$15:$AE$104,$A13))-(SUMIFS('Payment Breakdown Prior'!$AA$15:$AA$104,'Payment Breakdown Prior'!$AE$15:$AE$104,$A13))</f>
        <v>0</v>
      </c>
      <c r="AF13" s="0" t="n">
        <f aca="false">(SUMIFS('Payment Breakdown Current'!$AB$15:$AB$104,'Payment Breakdown Current'!$AE$15:$AE$104,$A13))-(SUMIFS('Payment Breakdown Prior'!$AB$15:$AB$104,'Payment Breakdown Prior'!$AE$15:$AE$104,$A13))</f>
        <v>0</v>
      </c>
      <c r="AG13" s="0" t="n">
        <f aca="false">(SUMIFS('Payment Breakdown Current'!$AC$15:$AC$104,'Payment Breakdown Current'!$AE$15:$AE$104,$A13))-(SUMIFS('Payment Breakdown Prior'!$AC$15:$AC$104,'Payment Breakdown Prior'!$AE$15:$AE$104,$A13))</f>
        <v>0</v>
      </c>
      <c r="AH13" s="0" t="n">
        <f aca="false">(SUMIFS('Payment Breakdown Current'!$AD$15:$AD$104,'Payment Breakdown Current'!$AE$15:$AE$104,$A13))-(SUMIFS('Payment Breakdown Prior'!$AD$15:$AD$104,'Payment Breakdown Prior'!$AE$15:$AE$104,$A13))</f>
        <v>0</v>
      </c>
      <c r="AI13" s="0" t="n">
        <f aca="false">MAX(ABS(W13),ABS(X13),ABS(Y13),ABS(Z13),ABS(AA13),ABS(AB13),ABS(AC13),ABS(AD13),ABS(AE13),ABS(AF13),ABS(AG13),ABS(AH13))</f>
        <v>14.8900000000003</v>
      </c>
      <c r="AJ13" s="0" t="str">
        <f aca="false">IF(AI13&lt;0.005,"",IF(ABS(W13)=AI13,W$1,IF(ABS(X13)=AI13,X$1,IF(ABS(Y13)=AI13,Y$1,IF(ABS(Z13)=AI13,Z$1,IF(ABS(AA13)=AI13,AA$1,IF(ABS(AB13)=AI13,AB$1,IF(ABS(AC13)=AI13,AC$1,IF(ABS(AD13)=AI13,AD$1,IF(ABS(AE13)=AI13,AE$1,IF(ABS(AF13)=AI13,AF$1,IF(ABS(AG13)=AI13,AG$1,IF(ABS(AH13)=AI13,AH$1,"")))))))))))))</f>
        <v>Basic Salary</v>
      </c>
      <c r="AK13" s="0" t="n">
        <f aca="false">IF(AI13&lt;0.005,"",IF(ABS(W13)=AI13,W13,IF(ABS(X13)=AI13,X13,IF(ABS(Y13)=AI13,Y13,IF(ABS(Z13)=AI13,Z13,IF(ABS(AA13)=AI13,AA13,IF(ABS(AB13)=AI13,AB13,IF(ABS(AC13)=AI13,AC13,IF(ABS(AD13)=AI13,AD13,IF(ABS(AE13)=AI13,AE13,IF(ABS(AF13)=AI13,AF13,IF(ABS(AG13)=AI13,AG13,IF(ABS(AH13)=AI13,AH13,"")))))))))))))</f>
        <v>-14.8900000000003</v>
      </c>
      <c r="AL13" s="0" t="str">
        <f aca="false">IF(R13=1,ABS(L13)-ROW()/100000000,"")</f>
        <v/>
      </c>
    </row>
    <row r="14" customFormat="false" ht="15" hidden="false" customHeight="false" outlineLevel="0" collapsed="false">
      <c r="A14" s="0" t="str">
        <f aca="false">IF('NPV Comparison'!D27="","",'NPV Comparison'!D27)</f>
        <v>P17331</v>
      </c>
      <c r="B14" s="13" t="n">
        <f aca="false">IF('NPV Comparison'!E27="","",'NPV Comparison'!E27)</f>
        <v>2632.31</v>
      </c>
      <c r="C14" s="13" t="n">
        <f aca="false">IF('NPV Comparison'!F27="","",'NPV Comparison'!F27)</f>
        <v>2681.04</v>
      </c>
      <c r="D14" s="0" t="str">
        <f aca="false">IF($A14="","",IFERROR(INDEX(Structure!$E$13:$E$312,MATCH($A14,Structure!$P$13:$P$312,0)),""))</f>
        <v>Hakim Group Head Office</v>
      </c>
      <c r="E14" s="0" t="n">
        <f aca="false">IF($A14="",0,IF(COUNTIF(Structure!$P$13:$P$312,$A14)=0,0,IF(COUNTIFS(Structure!$P$13:$P$312,$A14,Structure!$N$13:$N$312,"&lt;&gt;Zero Hours")=0,1,0)))</f>
        <v>0</v>
      </c>
      <c r="F14" s="0" t="n">
        <f aca="false">IF($A14="",0,1-E14)</f>
        <v>1</v>
      </c>
      <c r="G14" s="0" t="n">
        <f aca="false">IF($A14="",0,IF(COUNTIF('New Starters'!$D$14:$D$73,$A14)&gt;0,1,0))</f>
        <v>0</v>
      </c>
      <c r="H14" s="0" t="n">
        <f aca="false">IF($A14="",0,IF(COUNTIF(Leavers!$D$12:$D$71,$A14)&gt;0,1,0))</f>
        <v>0</v>
      </c>
      <c r="I14" s="0" t="str">
        <f aca="false">IF($A14="","",IFERROR(INDEX('New Starters'!$K$14:$K$73,MATCH($A14,'New Starters'!$D$14:$D$73,0)),IFERROR(INDEX(Leavers!$K$12:$K$71,MATCH($A14,Leavers!$D$12:$D$71,0)),"")))</f>
        <v/>
      </c>
      <c r="J14" s="0" t="n">
        <f aca="false">IF(AND(G14=1,I14&lt;&gt;"",COUNTIF(Leavers!$K$12:$K$71,I14)&gt;0),1,IF(AND(H14=1,I14&lt;&gt;"",COUNTIF('New Starters'!$K$14:$K$73,I14)&gt;0),1,0))</f>
        <v>0</v>
      </c>
      <c r="K14" s="14" t="n">
        <f aca="false">IF(ISNUMBER(SEARCH("Head Office",D14)),'Control Sheet'!$C$6,'Control Sheet'!$C$5)</f>
        <v>0.05</v>
      </c>
      <c r="L14" s="0" t="n">
        <f aca="false">IF(OR($A14="",AND(B14="",C14="")),"",IF(B14="",C14,IF(C14="",-B14,C14-B14)))</f>
        <v>48.73</v>
      </c>
      <c r="M14" s="0" t="n">
        <f aca="false">IFERROR(L14/B14,"")</f>
        <v>0.0185122572949235</v>
      </c>
      <c r="N14" s="0" t="n">
        <f aca="false">IF($A14="",0,IF(OR(B14="",C14="",C14=0,IF(ISNUMBER(M14),ABS(M14)&gt;K14,FALSE())),1,0))</f>
        <v>0</v>
      </c>
      <c r="O14" s="0" t="n">
        <f aca="false">IF(OR($A14="",L14=""),0,IF(AND(N14=1,ABS(L14)&gt;='Control Sheet'!$C$7,F14=1),1,0))</f>
        <v>0</v>
      </c>
      <c r="P14" s="0" t="str">
        <f aca="false">IF($A14="","",IF(F14=0,"Zero Hours",IF(J14=1,"Explained: Paired transfer",IF(AND(G14=1,H14=0,J14=0),"Explained: Starter",IF(AND(H14=1,G14=0,J14=0),"Explained: Leaver",IF(O14=1,"Review required","OK"))))))</f>
        <v>OK</v>
      </c>
      <c r="Q14" s="0" t="n">
        <f aca="false">IF(AND(F14=1,OR(C14="",C14=0),H14=0,J14=0),1,0)</f>
        <v>0</v>
      </c>
      <c r="R14" s="0" t="n">
        <f aca="false">IF(F14=0,0,IF(P14="Review required",1,IF(AND(P14="Explained: Starter",ISNUMBER(C14),C14&gt;=1500),1,0)))</f>
        <v>0</v>
      </c>
      <c r="S14" s="0" t="str">
        <f aca="false">IF(R14=0,"",IF(Q14=1,"High",IF(AND(P14="Explained: Starter",C14&gt;=1500),"High",IF(ABS(L14)&gt;=2000,"High",IF(ABS(L14)&gt;=500,"Medium","Low")))))</f>
        <v/>
      </c>
      <c r="T14" s="0" t="n">
        <f aca="false">SUMIFS('Payment Breakdown Prior'!$S$15:$S$104,'Payment Breakdown Prior'!$AE$15:$AE$104,$A14)</f>
        <v>3553.61</v>
      </c>
      <c r="U14" s="0" t="n">
        <f aca="false">SUMIFS('Payment Breakdown Current'!$S$15:$S$104,'Payment Breakdown Current'!$AE$15:$AE$104,$A14)</f>
        <v>3619.4</v>
      </c>
      <c r="V14" s="0" t="n">
        <f aca="false">IFERROR((U14-T14)/T14,"")</f>
        <v>0.0185135678929314</v>
      </c>
      <c r="W14" s="0" t="n">
        <f aca="false">(SUMIFS('Payment Breakdown Current'!$S$15:$S$104,'Payment Breakdown Current'!$AE$15:$AE$104,$A14))-(SUMIFS('Payment Breakdown Prior'!$S$15:$S$104,'Payment Breakdown Prior'!$AE$15:$AE$104,$A14))</f>
        <v>65.79</v>
      </c>
      <c r="X14" s="0" t="n">
        <f aca="false">(SUMIFS('Payment Breakdown Current'!$T$15:$T$104,'Payment Breakdown Current'!$AE$15:$AE$104,$A14))-(SUMIFS('Payment Breakdown Prior'!$T$15:$T$104,'Payment Breakdown Prior'!$AE$15:$AE$104,$A14))</f>
        <v>0</v>
      </c>
      <c r="Y14" s="0" t="n">
        <f aca="false">(SUMIFS('Payment Breakdown Current'!$U$15:$U$104,'Payment Breakdown Current'!$AE$15:$AE$104,$A14))-(SUMIFS('Payment Breakdown Prior'!$U$15:$U$104,'Payment Breakdown Prior'!$AE$15:$AE$104,$A14))</f>
        <v>0</v>
      </c>
      <c r="Z14" s="0" t="n">
        <f aca="false">(SUMIFS('Payment Breakdown Current'!$V$15:$V$104,'Payment Breakdown Current'!$AE$15:$AE$104,$A14))-(SUMIFS('Payment Breakdown Prior'!$V$15:$V$104,'Payment Breakdown Prior'!$AE$15:$AE$104,$A14))</f>
        <v>0</v>
      </c>
      <c r="AA14" s="0" t="n">
        <f aca="false">(SUMIFS('Payment Breakdown Current'!$W$15:$W$104,'Payment Breakdown Current'!$AE$15:$AE$104,$A14))-(SUMIFS('Payment Breakdown Prior'!$W$15:$W$104,'Payment Breakdown Prior'!$AE$15:$AE$104,$A14))</f>
        <v>0</v>
      </c>
      <c r="AB14" s="0" t="n">
        <f aca="false">(SUMIFS('Payment Breakdown Current'!$X$15:$X$104,'Payment Breakdown Current'!$AE$15:$AE$104,$A14))-(SUMIFS('Payment Breakdown Prior'!$X$15:$X$104,'Payment Breakdown Prior'!$AE$15:$AE$104,$A14))</f>
        <v>0</v>
      </c>
      <c r="AC14" s="0" t="n">
        <f aca="false">(SUMIFS('Payment Breakdown Current'!$Y$15:$Y$104,'Payment Breakdown Current'!$AE$15:$AE$104,$A14))-(SUMIFS('Payment Breakdown Prior'!$Y$15:$Y$104,'Payment Breakdown Prior'!$AE$15:$AE$104,$A14))</f>
        <v>0</v>
      </c>
      <c r="AD14" s="0" t="n">
        <f aca="false">(SUMIFS('Payment Breakdown Current'!$Z$15:$Z$104,'Payment Breakdown Current'!$AE$15:$AE$104,$A14))-(SUMIFS('Payment Breakdown Prior'!$Z$15:$Z$104,'Payment Breakdown Prior'!$AE$15:$AE$104,$A14))</f>
        <v>0</v>
      </c>
      <c r="AE14" s="0" t="n">
        <f aca="false">(SUMIFS('Payment Breakdown Current'!$AA$15:$AA$104,'Payment Breakdown Current'!$AE$15:$AE$104,$A14))-(SUMIFS('Payment Breakdown Prior'!$AA$15:$AA$104,'Payment Breakdown Prior'!$AE$15:$AE$104,$A14))</f>
        <v>0</v>
      </c>
      <c r="AF14" s="0" t="n">
        <f aca="false">(SUMIFS('Payment Breakdown Current'!$AB$15:$AB$104,'Payment Breakdown Current'!$AE$15:$AE$104,$A14))-(SUMIFS('Payment Breakdown Prior'!$AB$15:$AB$104,'Payment Breakdown Prior'!$AE$15:$AE$104,$A14))</f>
        <v>0</v>
      </c>
      <c r="AG14" s="0" t="n">
        <f aca="false">(SUMIFS('Payment Breakdown Current'!$AC$15:$AC$104,'Payment Breakdown Current'!$AE$15:$AE$104,$A14))-(SUMIFS('Payment Breakdown Prior'!$AC$15:$AC$104,'Payment Breakdown Prior'!$AE$15:$AE$104,$A14))</f>
        <v>0</v>
      </c>
      <c r="AH14" s="0" t="n">
        <f aca="false">(SUMIFS('Payment Breakdown Current'!$AD$15:$AD$104,'Payment Breakdown Current'!$AE$15:$AE$104,$A14))-(SUMIFS('Payment Breakdown Prior'!$AD$15:$AD$104,'Payment Breakdown Prior'!$AE$15:$AE$104,$A14))</f>
        <v>0</v>
      </c>
      <c r="AI14" s="0" t="n">
        <f aca="false">MAX(ABS(W14),ABS(X14),ABS(Y14),ABS(Z14),ABS(AA14),ABS(AB14),ABS(AC14),ABS(AD14),ABS(AE14),ABS(AF14),ABS(AG14),ABS(AH14))</f>
        <v>65.79</v>
      </c>
      <c r="AJ14" s="0" t="str">
        <f aca="false">IF(AI14&lt;0.005,"",IF(ABS(W14)=AI14,W$1,IF(ABS(X14)=AI14,X$1,IF(ABS(Y14)=AI14,Y$1,IF(ABS(Z14)=AI14,Z$1,IF(ABS(AA14)=AI14,AA$1,IF(ABS(AB14)=AI14,AB$1,IF(ABS(AC14)=AI14,AC$1,IF(ABS(AD14)=AI14,AD$1,IF(ABS(AE14)=AI14,AE$1,IF(ABS(AF14)=AI14,AF$1,IF(ABS(AG14)=AI14,AG$1,IF(ABS(AH14)=AI14,AH$1,"")))))))))))))</f>
        <v>Basic Salary</v>
      </c>
      <c r="AK14" s="0" t="n">
        <f aca="false">IF(AI14&lt;0.005,"",IF(ABS(W14)=AI14,W14,IF(ABS(X14)=AI14,X14,IF(ABS(Y14)=AI14,Y14,IF(ABS(Z14)=AI14,Z14,IF(ABS(AA14)=AI14,AA14,IF(ABS(AB14)=AI14,AB14,IF(ABS(AC14)=AI14,AC14,IF(ABS(AD14)=AI14,AD14,IF(ABS(AE14)=AI14,AE14,IF(ABS(AF14)=AI14,AF14,IF(ABS(AG14)=AI14,AG14,IF(ABS(AH14)=AI14,AH14,"")))))))))))))</f>
        <v>65.79</v>
      </c>
      <c r="AL14" s="0" t="str">
        <f aca="false">IF(R14=1,ABS(L14)-ROW()/100000000,"")</f>
        <v/>
      </c>
    </row>
    <row r="15" customFormat="false" ht="15" hidden="false" customHeight="false" outlineLevel="0" collapsed="false">
      <c r="A15" s="0" t="str">
        <f aca="false">IF('NPV Comparison'!D28="","",'NPV Comparison'!D28)</f>
        <v>P84341</v>
      </c>
      <c r="B15" s="13" t="n">
        <f aca="false">IF('NPV Comparison'!E28="","",'NPV Comparison'!E28)</f>
        <v>2122.1</v>
      </c>
      <c r="C15" s="13" t="n">
        <f aca="false">IF('NPV Comparison'!F28="","",'NPV Comparison'!F28)</f>
        <v>1823.83</v>
      </c>
      <c r="D15" s="0" t="str">
        <f aca="false">IF($A15="","",IFERROR(INDEX(Structure!$E$13:$E$312,MATCH($A15,Structure!$P$13:$P$312,0)),""))</f>
        <v>Kings Road Dental Practice</v>
      </c>
      <c r="E15" s="0" t="n">
        <f aca="false">IF($A15="",0,IF(COUNTIF(Structure!$P$13:$P$312,$A15)=0,0,IF(COUNTIFS(Structure!$P$13:$P$312,$A15,Structure!$N$13:$N$312,"&lt;&gt;Zero Hours")=0,1,0)))</f>
        <v>0</v>
      </c>
      <c r="F15" s="0" t="n">
        <f aca="false">IF($A15="",0,1-E15)</f>
        <v>1</v>
      </c>
      <c r="G15" s="0" t="n">
        <f aca="false">IF($A15="",0,IF(COUNTIF('New Starters'!$D$14:$D$73,$A15)&gt;0,1,0))</f>
        <v>0</v>
      </c>
      <c r="H15" s="0" t="n">
        <f aca="false">IF($A15="",0,IF(COUNTIF(Leavers!$D$12:$D$71,$A15)&gt;0,1,0))</f>
        <v>0</v>
      </c>
      <c r="I15" s="0" t="str">
        <f aca="false">IF($A15="","",IFERROR(INDEX('New Starters'!$K$14:$K$73,MATCH($A15,'New Starters'!$D$14:$D$73,0)),IFERROR(INDEX(Leavers!$K$12:$K$71,MATCH($A15,Leavers!$D$12:$D$71,0)),"")))</f>
        <v/>
      </c>
      <c r="J15" s="0" t="n">
        <f aca="false">IF(AND(G15=1,I15&lt;&gt;"",COUNTIF(Leavers!$K$12:$K$71,I15)&gt;0),1,IF(AND(H15=1,I15&lt;&gt;"",COUNTIF('New Starters'!$K$14:$K$73,I15)&gt;0),1,0))</f>
        <v>0</v>
      </c>
      <c r="K15" s="14" t="n">
        <f aca="false">IF(ISNUMBER(SEARCH("Head Office",D15)),'Control Sheet'!$C$6,'Control Sheet'!$C$5)</f>
        <v>0.2</v>
      </c>
      <c r="L15" s="0" t="n">
        <f aca="false">IF(OR($A15="",AND(B15="",C15="")),"",IF(B15="",C15,IF(C15="",-B15,C15-B15)))</f>
        <v>-298.27</v>
      </c>
      <c r="M15" s="0" t="n">
        <f aca="false">IFERROR(L15/B15,"")</f>
        <v>-0.140554168041091</v>
      </c>
      <c r="N15" s="0" t="n">
        <f aca="false">IF($A15="",0,IF(OR(B15="",C15="",C15=0,IF(ISNUMBER(M15),ABS(M15)&gt;K15,FALSE())),1,0))</f>
        <v>0</v>
      </c>
      <c r="O15" s="0" t="n">
        <f aca="false">IF(OR($A15="",L15=""),0,IF(AND(N15=1,ABS(L15)&gt;='Control Sheet'!$C$7,F15=1),1,0))</f>
        <v>0</v>
      </c>
      <c r="P15" s="0" t="str">
        <f aca="false">IF($A15="","",IF(F15=0,"Zero Hours",IF(J15=1,"Explained: Paired transfer",IF(AND(G15=1,H15=0,J15=0),"Explained: Starter",IF(AND(H15=1,G15=0,J15=0),"Explained: Leaver",IF(O15=1,"Review required","OK"))))))</f>
        <v>OK</v>
      </c>
      <c r="Q15" s="0" t="n">
        <f aca="false">IF(AND(F15=1,OR(C15="",C15=0),H15=0,J15=0),1,0)</f>
        <v>0</v>
      </c>
      <c r="R15" s="0" t="n">
        <f aca="false">IF(F15=0,0,IF(P15="Review required",1,IF(AND(P15="Explained: Starter",ISNUMBER(C15),C15&gt;=1500),1,0)))</f>
        <v>0</v>
      </c>
      <c r="S15" s="0" t="str">
        <f aca="false">IF(R15=0,"",IF(Q15=1,"High",IF(AND(P15="Explained: Starter",C15&gt;=1500),"High",IF(ABS(L15)&gt;=2000,"High",IF(ABS(L15)&gt;=500,"Medium","Low")))))</f>
        <v/>
      </c>
      <c r="T15" s="0" t="n">
        <f aca="false">SUMIFS('Payment Breakdown Prior'!$S$15:$S$104,'Payment Breakdown Prior'!$AE$15:$AE$104,$A15)</f>
        <v>2864.83</v>
      </c>
      <c r="U15" s="0" t="n">
        <f aca="false">SUMIFS('Payment Breakdown Current'!$S$15:$S$104,'Payment Breakdown Current'!$AE$15:$AE$104,$A15)</f>
        <v>2462.17</v>
      </c>
      <c r="V15" s="0" t="n">
        <f aca="false">IFERROR((U15-T15)/T15,"")</f>
        <v>-0.140552842577046</v>
      </c>
      <c r="W15" s="0" t="n">
        <f aca="false">(SUMIFS('Payment Breakdown Current'!$S$15:$S$104,'Payment Breakdown Current'!$AE$15:$AE$104,$A15))-(SUMIFS('Payment Breakdown Prior'!$S$15:$S$104,'Payment Breakdown Prior'!$AE$15:$AE$104,$A15))</f>
        <v>-402.66</v>
      </c>
      <c r="X15" s="0" t="n">
        <f aca="false">(SUMIFS('Payment Breakdown Current'!$T$15:$T$104,'Payment Breakdown Current'!$AE$15:$AE$104,$A15))-(SUMIFS('Payment Breakdown Prior'!$T$15:$T$104,'Payment Breakdown Prior'!$AE$15:$AE$104,$A15))</f>
        <v>0</v>
      </c>
      <c r="Y15" s="0" t="n">
        <f aca="false">(SUMIFS('Payment Breakdown Current'!$U$15:$U$104,'Payment Breakdown Current'!$AE$15:$AE$104,$A15))-(SUMIFS('Payment Breakdown Prior'!$U$15:$U$104,'Payment Breakdown Prior'!$AE$15:$AE$104,$A15))</f>
        <v>0</v>
      </c>
      <c r="Z15" s="0" t="n">
        <f aca="false">(SUMIFS('Payment Breakdown Current'!$V$15:$V$104,'Payment Breakdown Current'!$AE$15:$AE$104,$A15))-(SUMIFS('Payment Breakdown Prior'!$V$15:$V$104,'Payment Breakdown Prior'!$AE$15:$AE$104,$A15))</f>
        <v>0</v>
      </c>
      <c r="AA15" s="0" t="n">
        <f aca="false">(SUMIFS('Payment Breakdown Current'!$W$15:$W$104,'Payment Breakdown Current'!$AE$15:$AE$104,$A15))-(SUMIFS('Payment Breakdown Prior'!$W$15:$W$104,'Payment Breakdown Prior'!$AE$15:$AE$104,$A15))</f>
        <v>0</v>
      </c>
      <c r="AB15" s="0" t="n">
        <f aca="false">(SUMIFS('Payment Breakdown Current'!$X$15:$X$104,'Payment Breakdown Current'!$AE$15:$AE$104,$A15))-(SUMIFS('Payment Breakdown Prior'!$X$15:$X$104,'Payment Breakdown Prior'!$AE$15:$AE$104,$A15))</f>
        <v>0</v>
      </c>
      <c r="AC15" s="0" t="n">
        <f aca="false">(SUMIFS('Payment Breakdown Current'!$Y$15:$Y$104,'Payment Breakdown Current'!$AE$15:$AE$104,$A15))-(SUMIFS('Payment Breakdown Prior'!$Y$15:$Y$104,'Payment Breakdown Prior'!$AE$15:$AE$104,$A15))</f>
        <v>0</v>
      </c>
      <c r="AD15" s="0" t="n">
        <f aca="false">(SUMIFS('Payment Breakdown Current'!$Z$15:$Z$104,'Payment Breakdown Current'!$AE$15:$AE$104,$A15))-(SUMIFS('Payment Breakdown Prior'!$Z$15:$Z$104,'Payment Breakdown Prior'!$AE$15:$AE$104,$A15))</f>
        <v>0</v>
      </c>
      <c r="AE15" s="0" t="n">
        <f aca="false">(SUMIFS('Payment Breakdown Current'!$AA$15:$AA$104,'Payment Breakdown Current'!$AE$15:$AE$104,$A15))-(SUMIFS('Payment Breakdown Prior'!$AA$15:$AA$104,'Payment Breakdown Prior'!$AE$15:$AE$104,$A15))</f>
        <v>0</v>
      </c>
      <c r="AF15" s="0" t="n">
        <f aca="false">(SUMIFS('Payment Breakdown Current'!$AB$15:$AB$104,'Payment Breakdown Current'!$AE$15:$AE$104,$A15))-(SUMIFS('Payment Breakdown Prior'!$AB$15:$AB$104,'Payment Breakdown Prior'!$AE$15:$AE$104,$A15))</f>
        <v>0</v>
      </c>
      <c r="AG15" s="0" t="n">
        <f aca="false">(SUMIFS('Payment Breakdown Current'!$AC$15:$AC$104,'Payment Breakdown Current'!$AE$15:$AE$104,$A15))-(SUMIFS('Payment Breakdown Prior'!$AC$15:$AC$104,'Payment Breakdown Prior'!$AE$15:$AE$104,$A15))</f>
        <v>0</v>
      </c>
      <c r="AH15" s="0" t="n">
        <f aca="false">(SUMIFS('Payment Breakdown Current'!$AD$15:$AD$104,'Payment Breakdown Current'!$AE$15:$AE$104,$A15))-(SUMIFS('Payment Breakdown Prior'!$AD$15:$AD$104,'Payment Breakdown Prior'!$AE$15:$AE$104,$A15))</f>
        <v>0</v>
      </c>
      <c r="AI15" s="0" t="n">
        <f aca="false">MAX(ABS(W15),ABS(X15),ABS(Y15),ABS(Z15),ABS(AA15),ABS(AB15),ABS(AC15),ABS(AD15),ABS(AE15),ABS(AF15),ABS(AG15),ABS(AH15))</f>
        <v>402.66</v>
      </c>
      <c r="AJ15" s="0" t="str">
        <f aca="false">IF(AI15&lt;0.005,"",IF(ABS(W15)=AI15,W$1,IF(ABS(X15)=AI15,X$1,IF(ABS(Y15)=AI15,Y$1,IF(ABS(Z15)=AI15,Z$1,IF(ABS(AA15)=AI15,AA$1,IF(ABS(AB15)=AI15,AB$1,IF(ABS(AC15)=AI15,AC$1,IF(ABS(AD15)=AI15,AD$1,IF(ABS(AE15)=AI15,AE$1,IF(ABS(AF15)=AI15,AF$1,IF(ABS(AG15)=AI15,AG$1,IF(ABS(AH15)=AI15,AH$1,"")))))))))))))</f>
        <v>Basic Salary</v>
      </c>
      <c r="AK15" s="0" t="n">
        <f aca="false">IF(AI15&lt;0.005,"",IF(ABS(W15)=AI15,W15,IF(ABS(X15)=AI15,X15,IF(ABS(Y15)=AI15,Y15,IF(ABS(Z15)=AI15,Z15,IF(ABS(AA15)=AI15,AA15,IF(ABS(AB15)=AI15,AB15,IF(ABS(AC15)=AI15,AC15,IF(ABS(AD15)=AI15,AD15,IF(ABS(AE15)=AI15,AE15,IF(ABS(AF15)=AI15,AF15,IF(ABS(AG15)=AI15,AG15,IF(ABS(AH15)=AI15,AH15,"")))))))))))))</f>
        <v>-402.66</v>
      </c>
      <c r="AL15" s="0" t="str">
        <f aca="false">IF(R15=1,ABS(L15)-ROW()/100000000,"")</f>
        <v/>
      </c>
    </row>
    <row r="16" customFormat="false" ht="15" hidden="false" customHeight="false" outlineLevel="0" collapsed="false">
      <c r="A16" s="0" t="str">
        <f aca="false">IF('NPV Comparison'!D29="","",'NPV Comparison'!D29)</f>
        <v>P70142</v>
      </c>
      <c r="B16" s="13" t="n">
        <f aca="false">IF('NPV Comparison'!E29="","",'NPV Comparison'!E29)</f>
        <v>2112.14</v>
      </c>
      <c r="C16" s="13" t="n">
        <f aca="false">IF('NPV Comparison'!F29="","",'NPV Comparison'!F29)</f>
        <v>2395.83</v>
      </c>
      <c r="D16" s="0" t="str">
        <f aca="false">IF($A16="","",IFERROR(INDEX(Structure!$E$13:$E$312,MATCH($A16,Structure!$P$13:$P$312,0)),""))</f>
        <v>Elm Park Dental Practice</v>
      </c>
      <c r="E16" s="0" t="n">
        <f aca="false">IF($A16="",0,IF(COUNTIF(Structure!$P$13:$P$312,$A16)=0,0,IF(COUNTIFS(Structure!$P$13:$P$312,$A16,Structure!$N$13:$N$312,"&lt;&gt;Zero Hours")=0,1,0)))</f>
        <v>0</v>
      </c>
      <c r="F16" s="0" t="n">
        <f aca="false">IF($A16="",0,1-E16)</f>
        <v>1</v>
      </c>
      <c r="G16" s="0" t="n">
        <f aca="false">IF($A16="",0,IF(COUNTIF('New Starters'!$D$14:$D$73,$A16)&gt;0,1,0))</f>
        <v>0</v>
      </c>
      <c r="H16" s="0" t="n">
        <f aca="false">IF($A16="",0,IF(COUNTIF(Leavers!$D$12:$D$71,$A16)&gt;0,1,0))</f>
        <v>0</v>
      </c>
      <c r="I16" s="0" t="str">
        <f aca="false">IF($A16="","",IFERROR(INDEX('New Starters'!$K$14:$K$73,MATCH($A16,'New Starters'!$D$14:$D$73,0)),IFERROR(INDEX(Leavers!$K$12:$K$71,MATCH($A16,Leavers!$D$12:$D$71,0)),"")))</f>
        <v/>
      </c>
      <c r="J16" s="0" t="n">
        <f aca="false">IF(AND(G16=1,I16&lt;&gt;"",COUNTIF(Leavers!$K$12:$K$71,I16)&gt;0),1,IF(AND(H16=1,I16&lt;&gt;"",COUNTIF('New Starters'!$K$14:$K$73,I16)&gt;0),1,0))</f>
        <v>0</v>
      </c>
      <c r="K16" s="14" t="n">
        <f aca="false">IF(ISNUMBER(SEARCH("Head Office",D16)),'Control Sheet'!$C$6,'Control Sheet'!$C$5)</f>
        <v>0.2</v>
      </c>
      <c r="L16" s="0" t="n">
        <f aca="false">IF(OR($A16="",AND(B16="",C16="")),"",IF(B16="",C16,IF(C16="",-B16,C16-B16)))</f>
        <v>283.69</v>
      </c>
      <c r="M16" s="0" t="n">
        <f aca="false">IFERROR(L16/B16,"")</f>
        <v>0.134314013275635</v>
      </c>
      <c r="N16" s="0" t="n">
        <f aca="false">IF($A16="",0,IF(OR(B16="",C16="",C16=0,IF(ISNUMBER(M16),ABS(M16)&gt;K16,FALSE())),1,0))</f>
        <v>0</v>
      </c>
      <c r="O16" s="0" t="n">
        <f aca="false">IF(OR($A16="",L16=""),0,IF(AND(N16=1,ABS(L16)&gt;='Control Sheet'!$C$7,F16=1),1,0))</f>
        <v>0</v>
      </c>
      <c r="P16" s="0" t="str">
        <f aca="false">IF($A16="","",IF(F16=0,"Zero Hours",IF(J16=1,"Explained: Paired transfer",IF(AND(G16=1,H16=0,J16=0),"Explained: Starter",IF(AND(H16=1,G16=0,J16=0),"Explained: Leaver",IF(O16=1,"Review required","OK"))))))</f>
        <v>OK</v>
      </c>
      <c r="Q16" s="0" t="n">
        <f aca="false">IF(AND(F16=1,OR(C16="",C16=0),H16=0,J16=0),1,0)</f>
        <v>0</v>
      </c>
      <c r="R16" s="0" t="n">
        <f aca="false">IF(F16=0,0,IF(P16="Review required",1,IF(AND(P16="Explained: Starter",ISNUMBER(C16),C16&gt;=1500),1,0)))</f>
        <v>0</v>
      </c>
      <c r="S16" s="0" t="str">
        <f aca="false">IF(R16=0,"",IF(Q16=1,"High",IF(AND(P16="Explained: Starter",C16&gt;=1500),"High",IF(ABS(L16)&gt;=2000,"High",IF(ABS(L16)&gt;=500,"Medium","Low")))))</f>
        <v/>
      </c>
      <c r="T16" s="0" t="n">
        <f aca="false">SUMIFS('Payment Breakdown Prior'!$S$15:$S$104,'Payment Breakdown Prior'!$AE$15:$AE$104,$A16)</f>
        <v>2851.39</v>
      </c>
      <c r="U16" s="0" t="n">
        <f aca="false">SUMIFS('Payment Breakdown Current'!$S$15:$S$104,'Payment Breakdown Current'!$AE$15:$AE$104,$A16)</f>
        <v>3234.37</v>
      </c>
      <c r="V16" s="0" t="n">
        <f aca="false">IFERROR((U16-T16)/T16,"")</f>
        <v>0.134313440111665</v>
      </c>
      <c r="W16" s="0" t="n">
        <f aca="false">(SUMIFS('Payment Breakdown Current'!$S$15:$S$104,'Payment Breakdown Current'!$AE$15:$AE$104,$A16))-(SUMIFS('Payment Breakdown Prior'!$S$15:$S$104,'Payment Breakdown Prior'!$AE$15:$AE$104,$A16))</f>
        <v>382.98</v>
      </c>
      <c r="X16" s="0" t="n">
        <f aca="false">(SUMIFS('Payment Breakdown Current'!$T$15:$T$104,'Payment Breakdown Current'!$AE$15:$AE$104,$A16))-(SUMIFS('Payment Breakdown Prior'!$T$15:$T$104,'Payment Breakdown Prior'!$AE$15:$AE$104,$A16))</f>
        <v>0</v>
      </c>
      <c r="Y16" s="0" t="n">
        <f aca="false">(SUMIFS('Payment Breakdown Current'!$U$15:$U$104,'Payment Breakdown Current'!$AE$15:$AE$104,$A16))-(SUMIFS('Payment Breakdown Prior'!$U$15:$U$104,'Payment Breakdown Prior'!$AE$15:$AE$104,$A16))</f>
        <v>0</v>
      </c>
      <c r="Z16" s="0" t="n">
        <f aca="false">(SUMIFS('Payment Breakdown Current'!$V$15:$V$104,'Payment Breakdown Current'!$AE$15:$AE$104,$A16))-(SUMIFS('Payment Breakdown Prior'!$V$15:$V$104,'Payment Breakdown Prior'!$AE$15:$AE$104,$A16))</f>
        <v>0</v>
      </c>
      <c r="AA16" s="0" t="n">
        <f aca="false">(SUMIFS('Payment Breakdown Current'!$W$15:$W$104,'Payment Breakdown Current'!$AE$15:$AE$104,$A16))-(SUMIFS('Payment Breakdown Prior'!$W$15:$W$104,'Payment Breakdown Prior'!$AE$15:$AE$104,$A16))</f>
        <v>0</v>
      </c>
      <c r="AB16" s="0" t="n">
        <f aca="false">(SUMIFS('Payment Breakdown Current'!$X$15:$X$104,'Payment Breakdown Current'!$AE$15:$AE$104,$A16))-(SUMIFS('Payment Breakdown Prior'!$X$15:$X$104,'Payment Breakdown Prior'!$AE$15:$AE$104,$A16))</f>
        <v>0</v>
      </c>
      <c r="AC16" s="0" t="n">
        <f aca="false">(SUMIFS('Payment Breakdown Current'!$Y$15:$Y$104,'Payment Breakdown Current'!$AE$15:$AE$104,$A16))-(SUMIFS('Payment Breakdown Prior'!$Y$15:$Y$104,'Payment Breakdown Prior'!$AE$15:$AE$104,$A16))</f>
        <v>0</v>
      </c>
      <c r="AD16" s="0" t="n">
        <f aca="false">(SUMIFS('Payment Breakdown Current'!$Z$15:$Z$104,'Payment Breakdown Current'!$AE$15:$AE$104,$A16))-(SUMIFS('Payment Breakdown Prior'!$Z$15:$Z$104,'Payment Breakdown Prior'!$AE$15:$AE$104,$A16))</f>
        <v>0</v>
      </c>
      <c r="AE16" s="0" t="n">
        <f aca="false">(SUMIFS('Payment Breakdown Current'!$AA$15:$AA$104,'Payment Breakdown Current'!$AE$15:$AE$104,$A16))-(SUMIFS('Payment Breakdown Prior'!$AA$15:$AA$104,'Payment Breakdown Prior'!$AE$15:$AE$104,$A16))</f>
        <v>0</v>
      </c>
      <c r="AF16" s="0" t="n">
        <f aca="false">(SUMIFS('Payment Breakdown Current'!$AB$15:$AB$104,'Payment Breakdown Current'!$AE$15:$AE$104,$A16))-(SUMIFS('Payment Breakdown Prior'!$AB$15:$AB$104,'Payment Breakdown Prior'!$AE$15:$AE$104,$A16))</f>
        <v>0</v>
      </c>
      <c r="AG16" s="0" t="n">
        <f aca="false">(SUMIFS('Payment Breakdown Current'!$AC$15:$AC$104,'Payment Breakdown Current'!$AE$15:$AE$104,$A16))-(SUMIFS('Payment Breakdown Prior'!$AC$15:$AC$104,'Payment Breakdown Prior'!$AE$15:$AE$104,$A16))</f>
        <v>0</v>
      </c>
      <c r="AH16" s="0" t="n">
        <f aca="false">(SUMIFS('Payment Breakdown Current'!$AD$15:$AD$104,'Payment Breakdown Current'!$AE$15:$AE$104,$A16))-(SUMIFS('Payment Breakdown Prior'!$AD$15:$AD$104,'Payment Breakdown Prior'!$AE$15:$AE$104,$A16))</f>
        <v>0</v>
      </c>
      <c r="AI16" s="0" t="n">
        <f aca="false">MAX(ABS(W16),ABS(X16),ABS(Y16),ABS(Z16),ABS(AA16),ABS(AB16),ABS(AC16),ABS(AD16),ABS(AE16),ABS(AF16),ABS(AG16),ABS(AH16))</f>
        <v>382.98</v>
      </c>
      <c r="AJ16" s="0" t="str">
        <f aca="false">IF(AI16&lt;0.005,"",IF(ABS(W16)=AI16,W$1,IF(ABS(X16)=AI16,X$1,IF(ABS(Y16)=AI16,Y$1,IF(ABS(Z16)=AI16,Z$1,IF(ABS(AA16)=AI16,AA$1,IF(ABS(AB16)=AI16,AB$1,IF(ABS(AC16)=AI16,AC$1,IF(ABS(AD16)=AI16,AD$1,IF(ABS(AE16)=AI16,AE$1,IF(ABS(AF16)=AI16,AF$1,IF(ABS(AG16)=AI16,AG$1,IF(ABS(AH16)=AI16,AH$1,"")))))))))))))</f>
        <v>Basic Salary</v>
      </c>
      <c r="AK16" s="0" t="n">
        <f aca="false">IF(AI16&lt;0.005,"",IF(ABS(W16)=AI16,W16,IF(ABS(X16)=AI16,X16,IF(ABS(Y16)=AI16,Y16,IF(ABS(Z16)=AI16,Z16,IF(ABS(AA16)=AI16,AA16,IF(ABS(AB16)=AI16,AB16,IF(ABS(AC16)=AI16,AC16,IF(ABS(AD16)=AI16,AD16,IF(ABS(AE16)=AI16,AE16,IF(ABS(AF16)=AI16,AF16,IF(ABS(AG16)=AI16,AG16,IF(ABS(AH16)=AI16,AH16,"")))))))))))))</f>
        <v>382.98</v>
      </c>
      <c r="AL16" s="0" t="str">
        <f aca="false">IF(R16=1,ABS(L16)-ROW()/100000000,"")</f>
        <v/>
      </c>
    </row>
    <row r="17" customFormat="false" ht="15" hidden="false" customHeight="false" outlineLevel="0" collapsed="false">
      <c r="A17" s="0" t="str">
        <f aca="false">IF('NPV Comparison'!D30="","",'NPV Comparison'!D30)</f>
        <v>P86622</v>
      </c>
      <c r="B17" s="13" t="n">
        <f aca="false">IF('NPV Comparison'!E30="","",'NPV Comparison'!E30)</f>
        <v>2740.98</v>
      </c>
      <c r="C17" s="13" t="n">
        <f aca="false">IF('NPV Comparison'!F30="","",'NPV Comparison'!F30)</f>
        <v>2775.6</v>
      </c>
      <c r="D17" s="0" t="str">
        <f aca="false">IF($A17="","",IFERROR(INDEX(Structure!$E$13:$E$312,MATCH($A17,Structure!$P$13:$P$312,0)),""))</f>
        <v>Kings Road Dental Practice</v>
      </c>
      <c r="E17" s="0" t="n">
        <f aca="false">IF($A17="",0,IF(COUNTIF(Structure!$P$13:$P$312,$A17)=0,0,IF(COUNTIFS(Structure!$P$13:$P$312,$A17,Structure!$N$13:$N$312,"&lt;&gt;Zero Hours")=0,1,0)))</f>
        <v>0</v>
      </c>
      <c r="F17" s="0" t="n">
        <f aca="false">IF($A17="",0,1-E17)</f>
        <v>1</v>
      </c>
      <c r="G17" s="0" t="n">
        <f aca="false">IF($A17="",0,IF(COUNTIF('New Starters'!$D$14:$D$73,$A17)&gt;0,1,0))</f>
        <v>0</v>
      </c>
      <c r="H17" s="0" t="n">
        <f aca="false">IF($A17="",0,IF(COUNTIF(Leavers!$D$12:$D$71,$A17)&gt;0,1,0))</f>
        <v>0</v>
      </c>
      <c r="I17" s="0" t="str">
        <f aca="false">IF($A17="","",IFERROR(INDEX('New Starters'!$K$14:$K$73,MATCH($A17,'New Starters'!$D$14:$D$73,0)),IFERROR(INDEX(Leavers!$K$12:$K$71,MATCH($A17,Leavers!$D$12:$D$71,0)),"")))</f>
        <v/>
      </c>
      <c r="J17" s="0" t="n">
        <f aca="false">IF(AND(G17=1,I17&lt;&gt;"",COUNTIF(Leavers!$K$12:$K$71,I17)&gt;0),1,IF(AND(H17=1,I17&lt;&gt;"",COUNTIF('New Starters'!$K$14:$K$73,I17)&gt;0),1,0))</f>
        <v>0</v>
      </c>
      <c r="K17" s="14" t="n">
        <f aca="false">IF(ISNUMBER(SEARCH("Head Office",D17)),'Control Sheet'!$C$6,'Control Sheet'!$C$5)</f>
        <v>0.2</v>
      </c>
      <c r="L17" s="0" t="n">
        <f aca="false">IF(OR($A17="",AND(B17="",C17="")),"",IF(B17="",C17,IF(C17="",-B17,C17-B17)))</f>
        <v>34.6199999999999</v>
      </c>
      <c r="M17" s="0" t="n">
        <f aca="false">IFERROR(L17/B17,"")</f>
        <v>0.0126305190114484</v>
      </c>
      <c r="N17" s="0" t="n">
        <f aca="false">IF($A17="",0,IF(OR(B17="",C17="",C17=0,IF(ISNUMBER(M17),ABS(M17)&gt;K17,FALSE())),1,0))</f>
        <v>0</v>
      </c>
      <c r="O17" s="0" t="n">
        <f aca="false">IF(OR($A17="",L17=""),0,IF(AND(N17=1,ABS(L17)&gt;='Control Sheet'!$C$7,F17=1),1,0))</f>
        <v>0</v>
      </c>
      <c r="P17" s="0" t="str">
        <f aca="false">IF($A17="","",IF(F17=0,"Zero Hours",IF(J17=1,"Explained: Paired transfer",IF(AND(G17=1,H17=0,J17=0),"Explained: Starter",IF(AND(H17=1,G17=0,J17=0),"Explained: Leaver",IF(O17=1,"Review required","OK"))))))</f>
        <v>OK</v>
      </c>
      <c r="Q17" s="0" t="n">
        <f aca="false">IF(AND(F17=1,OR(C17="",C17=0),H17=0,J17=0),1,0)</f>
        <v>0</v>
      </c>
      <c r="R17" s="0" t="n">
        <f aca="false">IF(F17=0,0,IF(P17="Review required",1,IF(AND(P17="Explained: Starter",ISNUMBER(C17),C17&gt;=1500),1,0)))</f>
        <v>0</v>
      </c>
      <c r="S17" s="0" t="str">
        <f aca="false">IF(R17=0,"",IF(Q17=1,"High",IF(AND(P17="Explained: Starter",C17&gt;=1500),"High",IF(ABS(L17)&gt;=2000,"High",IF(ABS(L17)&gt;=500,"Medium","Low")))))</f>
        <v/>
      </c>
      <c r="T17" s="0" t="n">
        <f aca="false">SUMIFS('Payment Breakdown Prior'!$S$15:$S$104,'Payment Breakdown Prior'!$AE$15:$AE$104,$A17)</f>
        <v>3700.32</v>
      </c>
      <c r="U17" s="0" t="n">
        <f aca="false">SUMIFS('Payment Breakdown Current'!$S$15:$S$104,'Payment Breakdown Current'!$AE$15:$AE$104,$A17)</f>
        <v>3747.06</v>
      </c>
      <c r="V17" s="0" t="n">
        <f aca="false">IFERROR((U17-T17)/T17,"")</f>
        <v>0.0126313399922168</v>
      </c>
      <c r="W17" s="0" t="n">
        <f aca="false">(SUMIFS('Payment Breakdown Current'!$S$15:$S$104,'Payment Breakdown Current'!$AE$15:$AE$104,$A17))-(SUMIFS('Payment Breakdown Prior'!$S$15:$S$104,'Payment Breakdown Prior'!$AE$15:$AE$104,$A17))</f>
        <v>46.7399999999998</v>
      </c>
      <c r="X17" s="0" t="n">
        <f aca="false">(SUMIFS('Payment Breakdown Current'!$T$15:$T$104,'Payment Breakdown Current'!$AE$15:$AE$104,$A17))-(SUMIFS('Payment Breakdown Prior'!$T$15:$T$104,'Payment Breakdown Prior'!$AE$15:$AE$104,$A17))</f>
        <v>0</v>
      </c>
      <c r="Y17" s="0" t="n">
        <f aca="false">(SUMIFS('Payment Breakdown Current'!$U$15:$U$104,'Payment Breakdown Current'!$AE$15:$AE$104,$A17))-(SUMIFS('Payment Breakdown Prior'!$U$15:$U$104,'Payment Breakdown Prior'!$AE$15:$AE$104,$A17))</f>
        <v>0</v>
      </c>
      <c r="Z17" s="0" t="n">
        <f aca="false">(SUMIFS('Payment Breakdown Current'!$V$15:$V$104,'Payment Breakdown Current'!$AE$15:$AE$104,$A17))-(SUMIFS('Payment Breakdown Prior'!$V$15:$V$104,'Payment Breakdown Prior'!$AE$15:$AE$104,$A17))</f>
        <v>0</v>
      </c>
      <c r="AA17" s="0" t="n">
        <f aca="false">(SUMIFS('Payment Breakdown Current'!$W$15:$W$104,'Payment Breakdown Current'!$AE$15:$AE$104,$A17))-(SUMIFS('Payment Breakdown Prior'!$W$15:$W$104,'Payment Breakdown Prior'!$AE$15:$AE$104,$A17))</f>
        <v>0</v>
      </c>
      <c r="AB17" s="0" t="n">
        <f aca="false">(SUMIFS('Payment Breakdown Current'!$X$15:$X$104,'Payment Breakdown Current'!$AE$15:$AE$104,$A17))-(SUMIFS('Payment Breakdown Prior'!$X$15:$X$104,'Payment Breakdown Prior'!$AE$15:$AE$104,$A17))</f>
        <v>0</v>
      </c>
      <c r="AC17" s="0" t="n">
        <f aca="false">(SUMIFS('Payment Breakdown Current'!$Y$15:$Y$104,'Payment Breakdown Current'!$AE$15:$AE$104,$A17))-(SUMIFS('Payment Breakdown Prior'!$Y$15:$Y$104,'Payment Breakdown Prior'!$AE$15:$AE$104,$A17))</f>
        <v>0</v>
      </c>
      <c r="AD17" s="0" t="n">
        <f aca="false">(SUMIFS('Payment Breakdown Current'!$Z$15:$Z$104,'Payment Breakdown Current'!$AE$15:$AE$104,$A17))-(SUMIFS('Payment Breakdown Prior'!$Z$15:$Z$104,'Payment Breakdown Prior'!$AE$15:$AE$104,$A17))</f>
        <v>0</v>
      </c>
      <c r="AE17" s="0" t="n">
        <f aca="false">(SUMIFS('Payment Breakdown Current'!$AA$15:$AA$104,'Payment Breakdown Current'!$AE$15:$AE$104,$A17))-(SUMIFS('Payment Breakdown Prior'!$AA$15:$AA$104,'Payment Breakdown Prior'!$AE$15:$AE$104,$A17))</f>
        <v>0</v>
      </c>
      <c r="AF17" s="0" t="n">
        <f aca="false">(SUMIFS('Payment Breakdown Current'!$AB$15:$AB$104,'Payment Breakdown Current'!$AE$15:$AE$104,$A17))-(SUMIFS('Payment Breakdown Prior'!$AB$15:$AB$104,'Payment Breakdown Prior'!$AE$15:$AE$104,$A17))</f>
        <v>0</v>
      </c>
      <c r="AG17" s="0" t="n">
        <f aca="false">(SUMIFS('Payment Breakdown Current'!$AC$15:$AC$104,'Payment Breakdown Current'!$AE$15:$AE$104,$A17))-(SUMIFS('Payment Breakdown Prior'!$AC$15:$AC$104,'Payment Breakdown Prior'!$AE$15:$AE$104,$A17))</f>
        <v>0</v>
      </c>
      <c r="AH17" s="0" t="n">
        <f aca="false">(SUMIFS('Payment Breakdown Current'!$AD$15:$AD$104,'Payment Breakdown Current'!$AE$15:$AE$104,$A17))-(SUMIFS('Payment Breakdown Prior'!$AD$15:$AD$104,'Payment Breakdown Prior'!$AE$15:$AE$104,$A17))</f>
        <v>0</v>
      </c>
      <c r="AI17" s="0" t="n">
        <f aca="false">MAX(ABS(W17),ABS(X17),ABS(Y17),ABS(Z17),ABS(AA17),ABS(AB17),ABS(AC17),ABS(AD17),ABS(AE17),ABS(AF17),ABS(AG17),ABS(AH17))</f>
        <v>46.7399999999998</v>
      </c>
      <c r="AJ17" s="0" t="str">
        <f aca="false">IF(AI17&lt;0.005,"",IF(ABS(W17)=AI17,W$1,IF(ABS(X17)=AI17,X$1,IF(ABS(Y17)=AI17,Y$1,IF(ABS(Z17)=AI17,Z$1,IF(ABS(AA17)=AI17,AA$1,IF(ABS(AB17)=AI17,AB$1,IF(ABS(AC17)=AI17,AC$1,IF(ABS(AD17)=AI17,AD$1,IF(ABS(AE17)=AI17,AE$1,IF(ABS(AF17)=AI17,AF$1,IF(ABS(AG17)=AI17,AG$1,IF(ABS(AH17)=AI17,AH$1,"")))))))))))))</f>
        <v>Basic Salary</v>
      </c>
      <c r="AK17" s="0" t="n">
        <f aca="false">IF(AI17&lt;0.005,"",IF(ABS(W17)=AI17,W17,IF(ABS(X17)=AI17,X17,IF(ABS(Y17)=AI17,Y17,IF(ABS(Z17)=AI17,Z17,IF(ABS(AA17)=AI17,AA17,IF(ABS(AB17)=AI17,AB17,IF(ABS(AC17)=AI17,AC17,IF(ABS(AD17)=AI17,AD17,IF(ABS(AE17)=AI17,AE17,IF(ABS(AF17)=AI17,AF17,IF(ABS(AG17)=AI17,AG17,IF(ABS(AH17)=AI17,AH17,"")))))))))))))</f>
        <v>46.7399999999998</v>
      </c>
      <c r="AL17" s="0" t="str">
        <f aca="false">IF(R17=1,ABS(L17)-ROW()/100000000,"")</f>
        <v/>
      </c>
    </row>
    <row r="18" customFormat="false" ht="15" hidden="false" customHeight="false" outlineLevel="0" collapsed="false">
      <c r="A18" s="0" t="str">
        <f aca="false">IF('NPV Comparison'!D31="","",'NPV Comparison'!D31)</f>
        <v>P28131</v>
      </c>
      <c r="B18" s="13" t="n">
        <f aca="false">IF('NPV Comparison'!E31="","",'NPV Comparison'!E31)</f>
        <v>2051.59</v>
      </c>
      <c r="C18" s="13" t="n">
        <f aca="false">IF('NPV Comparison'!F31="","",'NPV Comparison'!F31)</f>
        <v>2382.17</v>
      </c>
      <c r="D18" s="0" t="str">
        <f aca="false">IF($A18="","",IFERROR(INDEX(Structure!$E$13:$E$312,MATCH($A18,Structure!$P$13:$P$312,0)),""))</f>
        <v>Oakfield Dental Practice</v>
      </c>
      <c r="E18" s="0" t="n">
        <f aca="false">IF($A18="",0,IF(COUNTIF(Structure!$P$13:$P$312,$A18)=0,0,IF(COUNTIFS(Structure!$P$13:$P$312,$A18,Structure!$N$13:$N$312,"&lt;&gt;Zero Hours")=0,1,0)))</f>
        <v>0</v>
      </c>
      <c r="F18" s="0" t="n">
        <f aca="false">IF($A18="",0,1-E18)</f>
        <v>1</v>
      </c>
      <c r="G18" s="0" t="n">
        <f aca="false">IF($A18="",0,IF(COUNTIF('New Starters'!$D$14:$D$73,$A18)&gt;0,1,0))</f>
        <v>0</v>
      </c>
      <c r="H18" s="0" t="n">
        <f aca="false">IF($A18="",0,IF(COUNTIF(Leavers!$D$12:$D$71,$A18)&gt;0,1,0))</f>
        <v>0</v>
      </c>
      <c r="I18" s="0" t="str">
        <f aca="false">IF($A18="","",IFERROR(INDEX('New Starters'!$K$14:$K$73,MATCH($A18,'New Starters'!$D$14:$D$73,0)),IFERROR(INDEX(Leavers!$K$12:$K$71,MATCH($A18,Leavers!$D$12:$D$71,0)),"")))</f>
        <v/>
      </c>
      <c r="J18" s="0" t="n">
        <f aca="false">IF(AND(G18=1,I18&lt;&gt;"",COUNTIF(Leavers!$K$12:$K$71,I18)&gt;0),1,IF(AND(H18=1,I18&lt;&gt;"",COUNTIF('New Starters'!$K$14:$K$73,I18)&gt;0),1,0))</f>
        <v>0</v>
      </c>
      <c r="K18" s="14" t="n">
        <f aca="false">IF(ISNUMBER(SEARCH("Head Office",D18)),'Control Sheet'!$C$6,'Control Sheet'!$C$5)</f>
        <v>0.2</v>
      </c>
      <c r="L18" s="0" t="n">
        <f aca="false">IF(OR($A18="",AND(B18="",C18="")),"",IF(B18="",C18,IF(C18="",-B18,C18-B18)))</f>
        <v>330.58</v>
      </c>
      <c r="M18" s="0" t="n">
        <f aca="false">IFERROR(L18/B18,"")</f>
        <v>0.161133559824331</v>
      </c>
      <c r="N18" s="0" t="n">
        <f aca="false">IF($A18="",0,IF(OR(B18="",C18="",C18=0,IF(ISNUMBER(M18),ABS(M18)&gt;K18,FALSE())),1,0))</f>
        <v>0</v>
      </c>
      <c r="O18" s="0" t="n">
        <f aca="false">IF(OR($A18="",L18=""),0,IF(AND(N18=1,ABS(L18)&gt;='Control Sheet'!$C$7,F18=1),1,0))</f>
        <v>0</v>
      </c>
      <c r="P18" s="0" t="str">
        <f aca="false">IF($A18="","",IF(F18=0,"Zero Hours",IF(J18=1,"Explained: Paired transfer",IF(AND(G18=1,H18=0,J18=0),"Explained: Starter",IF(AND(H18=1,G18=0,J18=0),"Explained: Leaver",IF(O18=1,"Review required","OK"))))))</f>
        <v>OK</v>
      </c>
      <c r="Q18" s="0" t="n">
        <f aca="false">IF(AND(F18=1,OR(C18="",C18=0),H18=0,J18=0),1,0)</f>
        <v>0</v>
      </c>
      <c r="R18" s="0" t="n">
        <f aca="false">IF(F18=0,0,IF(P18="Review required",1,IF(AND(P18="Explained: Starter",ISNUMBER(C18),C18&gt;=1500),1,0)))</f>
        <v>0</v>
      </c>
      <c r="S18" s="0" t="str">
        <f aca="false">IF(R18=0,"",IF(Q18=1,"High",IF(AND(P18="Explained: Starter",C18&gt;=1500),"High",IF(ABS(L18)&gt;=2000,"High",IF(ABS(L18)&gt;=500,"Medium","Low")))))</f>
        <v/>
      </c>
      <c r="T18" s="0" t="n">
        <f aca="false">SUMIFS('Payment Breakdown Prior'!$S$15:$S$104,'Payment Breakdown Prior'!$AE$15:$AE$104,$A18)</f>
        <v>2769.65</v>
      </c>
      <c r="U18" s="0" t="n">
        <f aca="false">SUMIFS('Payment Breakdown Current'!$S$15:$S$104,'Payment Breakdown Current'!$AE$15:$AE$104,$A18)</f>
        <v>3215.93</v>
      </c>
      <c r="V18" s="0" t="n">
        <f aca="false">IFERROR((U18-T18)/T18,"")</f>
        <v>0.161132273030888</v>
      </c>
      <c r="W18" s="0" t="n">
        <f aca="false">(SUMIFS('Payment Breakdown Current'!$S$15:$S$104,'Payment Breakdown Current'!$AE$15:$AE$104,$A18))-(SUMIFS('Payment Breakdown Prior'!$S$15:$S$104,'Payment Breakdown Prior'!$AE$15:$AE$104,$A18))</f>
        <v>446.28</v>
      </c>
      <c r="X18" s="0" t="n">
        <f aca="false">(SUMIFS('Payment Breakdown Current'!$T$15:$T$104,'Payment Breakdown Current'!$AE$15:$AE$104,$A18))-(SUMIFS('Payment Breakdown Prior'!$T$15:$T$104,'Payment Breakdown Prior'!$AE$15:$AE$104,$A18))</f>
        <v>0</v>
      </c>
      <c r="Y18" s="0" t="n">
        <f aca="false">(SUMIFS('Payment Breakdown Current'!$U$15:$U$104,'Payment Breakdown Current'!$AE$15:$AE$104,$A18))-(SUMIFS('Payment Breakdown Prior'!$U$15:$U$104,'Payment Breakdown Prior'!$AE$15:$AE$104,$A18))</f>
        <v>0</v>
      </c>
      <c r="Z18" s="0" t="n">
        <f aca="false">(SUMIFS('Payment Breakdown Current'!$V$15:$V$104,'Payment Breakdown Current'!$AE$15:$AE$104,$A18))-(SUMIFS('Payment Breakdown Prior'!$V$15:$V$104,'Payment Breakdown Prior'!$AE$15:$AE$104,$A18))</f>
        <v>0</v>
      </c>
      <c r="AA18" s="0" t="n">
        <f aca="false">(SUMIFS('Payment Breakdown Current'!$W$15:$W$104,'Payment Breakdown Current'!$AE$15:$AE$104,$A18))-(SUMIFS('Payment Breakdown Prior'!$W$15:$W$104,'Payment Breakdown Prior'!$AE$15:$AE$104,$A18))</f>
        <v>0</v>
      </c>
      <c r="AB18" s="0" t="n">
        <f aca="false">(SUMIFS('Payment Breakdown Current'!$X$15:$X$104,'Payment Breakdown Current'!$AE$15:$AE$104,$A18))-(SUMIFS('Payment Breakdown Prior'!$X$15:$X$104,'Payment Breakdown Prior'!$AE$15:$AE$104,$A18))</f>
        <v>0</v>
      </c>
      <c r="AC18" s="0" t="n">
        <f aca="false">(SUMIFS('Payment Breakdown Current'!$Y$15:$Y$104,'Payment Breakdown Current'!$AE$15:$AE$104,$A18))-(SUMIFS('Payment Breakdown Prior'!$Y$15:$Y$104,'Payment Breakdown Prior'!$AE$15:$AE$104,$A18))</f>
        <v>0</v>
      </c>
      <c r="AD18" s="0" t="n">
        <f aca="false">(SUMIFS('Payment Breakdown Current'!$Z$15:$Z$104,'Payment Breakdown Current'!$AE$15:$AE$104,$A18))-(SUMIFS('Payment Breakdown Prior'!$Z$15:$Z$104,'Payment Breakdown Prior'!$AE$15:$AE$104,$A18))</f>
        <v>0</v>
      </c>
      <c r="AE18" s="0" t="n">
        <f aca="false">(SUMIFS('Payment Breakdown Current'!$AA$15:$AA$104,'Payment Breakdown Current'!$AE$15:$AE$104,$A18))-(SUMIFS('Payment Breakdown Prior'!$AA$15:$AA$104,'Payment Breakdown Prior'!$AE$15:$AE$104,$A18))</f>
        <v>0</v>
      </c>
      <c r="AF18" s="0" t="n">
        <f aca="false">(SUMIFS('Payment Breakdown Current'!$AB$15:$AB$104,'Payment Breakdown Current'!$AE$15:$AE$104,$A18))-(SUMIFS('Payment Breakdown Prior'!$AB$15:$AB$104,'Payment Breakdown Prior'!$AE$15:$AE$104,$A18))</f>
        <v>0</v>
      </c>
      <c r="AG18" s="0" t="n">
        <f aca="false">(SUMIFS('Payment Breakdown Current'!$AC$15:$AC$104,'Payment Breakdown Current'!$AE$15:$AE$104,$A18))-(SUMIFS('Payment Breakdown Prior'!$AC$15:$AC$104,'Payment Breakdown Prior'!$AE$15:$AE$104,$A18))</f>
        <v>0</v>
      </c>
      <c r="AH18" s="0" t="n">
        <f aca="false">(SUMIFS('Payment Breakdown Current'!$AD$15:$AD$104,'Payment Breakdown Current'!$AE$15:$AE$104,$A18))-(SUMIFS('Payment Breakdown Prior'!$AD$15:$AD$104,'Payment Breakdown Prior'!$AE$15:$AE$104,$A18))</f>
        <v>0</v>
      </c>
      <c r="AI18" s="0" t="n">
        <f aca="false">MAX(ABS(W18),ABS(X18),ABS(Y18),ABS(Z18),ABS(AA18),ABS(AB18),ABS(AC18),ABS(AD18),ABS(AE18),ABS(AF18),ABS(AG18),ABS(AH18))</f>
        <v>446.28</v>
      </c>
      <c r="AJ18" s="0" t="str">
        <f aca="false">IF(AI18&lt;0.005,"",IF(ABS(W18)=AI18,W$1,IF(ABS(X18)=AI18,X$1,IF(ABS(Y18)=AI18,Y$1,IF(ABS(Z18)=AI18,Z$1,IF(ABS(AA18)=AI18,AA$1,IF(ABS(AB18)=AI18,AB$1,IF(ABS(AC18)=AI18,AC$1,IF(ABS(AD18)=AI18,AD$1,IF(ABS(AE18)=AI18,AE$1,IF(ABS(AF18)=AI18,AF$1,IF(ABS(AG18)=AI18,AG$1,IF(ABS(AH18)=AI18,AH$1,"")))))))))))))</f>
        <v>Basic Salary</v>
      </c>
      <c r="AK18" s="0" t="n">
        <f aca="false">IF(AI18&lt;0.005,"",IF(ABS(W18)=AI18,W18,IF(ABS(X18)=AI18,X18,IF(ABS(Y18)=AI18,Y18,IF(ABS(Z18)=AI18,Z18,IF(ABS(AA18)=AI18,AA18,IF(ABS(AB18)=AI18,AB18,IF(ABS(AC18)=AI18,AC18,IF(ABS(AD18)=AI18,AD18,IF(ABS(AE18)=AI18,AE18,IF(ABS(AF18)=AI18,AF18,IF(ABS(AG18)=AI18,AG18,IF(ABS(AH18)=AI18,AH18,"")))))))))))))</f>
        <v>446.28</v>
      </c>
      <c r="AL18" s="0" t="str">
        <f aca="false">IF(R18=1,ABS(L18)-ROW()/100000000,"")</f>
        <v/>
      </c>
    </row>
    <row r="19" customFormat="false" ht="15" hidden="false" customHeight="false" outlineLevel="0" collapsed="false">
      <c r="A19" s="0" t="str">
        <f aca="false">IF('NPV Comparison'!D32="","",'NPV Comparison'!D32)</f>
        <v>P24371</v>
      </c>
      <c r="B19" s="13" t="n">
        <f aca="false">IF('NPV Comparison'!E32="","",'NPV Comparison'!E32)</f>
        <v>1563.64</v>
      </c>
      <c r="C19" s="13" t="n">
        <f aca="false">IF('NPV Comparison'!F32="","",'NPV Comparison'!F32)</f>
        <v>1525.4</v>
      </c>
      <c r="D19" s="0" t="str">
        <f aca="false">IF($A19="","",IFERROR(INDEX(Structure!$E$13:$E$312,MATCH($A19,Structure!$P$13:$P$312,0)),""))</f>
        <v>Hakim Group Head Office</v>
      </c>
      <c r="E19" s="0" t="n">
        <f aca="false">IF($A19="",0,IF(COUNTIF(Structure!$P$13:$P$312,$A19)=0,0,IF(COUNTIFS(Structure!$P$13:$P$312,$A19,Structure!$N$13:$N$312,"&lt;&gt;Zero Hours")=0,1,0)))</f>
        <v>0</v>
      </c>
      <c r="F19" s="0" t="n">
        <f aca="false">IF($A19="",0,1-E19)</f>
        <v>1</v>
      </c>
      <c r="G19" s="0" t="n">
        <f aca="false">IF($A19="",0,IF(COUNTIF('New Starters'!$D$14:$D$73,$A19)&gt;0,1,0))</f>
        <v>0</v>
      </c>
      <c r="H19" s="0" t="n">
        <f aca="false">IF($A19="",0,IF(COUNTIF(Leavers!$D$12:$D$71,$A19)&gt;0,1,0))</f>
        <v>0</v>
      </c>
      <c r="I19" s="0" t="str">
        <f aca="false">IF($A19="","",IFERROR(INDEX('New Starters'!$K$14:$K$73,MATCH($A19,'New Starters'!$D$14:$D$73,0)),IFERROR(INDEX(Leavers!$K$12:$K$71,MATCH($A19,Leavers!$D$12:$D$71,0)),"")))</f>
        <v/>
      </c>
      <c r="J19" s="0" t="n">
        <f aca="false">IF(AND(G19=1,I19&lt;&gt;"",COUNTIF(Leavers!$K$12:$K$71,I19)&gt;0),1,IF(AND(H19=1,I19&lt;&gt;"",COUNTIF('New Starters'!$K$14:$K$73,I19)&gt;0),1,0))</f>
        <v>0</v>
      </c>
      <c r="K19" s="14" t="n">
        <f aca="false">IF(ISNUMBER(SEARCH("Head Office",D19)),'Control Sheet'!$C$6,'Control Sheet'!$C$5)</f>
        <v>0.05</v>
      </c>
      <c r="L19" s="0" t="n">
        <f aca="false">IF(OR($A19="",AND(B19="",C19="")),"",IF(B19="",C19,IF(C19="",-B19,C19-B19)))</f>
        <v>-38.24</v>
      </c>
      <c r="M19" s="0" t="n">
        <f aca="false">IFERROR(L19/B19,"")</f>
        <v>-0.0244557570796347</v>
      </c>
      <c r="N19" s="0" t="n">
        <f aca="false">IF($A19="",0,IF(OR(B19="",C19="",C19=0,IF(ISNUMBER(M19),ABS(M19)&gt;K19,FALSE())),1,0))</f>
        <v>0</v>
      </c>
      <c r="O19" s="0" t="n">
        <f aca="false">IF(OR($A19="",L19=""),0,IF(AND(N19=1,ABS(L19)&gt;='Control Sheet'!$C$7,F19=1),1,0))</f>
        <v>0</v>
      </c>
      <c r="P19" s="0" t="str">
        <f aca="false">IF($A19="","",IF(F19=0,"Zero Hours",IF(J19=1,"Explained: Paired transfer",IF(AND(G19=1,H19=0,J19=0),"Explained: Starter",IF(AND(H19=1,G19=0,J19=0),"Explained: Leaver",IF(O19=1,"Review required","OK"))))))</f>
        <v>OK</v>
      </c>
      <c r="Q19" s="0" t="n">
        <f aca="false">IF(AND(F19=1,OR(C19="",C19=0),H19=0,J19=0),1,0)</f>
        <v>0</v>
      </c>
      <c r="R19" s="0" t="n">
        <f aca="false">IF(F19=0,0,IF(P19="Review required",1,IF(AND(P19="Explained: Starter",ISNUMBER(C19),C19&gt;=1500),1,0)))</f>
        <v>0</v>
      </c>
      <c r="S19" s="0" t="str">
        <f aca="false">IF(R19=0,"",IF(Q19=1,"High",IF(AND(P19="Explained: Starter",C19&gt;=1500),"High",IF(ABS(L19)&gt;=2000,"High",IF(ABS(L19)&gt;=500,"Medium","Low")))))</f>
        <v/>
      </c>
      <c r="T19" s="0" t="n">
        <f aca="false">SUMIFS('Payment Breakdown Prior'!$S$15:$S$104,'Payment Breakdown Prior'!$AE$15:$AE$104,$A19)</f>
        <v>2110.91</v>
      </c>
      <c r="U19" s="0" t="n">
        <f aca="false">SUMIFS('Payment Breakdown Current'!$S$15:$S$104,'Payment Breakdown Current'!$AE$15:$AE$104,$A19)</f>
        <v>2059.29</v>
      </c>
      <c r="V19" s="0" t="n">
        <f aca="false">IFERROR((U19-T19)/T19,"")</f>
        <v>-0.0244539085039153</v>
      </c>
      <c r="W19" s="0" t="n">
        <f aca="false">(SUMIFS('Payment Breakdown Current'!$S$15:$S$104,'Payment Breakdown Current'!$AE$15:$AE$104,$A19))-(SUMIFS('Payment Breakdown Prior'!$S$15:$S$104,'Payment Breakdown Prior'!$AE$15:$AE$104,$A19))</f>
        <v>-51.6199999999999</v>
      </c>
      <c r="X19" s="0" t="n">
        <f aca="false">(SUMIFS('Payment Breakdown Current'!$T$15:$T$104,'Payment Breakdown Current'!$AE$15:$AE$104,$A19))-(SUMIFS('Payment Breakdown Prior'!$T$15:$T$104,'Payment Breakdown Prior'!$AE$15:$AE$104,$A19))</f>
        <v>0</v>
      </c>
      <c r="Y19" s="0" t="n">
        <f aca="false">(SUMIFS('Payment Breakdown Current'!$U$15:$U$104,'Payment Breakdown Current'!$AE$15:$AE$104,$A19))-(SUMIFS('Payment Breakdown Prior'!$U$15:$U$104,'Payment Breakdown Prior'!$AE$15:$AE$104,$A19))</f>
        <v>0</v>
      </c>
      <c r="Z19" s="0" t="n">
        <f aca="false">(SUMIFS('Payment Breakdown Current'!$V$15:$V$104,'Payment Breakdown Current'!$AE$15:$AE$104,$A19))-(SUMIFS('Payment Breakdown Prior'!$V$15:$V$104,'Payment Breakdown Prior'!$AE$15:$AE$104,$A19))</f>
        <v>0</v>
      </c>
      <c r="AA19" s="0" t="n">
        <f aca="false">(SUMIFS('Payment Breakdown Current'!$W$15:$W$104,'Payment Breakdown Current'!$AE$15:$AE$104,$A19))-(SUMIFS('Payment Breakdown Prior'!$W$15:$W$104,'Payment Breakdown Prior'!$AE$15:$AE$104,$A19))</f>
        <v>0</v>
      </c>
      <c r="AB19" s="0" t="n">
        <f aca="false">(SUMIFS('Payment Breakdown Current'!$X$15:$X$104,'Payment Breakdown Current'!$AE$15:$AE$104,$A19))-(SUMIFS('Payment Breakdown Prior'!$X$15:$X$104,'Payment Breakdown Prior'!$AE$15:$AE$104,$A19))</f>
        <v>0</v>
      </c>
      <c r="AC19" s="0" t="n">
        <f aca="false">(SUMIFS('Payment Breakdown Current'!$Y$15:$Y$104,'Payment Breakdown Current'!$AE$15:$AE$104,$A19))-(SUMIFS('Payment Breakdown Prior'!$Y$15:$Y$104,'Payment Breakdown Prior'!$AE$15:$AE$104,$A19))</f>
        <v>0</v>
      </c>
      <c r="AD19" s="0" t="n">
        <f aca="false">(SUMIFS('Payment Breakdown Current'!$Z$15:$Z$104,'Payment Breakdown Current'!$AE$15:$AE$104,$A19))-(SUMIFS('Payment Breakdown Prior'!$Z$15:$Z$104,'Payment Breakdown Prior'!$AE$15:$AE$104,$A19))</f>
        <v>0</v>
      </c>
      <c r="AE19" s="0" t="n">
        <f aca="false">(SUMIFS('Payment Breakdown Current'!$AA$15:$AA$104,'Payment Breakdown Current'!$AE$15:$AE$104,$A19))-(SUMIFS('Payment Breakdown Prior'!$AA$15:$AA$104,'Payment Breakdown Prior'!$AE$15:$AE$104,$A19))</f>
        <v>0</v>
      </c>
      <c r="AF19" s="0" t="n">
        <f aca="false">(SUMIFS('Payment Breakdown Current'!$AB$15:$AB$104,'Payment Breakdown Current'!$AE$15:$AE$104,$A19))-(SUMIFS('Payment Breakdown Prior'!$AB$15:$AB$104,'Payment Breakdown Prior'!$AE$15:$AE$104,$A19))</f>
        <v>0</v>
      </c>
      <c r="AG19" s="0" t="n">
        <f aca="false">(SUMIFS('Payment Breakdown Current'!$AC$15:$AC$104,'Payment Breakdown Current'!$AE$15:$AE$104,$A19))-(SUMIFS('Payment Breakdown Prior'!$AC$15:$AC$104,'Payment Breakdown Prior'!$AE$15:$AE$104,$A19))</f>
        <v>0</v>
      </c>
      <c r="AH19" s="0" t="n">
        <f aca="false">(SUMIFS('Payment Breakdown Current'!$AD$15:$AD$104,'Payment Breakdown Current'!$AE$15:$AE$104,$A19))-(SUMIFS('Payment Breakdown Prior'!$AD$15:$AD$104,'Payment Breakdown Prior'!$AE$15:$AE$104,$A19))</f>
        <v>0</v>
      </c>
      <c r="AI19" s="0" t="n">
        <f aca="false">MAX(ABS(W19),ABS(X19),ABS(Y19),ABS(Z19),ABS(AA19),ABS(AB19),ABS(AC19),ABS(AD19),ABS(AE19),ABS(AF19),ABS(AG19),ABS(AH19))</f>
        <v>51.6199999999999</v>
      </c>
      <c r="AJ19" s="0" t="str">
        <f aca="false">IF(AI19&lt;0.005,"",IF(ABS(W19)=AI19,W$1,IF(ABS(X19)=AI19,X$1,IF(ABS(Y19)=AI19,Y$1,IF(ABS(Z19)=AI19,Z$1,IF(ABS(AA19)=AI19,AA$1,IF(ABS(AB19)=AI19,AB$1,IF(ABS(AC19)=AI19,AC$1,IF(ABS(AD19)=AI19,AD$1,IF(ABS(AE19)=AI19,AE$1,IF(ABS(AF19)=AI19,AF$1,IF(ABS(AG19)=AI19,AG$1,IF(ABS(AH19)=AI19,AH$1,"")))))))))))))</f>
        <v>Basic Salary</v>
      </c>
      <c r="AK19" s="0" t="n">
        <f aca="false">IF(AI19&lt;0.005,"",IF(ABS(W19)=AI19,W19,IF(ABS(X19)=AI19,X19,IF(ABS(Y19)=AI19,Y19,IF(ABS(Z19)=AI19,Z19,IF(ABS(AA19)=AI19,AA19,IF(ABS(AB19)=AI19,AB19,IF(ABS(AC19)=AI19,AC19,IF(ABS(AD19)=AI19,AD19,IF(ABS(AE19)=AI19,AE19,IF(ABS(AF19)=AI19,AF19,IF(ABS(AG19)=AI19,AG19,IF(ABS(AH19)=AI19,AH19,"")))))))))))))</f>
        <v>-51.6199999999999</v>
      </c>
      <c r="AL19" s="0" t="str">
        <f aca="false">IF(R19=1,ABS(L19)-ROW()/100000000,"")</f>
        <v/>
      </c>
    </row>
    <row r="20" customFormat="false" ht="15" hidden="false" customHeight="false" outlineLevel="0" collapsed="false">
      <c r="A20" s="0" t="str">
        <f aca="false">IF('NPV Comparison'!D33="","",'NPV Comparison'!D33)</f>
        <v>P60019</v>
      </c>
      <c r="B20" s="13" t="n">
        <f aca="false">IF('NPV Comparison'!E33="","",'NPV Comparison'!E33)</f>
        <v>2159.89</v>
      </c>
      <c r="C20" s="13" t="n">
        <f aca="false">IF('NPV Comparison'!F33="","",'NPV Comparison'!F33)</f>
        <v>1854.44</v>
      </c>
      <c r="D20" s="0" t="str">
        <f aca="false">IF($A20="","",IFERROR(INDEX(Structure!$E$13:$E$312,MATCH($A20,Structure!$P$13:$P$312,0)),""))</f>
        <v>Kings Road Dental Practice</v>
      </c>
      <c r="E20" s="0" t="n">
        <f aca="false">IF($A20="",0,IF(COUNTIF(Structure!$P$13:$P$312,$A20)=0,0,IF(COUNTIFS(Structure!$P$13:$P$312,$A20,Structure!$N$13:$N$312,"&lt;&gt;Zero Hours")=0,1,0)))</f>
        <v>0</v>
      </c>
      <c r="F20" s="0" t="n">
        <f aca="false">IF($A20="",0,1-E20)</f>
        <v>1</v>
      </c>
      <c r="G20" s="0" t="n">
        <f aca="false">IF($A20="",0,IF(COUNTIF('New Starters'!$D$14:$D$73,$A20)&gt;0,1,0))</f>
        <v>0</v>
      </c>
      <c r="H20" s="0" t="n">
        <f aca="false">IF($A20="",0,IF(COUNTIF(Leavers!$D$12:$D$71,$A20)&gt;0,1,0))</f>
        <v>0</v>
      </c>
      <c r="I20" s="0" t="str">
        <f aca="false">IF($A20="","",IFERROR(INDEX('New Starters'!$K$14:$K$73,MATCH($A20,'New Starters'!$D$14:$D$73,0)),IFERROR(INDEX(Leavers!$K$12:$K$71,MATCH($A20,Leavers!$D$12:$D$71,0)),"")))</f>
        <v/>
      </c>
      <c r="J20" s="0" t="n">
        <f aca="false">IF(AND(G20=1,I20&lt;&gt;"",COUNTIF(Leavers!$K$12:$K$71,I20)&gt;0),1,IF(AND(H20=1,I20&lt;&gt;"",COUNTIF('New Starters'!$K$14:$K$73,I20)&gt;0),1,0))</f>
        <v>0</v>
      </c>
      <c r="K20" s="14" t="n">
        <f aca="false">IF(ISNUMBER(SEARCH("Head Office",D20)),'Control Sheet'!$C$6,'Control Sheet'!$C$5)</f>
        <v>0.2</v>
      </c>
      <c r="L20" s="0" t="n">
        <f aca="false">IF(OR($A20="",AND(B20="",C20="")),"",IF(B20="",C20,IF(C20="",-B20,C20-B20)))</f>
        <v>-305.45</v>
      </c>
      <c r="M20" s="0" t="n">
        <f aca="false">IFERROR(L20/B20,"")</f>
        <v>-0.141419238942724</v>
      </c>
      <c r="N20" s="0" t="n">
        <f aca="false">IF($A20="",0,IF(OR(B20="",C20="",C20=0,IF(ISNUMBER(M20),ABS(M20)&gt;K20,FALSE())),1,0))</f>
        <v>0</v>
      </c>
      <c r="O20" s="0" t="n">
        <f aca="false">IF(OR($A20="",L20=""),0,IF(AND(N20=1,ABS(L20)&gt;='Control Sheet'!$C$7,F20=1),1,0))</f>
        <v>0</v>
      </c>
      <c r="P20" s="0" t="str">
        <f aca="false">IF($A20="","",IF(F20=0,"Zero Hours",IF(J20=1,"Explained: Paired transfer",IF(AND(G20=1,H20=0,J20=0),"Explained: Starter",IF(AND(H20=1,G20=0,J20=0),"Explained: Leaver",IF(O20=1,"Review required","OK"))))))</f>
        <v>OK</v>
      </c>
      <c r="Q20" s="0" t="n">
        <f aca="false">IF(AND(F20=1,OR(C20="",C20=0),H20=0,J20=0),1,0)</f>
        <v>0</v>
      </c>
      <c r="R20" s="0" t="n">
        <f aca="false">IF(F20=0,0,IF(P20="Review required",1,IF(AND(P20="Explained: Starter",ISNUMBER(C20),C20&gt;=1500),1,0)))</f>
        <v>0</v>
      </c>
      <c r="S20" s="0" t="str">
        <f aca="false">IF(R20=0,"",IF(Q20=1,"High",IF(AND(P20="Explained: Starter",C20&gt;=1500),"High",IF(ABS(L20)&gt;=2000,"High",IF(ABS(L20)&gt;=500,"Medium","Low")))))</f>
        <v/>
      </c>
      <c r="T20" s="0" t="n">
        <f aca="false">SUMIFS('Payment Breakdown Prior'!$S$15:$S$104,'Payment Breakdown Prior'!$AE$15:$AE$104,$A20)</f>
        <v>2915.85</v>
      </c>
      <c r="U20" s="0" t="n">
        <f aca="false">SUMIFS('Payment Breakdown Current'!$S$15:$S$104,'Payment Breakdown Current'!$AE$15:$AE$104,$A20)</f>
        <v>2503.49</v>
      </c>
      <c r="V20" s="0" t="n">
        <f aca="false">IFERROR((U20-T20)/T20,"")</f>
        <v>-0.141420169075913</v>
      </c>
      <c r="W20" s="0" t="n">
        <f aca="false">(SUMIFS('Payment Breakdown Current'!$S$15:$S$104,'Payment Breakdown Current'!$AE$15:$AE$104,$A20))-(SUMIFS('Payment Breakdown Prior'!$S$15:$S$104,'Payment Breakdown Prior'!$AE$15:$AE$104,$A20))</f>
        <v>-412.36</v>
      </c>
      <c r="X20" s="0" t="n">
        <f aca="false">(SUMIFS('Payment Breakdown Current'!$T$15:$T$104,'Payment Breakdown Current'!$AE$15:$AE$104,$A20))-(SUMIFS('Payment Breakdown Prior'!$T$15:$T$104,'Payment Breakdown Prior'!$AE$15:$AE$104,$A20))</f>
        <v>0</v>
      </c>
      <c r="Y20" s="0" t="n">
        <f aca="false">(SUMIFS('Payment Breakdown Current'!$U$15:$U$104,'Payment Breakdown Current'!$AE$15:$AE$104,$A20))-(SUMIFS('Payment Breakdown Prior'!$U$15:$U$104,'Payment Breakdown Prior'!$AE$15:$AE$104,$A20))</f>
        <v>0</v>
      </c>
      <c r="Z20" s="0" t="n">
        <f aca="false">(SUMIFS('Payment Breakdown Current'!$V$15:$V$104,'Payment Breakdown Current'!$AE$15:$AE$104,$A20))-(SUMIFS('Payment Breakdown Prior'!$V$15:$V$104,'Payment Breakdown Prior'!$AE$15:$AE$104,$A20))</f>
        <v>0</v>
      </c>
      <c r="AA20" s="0" t="n">
        <f aca="false">(SUMIFS('Payment Breakdown Current'!$W$15:$W$104,'Payment Breakdown Current'!$AE$15:$AE$104,$A20))-(SUMIFS('Payment Breakdown Prior'!$W$15:$W$104,'Payment Breakdown Prior'!$AE$15:$AE$104,$A20))</f>
        <v>0</v>
      </c>
      <c r="AB20" s="0" t="n">
        <f aca="false">(SUMIFS('Payment Breakdown Current'!$X$15:$X$104,'Payment Breakdown Current'!$AE$15:$AE$104,$A20))-(SUMIFS('Payment Breakdown Prior'!$X$15:$X$104,'Payment Breakdown Prior'!$AE$15:$AE$104,$A20))</f>
        <v>0</v>
      </c>
      <c r="AC20" s="0" t="n">
        <f aca="false">(SUMIFS('Payment Breakdown Current'!$Y$15:$Y$104,'Payment Breakdown Current'!$AE$15:$AE$104,$A20))-(SUMIFS('Payment Breakdown Prior'!$Y$15:$Y$104,'Payment Breakdown Prior'!$AE$15:$AE$104,$A20))</f>
        <v>0</v>
      </c>
      <c r="AD20" s="0" t="n">
        <f aca="false">(SUMIFS('Payment Breakdown Current'!$Z$15:$Z$104,'Payment Breakdown Current'!$AE$15:$AE$104,$A20))-(SUMIFS('Payment Breakdown Prior'!$Z$15:$Z$104,'Payment Breakdown Prior'!$AE$15:$AE$104,$A20))</f>
        <v>0</v>
      </c>
      <c r="AE20" s="0" t="n">
        <f aca="false">(SUMIFS('Payment Breakdown Current'!$AA$15:$AA$104,'Payment Breakdown Current'!$AE$15:$AE$104,$A20))-(SUMIFS('Payment Breakdown Prior'!$AA$15:$AA$104,'Payment Breakdown Prior'!$AE$15:$AE$104,$A20))</f>
        <v>0</v>
      </c>
      <c r="AF20" s="0" t="n">
        <f aca="false">(SUMIFS('Payment Breakdown Current'!$AB$15:$AB$104,'Payment Breakdown Current'!$AE$15:$AE$104,$A20))-(SUMIFS('Payment Breakdown Prior'!$AB$15:$AB$104,'Payment Breakdown Prior'!$AE$15:$AE$104,$A20))</f>
        <v>0</v>
      </c>
      <c r="AG20" s="0" t="n">
        <f aca="false">(SUMIFS('Payment Breakdown Current'!$AC$15:$AC$104,'Payment Breakdown Current'!$AE$15:$AE$104,$A20))-(SUMIFS('Payment Breakdown Prior'!$AC$15:$AC$104,'Payment Breakdown Prior'!$AE$15:$AE$104,$A20))</f>
        <v>0</v>
      </c>
      <c r="AH20" s="0" t="n">
        <f aca="false">(SUMIFS('Payment Breakdown Current'!$AD$15:$AD$104,'Payment Breakdown Current'!$AE$15:$AE$104,$A20))-(SUMIFS('Payment Breakdown Prior'!$AD$15:$AD$104,'Payment Breakdown Prior'!$AE$15:$AE$104,$A20))</f>
        <v>0</v>
      </c>
      <c r="AI20" s="0" t="n">
        <f aca="false">MAX(ABS(W20),ABS(X20),ABS(Y20),ABS(Z20),ABS(AA20),ABS(AB20),ABS(AC20),ABS(AD20),ABS(AE20),ABS(AF20),ABS(AG20),ABS(AH20))</f>
        <v>412.36</v>
      </c>
      <c r="AJ20" s="0" t="str">
        <f aca="false">IF(AI20&lt;0.005,"",IF(ABS(W20)=AI20,W$1,IF(ABS(X20)=AI20,X$1,IF(ABS(Y20)=AI20,Y$1,IF(ABS(Z20)=AI20,Z$1,IF(ABS(AA20)=AI20,AA$1,IF(ABS(AB20)=AI20,AB$1,IF(ABS(AC20)=AI20,AC$1,IF(ABS(AD20)=AI20,AD$1,IF(ABS(AE20)=AI20,AE$1,IF(ABS(AF20)=AI20,AF$1,IF(ABS(AG20)=AI20,AG$1,IF(ABS(AH20)=AI20,AH$1,"")))))))))))))</f>
        <v>Basic Salary</v>
      </c>
      <c r="AK20" s="0" t="n">
        <f aca="false">IF(AI20&lt;0.005,"",IF(ABS(W20)=AI20,W20,IF(ABS(X20)=AI20,X20,IF(ABS(Y20)=AI20,Y20,IF(ABS(Z20)=AI20,Z20,IF(ABS(AA20)=AI20,AA20,IF(ABS(AB20)=AI20,AB20,IF(ABS(AC20)=AI20,AC20,IF(ABS(AD20)=AI20,AD20,IF(ABS(AE20)=AI20,AE20,IF(ABS(AF20)=AI20,AF20,IF(ABS(AG20)=AI20,AG20,IF(ABS(AH20)=AI20,AH20,"")))))))))))))</f>
        <v>-412.36</v>
      </c>
      <c r="AL20" s="0" t="str">
        <f aca="false">IF(R20=1,ABS(L20)-ROW()/100000000,"")</f>
        <v/>
      </c>
    </row>
    <row r="21" customFormat="false" ht="15" hidden="false" customHeight="false" outlineLevel="0" collapsed="false">
      <c r="A21" s="0" t="str">
        <f aca="false">IF('NPV Comparison'!D34="","",'NPV Comparison'!D34)</f>
        <v>P11504</v>
      </c>
      <c r="B21" s="13" t="n">
        <f aca="false">IF('NPV Comparison'!E34="","",'NPV Comparison'!E34)</f>
        <v>2352.41</v>
      </c>
      <c r="C21" s="13" t="n">
        <f aca="false">IF('NPV Comparison'!F34="","",'NPV Comparison'!F34)</f>
        <v>2412.25</v>
      </c>
      <c r="D21" s="0" t="str">
        <f aca="false">IF($A21="","",IFERROR(INDEX(Structure!$E$13:$E$312,MATCH($A21,Structure!$P$13:$P$312,0)),""))</f>
        <v>Hakim Group Head Office</v>
      </c>
      <c r="E21" s="0" t="n">
        <f aca="false">IF($A21="",0,IF(COUNTIF(Structure!$P$13:$P$312,$A21)=0,0,IF(COUNTIFS(Structure!$P$13:$P$312,$A21,Structure!$N$13:$N$312,"&lt;&gt;Zero Hours")=0,1,0)))</f>
        <v>0</v>
      </c>
      <c r="F21" s="0" t="n">
        <f aca="false">IF($A21="",0,1-E21)</f>
        <v>1</v>
      </c>
      <c r="G21" s="0" t="n">
        <f aca="false">IF($A21="",0,IF(COUNTIF('New Starters'!$D$14:$D$73,$A21)&gt;0,1,0))</f>
        <v>0</v>
      </c>
      <c r="H21" s="0" t="n">
        <f aca="false">IF($A21="",0,IF(COUNTIF(Leavers!$D$12:$D$71,$A21)&gt;0,1,0))</f>
        <v>0</v>
      </c>
      <c r="I21" s="0" t="str">
        <f aca="false">IF($A21="","",IFERROR(INDEX('New Starters'!$K$14:$K$73,MATCH($A21,'New Starters'!$D$14:$D$73,0)),IFERROR(INDEX(Leavers!$K$12:$K$71,MATCH($A21,Leavers!$D$12:$D$71,0)),"")))</f>
        <v/>
      </c>
      <c r="J21" s="0" t="n">
        <f aca="false">IF(AND(G21=1,I21&lt;&gt;"",COUNTIF(Leavers!$K$12:$K$71,I21)&gt;0),1,IF(AND(H21=1,I21&lt;&gt;"",COUNTIF('New Starters'!$K$14:$K$73,I21)&gt;0),1,0))</f>
        <v>0</v>
      </c>
      <c r="K21" s="14" t="n">
        <f aca="false">IF(ISNUMBER(SEARCH("Head Office",D21)),'Control Sheet'!$C$6,'Control Sheet'!$C$5)</f>
        <v>0.05</v>
      </c>
      <c r="L21" s="0" t="n">
        <f aca="false">IF(OR($A21="",AND(B21="",C21="")),"",IF(B21="",C21,IF(C21="",-B21,C21-B21)))</f>
        <v>59.8400000000001</v>
      </c>
      <c r="M21" s="0" t="n">
        <f aca="false">IFERROR(L21/B21,"")</f>
        <v>0.0254377425703853</v>
      </c>
      <c r="N21" s="0" t="n">
        <f aca="false">IF($A21="",0,IF(OR(B21="",C21="",C21=0,IF(ISNUMBER(M21),ABS(M21)&gt;K21,FALSE())),1,0))</f>
        <v>0</v>
      </c>
      <c r="O21" s="0" t="n">
        <f aca="false">IF(OR($A21="",L21=""),0,IF(AND(N21=1,ABS(L21)&gt;='Control Sheet'!$C$7,F21=1),1,0))</f>
        <v>0</v>
      </c>
      <c r="P21" s="0" t="str">
        <f aca="false">IF($A21="","",IF(F21=0,"Zero Hours",IF(J21=1,"Explained: Paired transfer",IF(AND(G21=1,H21=0,J21=0),"Explained: Starter",IF(AND(H21=1,G21=0,J21=0),"Explained: Leaver",IF(O21=1,"Review required","OK"))))))</f>
        <v>OK</v>
      </c>
      <c r="Q21" s="0" t="n">
        <f aca="false">IF(AND(F21=1,OR(C21="",C21=0),H21=0,J21=0),1,0)</f>
        <v>0</v>
      </c>
      <c r="R21" s="0" t="n">
        <f aca="false">IF(F21=0,0,IF(P21="Review required",1,IF(AND(P21="Explained: Starter",ISNUMBER(C21),C21&gt;=1500),1,0)))</f>
        <v>0</v>
      </c>
      <c r="S21" s="0" t="str">
        <f aca="false">IF(R21=0,"",IF(Q21=1,"High",IF(AND(P21="Explained: Starter",C21&gt;=1500),"High",IF(ABS(L21)&gt;=2000,"High",IF(ABS(L21)&gt;=500,"Medium","Low")))))</f>
        <v/>
      </c>
      <c r="T21" s="0" t="n">
        <f aca="false">SUMIFS('Payment Breakdown Prior'!$S$15:$S$104,'Payment Breakdown Prior'!$AE$15:$AE$104,$A21)</f>
        <v>3175.75</v>
      </c>
      <c r="U21" s="0" t="n">
        <f aca="false">SUMIFS('Payment Breakdown Current'!$S$15:$S$104,'Payment Breakdown Current'!$AE$15:$AE$104,$A21)</f>
        <v>3256.54</v>
      </c>
      <c r="V21" s="0" t="n">
        <f aca="false">IFERROR((U21-T21)/T21,"")</f>
        <v>0.0254396599228529</v>
      </c>
      <c r="W21" s="0" t="n">
        <f aca="false">(SUMIFS('Payment Breakdown Current'!$S$15:$S$104,'Payment Breakdown Current'!$AE$15:$AE$104,$A21))-(SUMIFS('Payment Breakdown Prior'!$S$15:$S$104,'Payment Breakdown Prior'!$AE$15:$AE$104,$A21))</f>
        <v>80.79</v>
      </c>
      <c r="X21" s="0" t="n">
        <f aca="false">(SUMIFS('Payment Breakdown Current'!$T$15:$T$104,'Payment Breakdown Current'!$AE$15:$AE$104,$A21))-(SUMIFS('Payment Breakdown Prior'!$T$15:$T$104,'Payment Breakdown Prior'!$AE$15:$AE$104,$A21))</f>
        <v>0</v>
      </c>
      <c r="Y21" s="0" t="n">
        <f aca="false">(SUMIFS('Payment Breakdown Current'!$U$15:$U$104,'Payment Breakdown Current'!$AE$15:$AE$104,$A21))-(SUMIFS('Payment Breakdown Prior'!$U$15:$U$104,'Payment Breakdown Prior'!$AE$15:$AE$104,$A21))</f>
        <v>0</v>
      </c>
      <c r="Z21" s="0" t="n">
        <f aca="false">(SUMIFS('Payment Breakdown Current'!$V$15:$V$104,'Payment Breakdown Current'!$AE$15:$AE$104,$A21))-(SUMIFS('Payment Breakdown Prior'!$V$15:$V$104,'Payment Breakdown Prior'!$AE$15:$AE$104,$A21))</f>
        <v>0</v>
      </c>
      <c r="AA21" s="0" t="n">
        <f aca="false">(SUMIFS('Payment Breakdown Current'!$W$15:$W$104,'Payment Breakdown Current'!$AE$15:$AE$104,$A21))-(SUMIFS('Payment Breakdown Prior'!$W$15:$W$104,'Payment Breakdown Prior'!$AE$15:$AE$104,$A21))</f>
        <v>0</v>
      </c>
      <c r="AB21" s="0" t="n">
        <f aca="false">(SUMIFS('Payment Breakdown Current'!$X$15:$X$104,'Payment Breakdown Current'!$AE$15:$AE$104,$A21))-(SUMIFS('Payment Breakdown Prior'!$X$15:$X$104,'Payment Breakdown Prior'!$AE$15:$AE$104,$A21))</f>
        <v>0</v>
      </c>
      <c r="AC21" s="0" t="n">
        <f aca="false">(SUMIFS('Payment Breakdown Current'!$Y$15:$Y$104,'Payment Breakdown Current'!$AE$15:$AE$104,$A21))-(SUMIFS('Payment Breakdown Prior'!$Y$15:$Y$104,'Payment Breakdown Prior'!$AE$15:$AE$104,$A21))</f>
        <v>0</v>
      </c>
      <c r="AD21" s="0" t="n">
        <f aca="false">(SUMIFS('Payment Breakdown Current'!$Z$15:$Z$104,'Payment Breakdown Current'!$AE$15:$AE$104,$A21))-(SUMIFS('Payment Breakdown Prior'!$Z$15:$Z$104,'Payment Breakdown Prior'!$AE$15:$AE$104,$A21))</f>
        <v>0</v>
      </c>
      <c r="AE21" s="0" t="n">
        <f aca="false">(SUMIFS('Payment Breakdown Current'!$AA$15:$AA$104,'Payment Breakdown Current'!$AE$15:$AE$104,$A21))-(SUMIFS('Payment Breakdown Prior'!$AA$15:$AA$104,'Payment Breakdown Prior'!$AE$15:$AE$104,$A21))</f>
        <v>0</v>
      </c>
      <c r="AF21" s="0" t="n">
        <f aca="false">(SUMIFS('Payment Breakdown Current'!$AB$15:$AB$104,'Payment Breakdown Current'!$AE$15:$AE$104,$A21))-(SUMIFS('Payment Breakdown Prior'!$AB$15:$AB$104,'Payment Breakdown Prior'!$AE$15:$AE$104,$A21))</f>
        <v>0</v>
      </c>
      <c r="AG21" s="0" t="n">
        <f aca="false">(SUMIFS('Payment Breakdown Current'!$AC$15:$AC$104,'Payment Breakdown Current'!$AE$15:$AE$104,$A21))-(SUMIFS('Payment Breakdown Prior'!$AC$15:$AC$104,'Payment Breakdown Prior'!$AE$15:$AE$104,$A21))</f>
        <v>0</v>
      </c>
      <c r="AH21" s="0" t="n">
        <f aca="false">(SUMIFS('Payment Breakdown Current'!$AD$15:$AD$104,'Payment Breakdown Current'!$AE$15:$AE$104,$A21))-(SUMIFS('Payment Breakdown Prior'!$AD$15:$AD$104,'Payment Breakdown Prior'!$AE$15:$AE$104,$A21))</f>
        <v>0</v>
      </c>
      <c r="AI21" s="0" t="n">
        <f aca="false">MAX(ABS(W21),ABS(X21),ABS(Y21),ABS(Z21),ABS(AA21),ABS(AB21),ABS(AC21),ABS(AD21),ABS(AE21),ABS(AF21),ABS(AG21),ABS(AH21))</f>
        <v>80.79</v>
      </c>
      <c r="AJ21" s="0" t="str">
        <f aca="false">IF(AI21&lt;0.005,"",IF(ABS(W21)=AI21,W$1,IF(ABS(X21)=AI21,X$1,IF(ABS(Y21)=AI21,Y$1,IF(ABS(Z21)=AI21,Z$1,IF(ABS(AA21)=AI21,AA$1,IF(ABS(AB21)=AI21,AB$1,IF(ABS(AC21)=AI21,AC$1,IF(ABS(AD21)=AI21,AD$1,IF(ABS(AE21)=AI21,AE$1,IF(ABS(AF21)=AI21,AF$1,IF(ABS(AG21)=AI21,AG$1,IF(ABS(AH21)=AI21,AH$1,"")))))))))))))</f>
        <v>Basic Salary</v>
      </c>
      <c r="AK21" s="0" t="n">
        <f aca="false">IF(AI21&lt;0.005,"",IF(ABS(W21)=AI21,W21,IF(ABS(X21)=AI21,X21,IF(ABS(Y21)=AI21,Y21,IF(ABS(Z21)=AI21,Z21,IF(ABS(AA21)=AI21,AA21,IF(ABS(AB21)=AI21,AB21,IF(ABS(AC21)=AI21,AC21,IF(ABS(AD21)=AI21,AD21,IF(ABS(AE21)=AI21,AE21,IF(ABS(AF21)=AI21,AF21,IF(ABS(AG21)=AI21,AG21,IF(ABS(AH21)=AI21,AH21,"")))))))))))))</f>
        <v>80.79</v>
      </c>
      <c r="AL21" s="0" t="str">
        <f aca="false">IF(R21=1,ABS(L21)-ROW()/100000000,"")</f>
        <v/>
      </c>
    </row>
    <row r="22" customFormat="false" ht="15" hidden="false" customHeight="false" outlineLevel="0" collapsed="false">
      <c r="A22" s="0" t="str">
        <f aca="false">IF('NPV Comparison'!D35="","",'NPV Comparison'!D35)</f>
        <v>P54587</v>
      </c>
      <c r="B22" s="13" t="n">
        <f aca="false">IF('NPV Comparison'!E35="","",'NPV Comparison'!E35)</f>
        <v>2751.58</v>
      </c>
      <c r="C22" s="13" t="n">
        <f aca="false">IF('NPV Comparison'!F35="","",'NPV Comparison'!F35)</f>
        <v>2991.04</v>
      </c>
      <c r="D22" s="0" t="str">
        <f aca="false">IF($A22="","",IFERROR(INDEX(Structure!$E$13:$E$312,MATCH($A22,Structure!$P$13:$P$312,0)),""))</f>
        <v>Riverside Dental Practice</v>
      </c>
      <c r="E22" s="0" t="n">
        <f aca="false">IF($A22="",0,IF(COUNTIF(Structure!$P$13:$P$312,$A22)=0,0,IF(COUNTIFS(Structure!$P$13:$P$312,$A22,Structure!$N$13:$N$312,"&lt;&gt;Zero Hours")=0,1,0)))</f>
        <v>0</v>
      </c>
      <c r="F22" s="0" t="n">
        <f aca="false">IF($A22="",0,1-E22)</f>
        <v>1</v>
      </c>
      <c r="G22" s="0" t="n">
        <f aca="false">IF($A22="",0,IF(COUNTIF('New Starters'!$D$14:$D$73,$A22)&gt;0,1,0))</f>
        <v>0</v>
      </c>
      <c r="H22" s="0" t="n">
        <f aca="false">IF($A22="",0,IF(COUNTIF(Leavers!$D$12:$D$71,$A22)&gt;0,1,0))</f>
        <v>0</v>
      </c>
      <c r="I22" s="0" t="str">
        <f aca="false">IF($A22="","",IFERROR(INDEX('New Starters'!$K$14:$K$73,MATCH($A22,'New Starters'!$D$14:$D$73,0)),IFERROR(INDEX(Leavers!$K$12:$K$71,MATCH($A22,Leavers!$D$12:$D$71,0)),"")))</f>
        <v/>
      </c>
      <c r="J22" s="0" t="n">
        <f aca="false">IF(AND(G22=1,I22&lt;&gt;"",COUNTIF(Leavers!$K$12:$K$71,I22)&gt;0),1,IF(AND(H22=1,I22&lt;&gt;"",COUNTIF('New Starters'!$K$14:$K$73,I22)&gt;0),1,0))</f>
        <v>0</v>
      </c>
      <c r="K22" s="14" t="n">
        <f aca="false">IF(ISNUMBER(SEARCH("Head Office",D22)),'Control Sheet'!$C$6,'Control Sheet'!$C$5)</f>
        <v>0.2</v>
      </c>
      <c r="L22" s="0" t="n">
        <f aca="false">IF(OR($A22="",AND(B22="",C22="")),"",IF(B22="",C22,IF(C22="",-B22,C22-B22)))</f>
        <v>239.46</v>
      </c>
      <c r="M22" s="0" t="n">
        <f aca="false">IFERROR(L22/B22,"")</f>
        <v>0.0870263630350562</v>
      </c>
      <c r="N22" s="0" t="n">
        <f aca="false">IF($A22="",0,IF(OR(B22="",C22="",C22=0,IF(ISNUMBER(M22),ABS(M22)&gt;K22,FALSE())),1,0))</f>
        <v>0</v>
      </c>
      <c r="O22" s="0" t="n">
        <f aca="false">IF(OR($A22="",L22=""),0,IF(AND(N22=1,ABS(L22)&gt;='Control Sheet'!$C$7,F22=1),1,0))</f>
        <v>0</v>
      </c>
      <c r="P22" s="0" t="str">
        <f aca="false">IF($A22="","",IF(F22=0,"Zero Hours",IF(J22=1,"Explained: Paired transfer",IF(AND(G22=1,H22=0,J22=0),"Explained: Starter",IF(AND(H22=1,G22=0,J22=0),"Explained: Leaver",IF(O22=1,"Review required","OK"))))))</f>
        <v>OK</v>
      </c>
      <c r="Q22" s="0" t="n">
        <f aca="false">IF(AND(F22=1,OR(C22="",C22=0),H22=0,J22=0),1,0)</f>
        <v>0</v>
      </c>
      <c r="R22" s="0" t="n">
        <f aca="false">IF(F22=0,0,IF(P22="Review required",1,IF(AND(P22="Explained: Starter",ISNUMBER(C22),C22&gt;=1500),1,0)))</f>
        <v>0</v>
      </c>
      <c r="S22" s="0" t="str">
        <f aca="false">IF(R22=0,"",IF(Q22=1,"High",IF(AND(P22="Explained: Starter",C22&gt;=1500),"High",IF(ABS(L22)&gt;=2000,"High",IF(ABS(L22)&gt;=500,"Medium","Low")))))</f>
        <v/>
      </c>
      <c r="T22" s="0" t="n">
        <f aca="false">SUMIFS('Payment Breakdown Prior'!$S$15:$S$104,'Payment Breakdown Prior'!$AE$15:$AE$104,$A22)</f>
        <v>3714.63</v>
      </c>
      <c r="U22" s="0" t="n">
        <f aca="false">SUMIFS('Payment Breakdown Current'!$S$15:$S$104,'Payment Breakdown Current'!$AE$15:$AE$104,$A22)</f>
        <v>4037.9</v>
      </c>
      <c r="V22" s="0" t="n">
        <f aca="false">IFERROR((U22-T22)/T22,"")</f>
        <v>0.0870261641132495</v>
      </c>
      <c r="W22" s="0" t="n">
        <f aca="false">(SUMIFS('Payment Breakdown Current'!$S$15:$S$104,'Payment Breakdown Current'!$AE$15:$AE$104,$A22))-(SUMIFS('Payment Breakdown Prior'!$S$15:$S$104,'Payment Breakdown Prior'!$AE$15:$AE$104,$A22))</f>
        <v>323.27</v>
      </c>
      <c r="X22" s="0" t="n">
        <f aca="false">(SUMIFS('Payment Breakdown Current'!$T$15:$T$104,'Payment Breakdown Current'!$AE$15:$AE$104,$A22))-(SUMIFS('Payment Breakdown Prior'!$T$15:$T$104,'Payment Breakdown Prior'!$AE$15:$AE$104,$A22))</f>
        <v>0</v>
      </c>
      <c r="Y22" s="0" t="n">
        <f aca="false">(SUMIFS('Payment Breakdown Current'!$U$15:$U$104,'Payment Breakdown Current'!$AE$15:$AE$104,$A22))-(SUMIFS('Payment Breakdown Prior'!$U$15:$U$104,'Payment Breakdown Prior'!$AE$15:$AE$104,$A22))</f>
        <v>0</v>
      </c>
      <c r="Z22" s="0" t="n">
        <f aca="false">(SUMIFS('Payment Breakdown Current'!$V$15:$V$104,'Payment Breakdown Current'!$AE$15:$AE$104,$A22))-(SUMIFS('Payment Breakdown Prior'!$V$15:$V$104,'Payment Breakdown Prior'!$AE$15:$AE$104,$A22))</f>
        <v>0</v>
      </c>
      <c r="AA22" s="0" t="n">
        <f aca="false">(SUMIFS('Payment Breakdown Current'!$W$15:$W$104,'Payment Breakdown Current'!$AE$15:$AE$104,$A22))-(SUMIFS('Payment Breakdown Prior'!$W$15:$W$104,'Payment Breakdown Prior'!$AE$15:$AE$104,$A22))</f>
        <v>0</v>
      </c>
      <c r="AB22" s="0" t="n">
        <f aca="false">(SUMIFS('Payment Breakdown Current'!$X$15:$X$104,'Payment Breakdown Current'!$AE$15:$AE$104,$A22))-(SUMIFS('Payment Breakdown Prior'!$X$15:$X$104,'Payment Breakdown Prior'!$AE$15:$AE$104,$A22))</f>
        <v>0</v>
      </c>
      <c r="AC22" s="0" t="n">
        <f aca="false">(SUMIFS('Payment Breakdown Current'!$Y$15:$Y$104,'Payment Breakdown Current'!$AE$15:$AE$104,$A22))-(SUMIFS('Payment Breakdown Prior'!$Y$15:$Y$104,'Payment Breakdown Prior'!$AE$15:$AE$104,$A22))</f>
        <v>0</v>
      </c>
      <c r="AD22" s="0" t="n">
        <f aca="false">(SUMIFS('Payment Breakdown Current'!$Z$15:$Z$104,'Payment Breakdown Current'!$AE$15:$AE$104,$A22))-(SUMIFS('Payment Breakdown Prior'!$Z$15:$Z$104,'Payment Breakdown Prior'!$AE$15:$AE$104,$A22))</f>
        <v>0</v>
      </c>
      <c r="AE22" s="0" t="n">
        <f aca="false">(SUMIFS('Payment Breakdown Current'!$AA$15:$AA$104,'Payment Breakdown Current'!$AE$15:$AE$104,$A22))-(SUMIFS('Payment Breakdown Prior'!$AA$15:$AA$104,'Payment Breakdown Prior'!$AE$15:$AE$104,$A22))</f>
        <v>0</v>
      </c>
      <c r="AF22" s="0" t="n">
        <f aca="false">(SUMIFS('Payment Breakdown Current'!$AB$15:$AB$104,'Payment Breakdown Current'!$AE$15:$AE$104,$A22))-(SUMIFS('Payment Breakdown Prior'!$AB$15:$AB$104,'Payment Breakdown Prior'!$AE$15:$AE$104,$A22))</f>
        <v>0</v>
      </c>
      <c r="AG22" s="0" t="n">
        <f aca="false">(SUMIFS('Payment Breakdown Current'!$AC$15:$AC$104,'Payment Breakdown Current'!$AE$15:$AE$104,$A22))-(SUMIFS('Payment Breakdown Prior'!$AC$15:$AC$104,'Payment Breakdown Prior'!$AE$15:$AE$104,$A22))</f>
        <v>0</v>
      </c>
      <c r="AH22" s="0" t="n">
        <f aca="false">(SUMIFS('Payment Breakdown Current'!$AD$15:$AD$104,'Payment Breakdown Current'!$AE$15:$AE$104,$A22))-(SUMIFS('Payment Breakdown Prior'!$AD$15:$AD$104,'Payment Breakdown Prior'!$AE$15:$AE$104,$A22))</f>
        <v>0</v>
      </c>
      <c r="AI22" s="0" t="n">
        <f aca="false">MAX(ABS(W22),ABS(X22),ABS(Y22),ABS(Z22),ABS(AA22),ABS(AB22),ABS(AC22),ABS(AD22),ABS(AE22),ABS(AF22),ABS(AG22),ABS(AH22))</f>
        <v>323.27</v>
      </c>
      <c r="AJ22" s="0" t="str">
        <f aca="false">IF(AI22&lt;0.005,"",IF(ABS(W22)=AI22,W$1,IF(ABS(X22)=AI22,X$1,IF(ABS(Y22)=AI22,Y$1,IF(ABS(Z22)=AI22,Z$1,IF(ABS(AA22)=AI22,AA$1,IF(ABS(AB22)=AI22,AB$1,IF(ABS(AC22)=AI22,AC$1,IF(ABS(AD22)=AI22,AD$1,IF(ABS(AE22)=AI22,AE$1,IF(ABS(AF22)=AI22,AF$1,IF(ABS(AG22)=AI22,AG$1,IF(ABS(AH22)=AI22,AH$1,"")))))))))))))</f>
        <v>Basic Salary</v>
      </c>
      <c r="AK22" s="0" t="n">
        <f aca="false">IF(AI22&lt;0.005,"",IF(ABS(W22)=AI22,W22,IF(ABS(X22)=AI22,X22,IF(ABS(Y22)=AI22,Y22,IF(ABS(Z22)=AI22,Z22,IF(ABS(AA22)=AI22,AA22,IF(ABS(AB22)=AI22,AB22,IF(ABS(AC22)=AI22,AC22,IF(ABS(AD22)=AI22,AD22,IF(ABS(AE22)=AI22,AE22,IF(ABS(AF22)=AI22,AF22,IF(ABS(AG22)=AI22,AG22,IF(ABS(AH22)=AI22,AH22,"")))))))))))))</f>
        <v>323.27</v>
      </c>
      <c r="AL22" s="0" t="str">
        <f aca="false">IF(R22=1,ABS(L22)-ROW()/100000000,"")</f>
        <v/>
      </c>
    </row>
    <row r="23" customFormat="false" ht="15" hidden="false" customHeight="false" outlineLevel="0" collapsed="false">
      <c r="A23" s="0" t="str">
        <f aca="false">IF('NPV Comparison'!D36="","",'NPV Comparison'!D36)</f>
        <v>P44522</v>
      </c>
      <c r="B23" s="13" t="n">
        <f aca="false">IF('NPV Comparison'!E36="","",'NPV Comparison'!E36)</f>
        <v>2216.7</v>
      </c>
      <c r="C23" s="13" t="n">
        <f aca="false">IF('NPV Comparison'!F36="","",'NPV Comparison'!F36)</f>
        <v>2542.64</v>
      </c>
      <c r="D23" s="0" t="str">
        <f aca="false">IF($A23="","",IFERROR(INDEX(Structure!$E$13:$E$312,MATCH($A23,Structure!$P$13:$P$312,0)),""))</f>
        <v>Riverside Dental Practice</v>
      </c>
      <c r="E23" s="0" t="n">
        <f aca="false">IF($A23="",0,IF(COUNTIF(Structure!$P$13:$P$312,$A23)=0,0,IF(COUNTIFS(Structure!$P$13:$P$312,$A23,Structure!$N$13:$N$312,"&lt;&gt;Zero Hours")=0,1,0)))</f>
        <v>0</v>
      </c>
      <c r="F23" s="0" t="n">
        <f aca="false">IF($A23="",0,1-E23)</f>
        <v>1</v>
      </c>
      <c r="G23" s="0" t="n">
        <f aca="false">IF($A23="",0,IF(COUNTIF('New Starters'!$D$14:$D$73,$A23)&gt;0,1,0))</f>
        <v>0</v>
      </c>
      <c r="H23" s="0" t="n">
        <f aca="false">IF($A23="",0,IF(COUNTIF(Leavers!$D$12:$D$71,$A23)&gt;0,1,0))</f>
        <v>0</v>
      </c>
      <c r="I23" s="0" t="str">
        <f aca="false">IF($A23="","",IFERROR(INDEX('New Starters'!$K$14:$K$73,MATCH($A23,'New Starters'!$D$14:$D$73,0)),IFERROR(INDEX(Leavers!$K$12:$K$71,MATCH($A23,Leavers!$D$12:$D$71,0)),"")))</f>
        <v/>
      </c>
      <c r="J23" s="0" t="n">
        <f aca="false">IF(AND(G23=1,I23&lt;&gt;"",COUNTIF(Leavers!$K$12:$K$71,I23)&gt;0),1,IF(AND(H23=1,I23&lt;&gt;"",COUNTIF('New Starters'!$K$14:$K$73,I23)&gt;0),1,0))</f>
        <v>0</v>
      </c>
      <c r="K23" s="14" t="n">
        <f aca="false">IF(ISNUMBER(SEARCH("Head Office",D23)),'Control Sheet'!$C$6,'Control Sheet'!$C$5)</f>
        <v>0.2</v>
      </c>
      <c r="L23" s="0" t="n">
        <f aca="false">IF(OR($A23="",AND(B23="",C23="")),"",IF(B23="",C23,IF(C23="",-B23,C23-B23)))</f>
        <v>325.94</v>
      </c>
      <c r="M23" s="0" t="n">
        <f aca="false">IFERROR(L23/B23,"")</f>
        <v>0.147038390400144</v>
      </c>
      <c r="N23" s="0" t="n">
        <f aca="false">IF($A23="",0,IF(OR(B23="",C23="",C23=0,IF(ISNUMBER(M23),ABS(M23)&gt;K23,FALSE())),1,0))</f>
        <v>0</v>
      </c>
      <c r="O23" s="0" t="n">
        <f aca="false">IF(OR($A23="",L23=""),0,IF(AND(N23=1,ABS(L23)&gt;='Control Sheet'!$C$7,F23=1),1,0))</f>
        <v>0</v>
      </c>
      <c r="P23" s="0" t="str">
        <f aca="false">IF($A23="","",IF(F23=0,"Zero Hours",IF(J23=1,"Explained: Paired transfer",IF(AND(G23=1,H23=0,J23=0),"Explained: Starter",IF(AND(H23=1,G23=0,J23=0),"Explained: Leaver",IF(O23=1,"Review required","OK"))))))</f>
        <v>OK</v>
      </c>
      <c r="Q23" s="0" t="n">
        <f aca="false">IF(AND(F23=1,OR(C23="",C23=0),H23=0,J23=0),1,0)</f>
        <v>0</v>
      </c>
      <c r="R23" s="0" t="n">
        <f aca="false">IF(F23=0,0,IF(P23="Review required",1,IF(AND(P23="Explained: Starter",ISNUMBER(C23),C23&gt;=1500),1,0)))</f>
        <v>0</v>
      </c>
      <c r="S23" s="0" t="str">
        <f aca="false">IF(R23=0,"",IF(Q23=1,"High",IF(AND(P23="Explained: Starter",C23&gt;=1500),"High",IF(ABS(L23)&gt;=2000,"High",IF(ABS(L23)&gt;=500,"Medium","Low")))))</f>
        <v/>
      </c>
      <c r="T23" s="0" t="n">
        <f aca="false">SUMIFS('Payment Breakdown Prior'!$S$15:$S$104,'Payment Breakdown Prior'!$AE$15:$AE$104,$A23)</f>
        <v>2992.55</v>
      </c>
      <c r="U23" s="0" t="n">
        <f aca="false">SUMIFS('Payment Breakdown Current'!$S$15:$S$104,'Payment Breakdown Current'!$AE$15:$AE$104,$A23)</f>
        <v>3432.56</v>
      </c>
      <c r="V23" s="0" t="n">
        <f aca="false">IFERROR((U23-T23)/T23,"")</f>
        <v>0.147035137257523</v>
      </c>
      <c r="W23" s="0" t="n">
        <f aca="false">(SUMIFS('Payment Breakdown Current'!$S$15:$S$104,'Payment Breakdown Current'!$AE$15:$AE$104,$A23))-(SUMIFS('Payment Breakdown Prior'!$S$15:$S$104,'Payment Breakdown Prior'!$AE$15:$AE$104,$A23))</f>
        <v>440.01</v>
      </c>
      <c r="X23" s="0" t="n">
        <f aca="false">(SUMIFS('Payment Breakdown Current'!$T$15:$T$104,'Payment Breakdown Current'!$AE$15:$AE$104,$A23))-(SUMIFS('Payment Breakdown Prior'!$T$15:$T$104,'Payment Breakdown Prior'!$AE$15:$AE$104,$A23))</f>
        <v>0</v>
      </c>
      <c r="Y23" s="0" t="n">
        <f aca="false">(SUMIFS('Payment Breakdown Current'!$U$15:$U$104,'Payment Breakdown Current'!$AE$15:$AE$104,$A23))-(SUMIFS('Payment Breakdown Prior'!$U$15:$U$104,'Payment Breakdown Prior'!$AE$15:$AE$104,$A23))</f>
        <v>0</v>
      </c>
      <c r="Z23" s="0" t="n">
        <f aca="false">(SUMIFS('Payment Breakdown Current'!$V$15:$V$104,'Payment Breakdown Current'!$AE$15:$AE$104,$A23))-(SUMIFS('Payment Breakdown Prior'!$V$15:$V$104,'Payment Breakdown Prior'!$AE$15:$AE$104,$A23))</f>
        <v>0</v>
      </c>
      <c r="AA23" s="0" t="n">
        <f aca="false">(SUMIFS('Payment Breakdown Current'!$W$15:$W$104,'Payment Breakdown Current'!$AE$15:$AE$104,$A23))-(SUMIFS('Payment Breakdown Prior'!$W$15:$W$104,'Payment Breakdown Prior'!$AE$15:$AE$104,$A23))</f>
        <v>0</v>
      </c>
      <c r="AB23" s="0" t="n">
        <f aca="false">(SUMIFS('Payment Breakdown Current'!$X$15:$X$104,'Payment Breakdown Current'!$AE$15:$AE$104,$A23))-(SUMIFS('Payment Breakdown Prior'!$X$15:$X$104,'Payment Breakdown Prior'!$AE$15:$AE$104,$A23))</f>
        <v>0</v>
      </c>
      <c r="AC23" s="0" t="n">
        <f aca="false">(SUMIFS('Payment Breakdown Current'!$Y$15:$Y$104,'Payment Breakdown Current'!$AE$15:$AE$104,$A23))-(SUMIFS('Payment Breakdown Prior'!$Y$15:$Y$104,'Payment Breakdown Prior'!$AE$15:$AE$104,$A23))</f>
        <v>0</v>
      </c>
      <c r="AD23" s="0" t="n">
        <f aca="false">(SUMIFS('Payment Breakdown Current'!$Z$15:$Z$104,'Payment Breakdown Current'!$AE$15:$AE$104,$A23))-(SUMIFS('Payment Breakdown Prior'!$Z$15:$Z$104,'Payment Breakdown Prior'!$AE$15:$AE$104,$A23))</f>
        <v>0</v>
      </c>
      <c r="AE23" s="0" t="n">
        <f aca="false">(SUMIFS('Payment Breakdown Current'!$AA$15:$AA$104,'Payment Breakdown Current'!$AE$15:$AE$104,$A23))-(SUMIFS('Payment Breakdown Prior'!$AA$15:$AA$104,'Payment Breakdown Prior'!$AE$15:$AE$104,$A23))</f>
        <v>0</v>
      </c>
      <c r="AF23" s="0" t="n">
        <f aca="false">(SUMIFS('Payment Breakdown Current'!$AB$15:$AB$104,'Payment Breakdown Current'!$AE$15:$AE$104,$A23))-(SUMIFS('Payment Breakdown Prior'!$AB$15:$AB$104,'Payment Breakdown Prior'!$AE$15:$AE$104,$A23))</f>
        <v>0</v>
      </c>
      <c r="AG23" s="0" t="n">
        <f aca="false">(SUMIFS('Payment Breakdown Current'!$AC$15:$AC$104,'Payment Breakdown Current'!$AE$15:$AE$104,$A23))-(SUMIFS('Payment Breakdown Prior'!$AC$15:$AC$104,'Payment Breakdown Prior'!$AE$15:$AE$104,$A23))</f>
        <v>0</v>
      </c>
      <c r="AH23" s="0" t="n">
        <f aca="false">(SUMIFS('Payment Breakdown Current'!$AD$15:$AD$104,'Payment Breakdown Current'!$AE$15:$AE$104,$A23))-(SUMIFS('Payment Breakdown Prior'!$AD$15:$AD$104,'Payment Breakdown Prior'!$AE$15:$AE$104,$A23))</f>
        <v>0</v>
      </c>
      <c r="AI23" s="0" t="n">
        <f aca="false">MAX(ABS(W23),ABS(X23),ABS(Y23),ABS(Z23),ABS(AA23),ABS(AB23),ABS(AC23),ABS(AD23),ABS(AE23),ABS(AF23),ABS(AG23),ABS(AH23))</f>
        <v>440.01</v>
      </c>
      <c r="AJ23" s="0" t="str">
        <f aca="false">IF(AI23&lt;0.005,"",IF(ABS(W23)=AI23,W$1,IF(ABS(X23)=AI23,X$1,IF(ABS(Y23)=AI23,Y$1,IF(ABS(Z23)=AI23,Z$1,IF(ABS(AA23)=AI23,AA$1,IF(ABS(AB23)=AI23,AB$1,IF(ABS(AC23)=AI23,AC$1,IF(ABS(AD23)=AI23,AD$1,IF(ABS(AE23)=AI23,AE$1,IF(ABS(AF23)=AI23,AF$1,IF(ABS(AG23)=AI23,AG$1,IF(ABS(AH23)=AI23,AH$1,"")))))))))))))</f>
        <v>Basic Salary</v>
      </c>
      <c r="AK23" s="0" t="n">
        <f aca="false">IF(AI23&lt;0.005,"",IF(ABS(W23)=AI23,W23,IF(ABS(X23)=AI23,X23,IF(ABS(Y23)=AI23,Y23,IF(ABS(Z23)=AI23,Z23,IF(ABS(AA23)=AI23,AA23,IF(ABS(AB23)=AI23,AB23,IF(ABS(AC23)=AI23,AC23,IF(ABS(AD23)=AI23,AD23,IF(ABS(AE23)=AI23,AE23,IF(ABS(AF23)=AI23,AF23,IF(ABS(AG23)=AI23,AG23,IF(ABS(AH23)=AI23,AH23,"")))))))))))))</f>
        <v>440.01</v>
      </c>
      <c r="AL23" s="0" t="str">
        <f aca="false">IF(R23=1,ABS(L23)-ROW()/100000000,"")</f>
        <v/>
      </c>
    </row>
    <row r="24" customFormat="false" ht="15" hidden="false" customHeight="false" outlineLevel="0" collapsed="false">
      <c r="A24" s="0" t="str">
        <f aca="false">IF('NPV Comparison'!D37="","",'NPV Comparison'!D37)</f>
        <v>P91959</v>
      </c>
      <c r="B24" s="13" t="n">
        <f aca="false">IF('NPV Comparison'!E37="","",'NPV Comparison'!E37)</f>
        <v>2313.83</v>
      </c>
      <c r="C24" s="13" t="n">
        <f aca="false">IF('NPV Comparison'!F37="","",'NPV Comparison'!F37)</f>
        <v>2264.65</v>
      </c>
      <c r="D24" s="0" t="str">
        <f aca="false">IF($A24="","",IFERROR(INDEX(Structure!$E$13:$E$312,MATCH($A24,Structure!$P$13:$P$312,0)),""))</f>
        <v>Hakim Group Head Office</v>
      </c>
      <c r="E24" s="0" t="n">
        <f aca="false">IF($A24="",0,IF(COUNTIF(Structure!$P$13:$P$312,$A24)=0,0,IF(COUNTIFS(Structure!$P$13:$P$312,$A24,Structure!$N$13:$N$312,"&lt;&gt;Zero Hours")=0,1,0)))</f>
        <v>0</v>
      </c>
      <c r="F24" s="0" t="n">
        <f aca="false">IF($A24="",0,1-E24)</f>
        <v>1</v>
      </c>
      <c r="G24" s="0" t="n">
        <f aca="false">IF($A24="",0,IF(COUNTIF('New Starters'!$D$14:$D$73,$A24)&gt;0,1,0))</f>
        <v>0</v>
      </c>
      <c r="H24" s="0" t="n">
        <f aca="false">IF($A24="",0,IF(COUNTIF(Leavers!$D$12:$D$71,$A24)&gt;0,1,0))</f>
        <v>0</v>
      </c>
      <c r="I24" s="0" t="str">
        <f aca="false">IF($A24="","",IFERROR(INDEX('New Starters'!$K$14:$K$73,MATCH($A24,'New Starters'!$D$14:$D$73,0)),IFERROR(INDEX(Leavers!$K$12:$K$71,MATCH($A24,Leavers!$D$12:$D$71,0)),"")))</f>
        <v/>
      </c>
      <c r="J24" s="0" t="n">
        <f aca="false">IF(AND(G24=1,I24&lt;&gt;"",COUNTIF(Leavers!$K$12:$K$71,I24)&gt;0),1,IF(AND(H24=1,I24&lt;&gt;"",COUNTIF('New Starters'!$K$14:$K$73,I24)&gt;0),1,0))</f>
        <v>0</v>
      </c>
      <c r="K24" s="14" t="n">
        <f aca="false">IF(ISNUMBER(SEARCH("Head Office",D24)),'Control Sheet'!$C$6,'Control Sheet'!$C$5)</f>
        <v>0.05</v>
      </c>
      <c r="L24" s="0" t="n">
        <f aca="false">IF(OR($A24="",AND(B24="",C24="")),"",IF(B24="",C24,IF(C24="",-B24,C24-B24)))</f>
        <v>-49.1799999999998</v>
      </c>
      <c r="M24" s="0" t="n">
        <f aca="false">IFERROR(L24/B24,"")</f>
        <v>-0.0212548026432365</v>
      </c>
      <c r="N24" s="0" t="n">
        <f aca="false">IF($A24="",0,IF(OR(B24="",C24="",C24=0,IF(ISNUMBER(M24),ABS(M24)&gt;K24,FALSE())),1,0))</f>
        <v>0</v>
      </c>
      <c r="O24" s="0" t="n">
        <f aca="false">IF(OR($A24="",L24=""),0,IF(AND(N24=1,ABS(L24)&gt;='Control Sheet'!$C$7,F24=1),1,0))</f>
        <v>0</v>
      </c>
      <c r="P24" s="0" t="str">
        <f aca="false">IF($A24="","",IF(F24=0,"Zero Hours",IF(J24=1,"Explained: Paired transfer",IF(AND(G24=1,H24=0,J24=0),"Explained: Starter",IF(AND(H24=1,G24=0,J24=0),"Explained: Leaver",IF(O24=1,"Review required","OK"))))))</f>
        <v>OK</v>
      </c>
      <c r="Q24" s="0" t="n">
        <f aca="false">IF(AND(F24=1,OR(C24="",C24=0),H24=0,J24=0),1,0)</f>
        <v>0</v>
      </c>
      <c r="R24" s="0" t="n">
        <f aca="false">IF(F24=0,0,IF(P24="Review required",1,IF(AND(P24="Explained: Starter",ISNUMBER(C24),C24&gt;=1500),1,0)))</f>
        <v>0</v>
      </c>
      <c r="S24" s="0" t="str">
        <f aca="false">IF(R24=0,"",IF(Q24=1,"High",IF(AND(P24="Explained: Starter",C24&gt;=1500),"High",IF(ABS(L24)&gt;=2000,"High",IF(ABS(L24)&gt;=500,"Medium","Low")))))</f>
        <v/>
      </c>
      <c r="T24" s="0" t="n">
        <f aca="false">SUMIFS('Payment Breakdown Prior'!$S$15:$S$104,'Payment Breakdown Prior'!$AE$15:$AE$104,$A24)</f>
        <v>3123.67</v>
      </c>
      <c r="U24" s="0" t="n">
        <f aca="false">SUMIFS('Payment Breakdown Current'!$S$15:$S$104,'Payment Breakdown Current'!$AE$15:$AE$104,$A24)</f>
        <v>3057.28</v>
      </c>
      <c r="V24" s="0" t="n">
        <f aca="false">IFERROR((U24-T24)/T24,"")</f>
        <v>-0.0212538456367029</v>
      </c>
      <c r="W24" s="0" t="n">
        <f aca="false">(SUMIFS('Payment Breakdown Current'!$S$15:$S$104,'Payment Breakdown Current'!$AE$15:$AE$104,$A24))-(SUMIFS('Payment Breakdown Prior'!$S$15:$S$104,'Payment Breakdown Prior'!$AE$15:$AE$104,$A24))</f>
        <v>-66.3899999999999</v>
      </c>
      <c r="X24" s="0" t="n">
        <f aca="false">(SUMIFS('Payment Breakdown Current'!$T$15:$T$104,'Payment Breakdown Current'!$AE$15:$AE$104,$A24))-(SUMIFS('Payment Breakdown Prior'!$T$15:$T$104,'Payment Breakdown Prior'!$AE$15:$AE$104,$A24))</f>
        <v>0</v>
      </c>
      <c r="Y24" s="0" t="n">
        <f aca="false">(SUMIFS('Payment Breakdown Current'!$U$15:$U$104,'Payment Breakdown Current'!$AE$15:$AE$104,$A24))-(SUMIFS('Payment Breakdown Prior'!$U$15:$U$104,'Payment Breakdown Prior'!$AE$15:$AE$104,$A24))</f>
        <v>0</v>
      </c>
      <c r="Z24" s="0" t="n">
        <f aca="false">(SUMIFS('Payment Breakdown Current'!$V$15:$V$104,'Payment Breakdown Current'!$AE$15:$AE$104,$A24))-(SUMIFS('Payment Breakdown Prior'!$V$15:$V$104,'Payment Breakdown Prior'!$AE$15:$AE$104,$A24))</f>
        <v>0</v>
      </c>
      <c r="AA24" s="0" t="n">
        <f aca="false">(SUMIFS('Payment Breakdown Current'!$W$15:$W$104,'Payment Breakdown Current'!$AE$15:$AE$104,$A24))-(SUMIFS('Payment Breakdown Prior'!$W$15:$W$104,'Payment Breakdown Prior'!$AE$15:$AE$104,$A24))</f>
        <v>0</v>
      </c>
      <c r="AB24" s="0" t="n">
        <f aca="false">(SUMIFS('Payment Breakdown Current'!$X$15:$X$104,'Payment Breakdown Current'!$AE$15:$AE$104,$A24))-(SUMIFS('Payment Breakdown Prior'!$X$15:$X$104,'Payment Breakdown Prior'!$AE$15:$AE$104,$A24))</f>
        <v>0</v>
      </c>
      <c r="AC24" s="0" t="n">
        <f aca="false">(SUMIFS('Payment Breakdown Current'!$Y$15:$Y$104,'Payment Breakdown Current'!$AE$15:$AE$104,$A24))-(SUMIFS('Payment Breakdown Prior'!$Y$15:$Y$104,'Payment Breakdown Prior'!$AE$15:$AE$104,$A24))</f>
        <v>0</v>
      </c>
      <c r="AD24" s="0" t="n">
        <f aca="false">(SUMIFS('Payment Breakdown Current'!$Z$15:$Z$104,'Payment Breakdown Current'!$AE$15:$AE$104,$A24))-(SUMIFS('Payment Breakdown Prior'!$Z$15:$Z$104,'Payment Breakdown Prior'!$AE$15:$AE$104,$A24))</f>
        <v>0</v>
      </c>
      <c r="AE24" s="0" t="n">
        <f aca="false">(SUMIFS('Payment Breakdown Current'!$AA$15:$AA$104,'Payment Breakdown Current'!$AE$15:$AE$104,$A24))-(SUMIFS('Payment Breakdown Prior'!$AA$15:$AA$104,'Payment Breakdown Prior'!$AE$15:$AE$104,$A24))</f>
        <v>0</v>
      </c>
      <c r="AF24" s="0" t="n">
        <f aca="false">(SUMIFS('Payment Breakdown Current'!$AB$15:$AB$104,'Payment Breakdown Current'!$AE$15:$AE$104,$A24))-(SUMIFS('Payment Breakdown Prior'!$AB$15:$AB$104,'Payment Breakdown Prior'!$AE$15:$AE$104,$A24))</f>
        <v>0</v>
      </c>
      <c r="AG24" s="0" t="n">
        <f aca="false">(SUMIFS('Payment Breakdown Current'!$AC$15:$AC$104,'Payment Breakdown Current'!$AE$15:$AE$104,$A24))-(SUMIFS('Payment Breakdown Prior'!$AC$15:$AC$104,'Payment Breakdown Prior'!$AE$15:$AE$104,$A24))</f>
        <v>0</v>
      </c>
      <c r="AH24" s="0" t="n">
        <f aca="false">(SUMIFS('Payment Breakdown Current'!$AD$15:$AD$104,'Payment Breakdown Current'!$AE$15:$AE$104,$A24))-(SUMIFS('Payment Breakdown Prior'!$AD$15:$AD$104,'Payment Breakdown Prior'!$AE$15:$AE$104,$A24))</f>
        <v>0</v>
      </c>
      <c r="AI24" s="0" t="n">
        <f aca="false">MAX(ABS(W24),ABS(X24),ABS(Y24),ABS(Z24),ABS(AA24),ABS(AB24),ABS(AC24),ABS(AD24),ABS(AE24),ABS(AF24),ABS(AG24),ABS(AH24))</f>
        <v>66.3899999999999</v>
      </c>
      <c r="AJ24" s="0" t="str">
        <f aca="false">IF(AI24&lt;0.005,"",IF(ABS(W24)=AI24,W$1,IF(ABS(X24)=AI24,X$1,IF(ABS(Y24)=AI24,Y$1,IF(ABS(Z24)=AI24,Z$1,IF(ABS(AA24)=AI24,AA$1,IF(ABS(AB24)=AI24,AB$1,IF(ABS(AC24)=AI24,AC$1,IF(ABS(AD24)=AI24,AD$1,IF(ABS(AE24)=AI24,AE$1,IF(ABS(AF24)=AI24,AF$1,IF(ABS(AG24)=AI24,AG$1,IF(ABS(AH24)=AI24,AH$1,"")))))))))))))</f>
        <v>Basic Salary</v>
      </c>
      <c r="AK24" s="0" t="n">
        <f aca="false">IF(AI24&lt;0.005,"",IF(ABS(W24)=AI24,W24,IF(ABS(X24)=AI24,X24,IF(ABS(Y24)=AI24,Y24,IF(ABS(Z24)=AI24,Z24,IF(ABS(AA24)=AI24,AA24,IF(ABS(AB24)=AI24,AB24,IF(ABS(AC24)=AI24,AC24,IF(ABS(AD24)=AI24,AD24,IF(ABS(AE24)=AI24,AE24,IF(ABS(AF24)=AI24,AF24,IF(ABS(AG24)=AI24,AG24,IF(ABS(AH24)=AI24,AH24,"")))))))))))))</f>
        <v>-66.3899999999999</v>
      </c>
      <c r="AL24" s="0" t="str">
        <f aca="false">IF(R24=1,ABS(L24)-ROW()/100000000,"")</f>
        <v/>
      </c>
    </row>
    <row r="25" customFormat="false" ht="15" hidden="false" customHeight="false" outlineLevel="0" collapsed="false">
      <c r="A25" s="0" t="str">
        <f aca="false">IF('NPV Comparison'!D38="","",'NPV Comparison'!D38)</f>
        <v>P80697</v>
      </c>
      <c r="B25" s="13" t="n">
        <f aca="false">IF('NPV Comparison'!E38="","",'NPV Comparison'!E38)</f>
        <v>1675.11</v>
      </c>
      <c r="C25" s="13" t="n">
        <f aca="false">IF('NPV Comparison'!F38="","",'NPV Comparison'!F38)</f>
        <v>1817.58</v>
      </c>
      <c r="D25" s="0" t="str">
        <f aca="false">IF($A25="","",IFERROR(INDEX(Structure!$E$13:$E$312,MATCH($A25,Structure!$P$13:$P$312,0)),""))</f>
        <v>Elm Park Dental Practice</v>
      </c>
      <c r="E25" s="0" t="n">
        <f aca="false">IF($A25="",0,IF(COUNTIF(Structure!$P$13:$P$312,$A25)=0,0,IF(COUNTIFS(Structure!$P$13:$P$312,$A25,Structure!$N$13:$N$312,"&lt;&gt;Zero Hours")=0,1,0)))</f>
        <v>0</v>
      </c>
      <c r="F25" s="0" t="n">
        <f aca="false">IF($A25="",0,1-E25)</f>
        <v>1</v>
      </c>
      <c r="G25" s="0" t="n">
        <f aca="false">IF($A25="",0,IF(COUNTIF('New Starters'!$D$14:$D$73,$A25)&gt;0,1,0))</f>
        <v>0</v>
      </c>
      <c r="H25" s="0" t="n">
        <f aca="false">IF($A25="",0,IF(COUNTIF(Leavers!$D$12:$D$71,$A25)&gt;0,1,0))</f>
        <v>0</v>
      </c>
      <c r="I25" s="0" t="str">
        <f aca="false">IF($A25="","",IFERROR(INDEX('New Starters'!$K$14:$K$73,MATCH($A25,'New Starters'!$D$14:$D$73,0)),IFERROR(INDEX(Leavers!$K$12:$K$71,MATCH($A25,Leavers!$D$12:$D$71,0)),"")))</f>
        <v/>
      </c>
      <c r="J25" s="0" t="n">
        <f aca="false">IF(AND(G25=1,I25&lt;&gt;"",COUNTIF(Leavers!$K$12:$K$71,I25)&gt;0),1,IF(AND(H25=1,I25&lt;&gt;"",COUNTIF('New Starters'!$K$14:$K$73,I25)&gt;0),1,0))</f>
        <v>0</v>
      </c>
      <c r="K25" s="14" t="n">
        <f aca="false">IF(ISNUMBER(SEARCH("Head Office",D25)),'Control Sheet'!$C$6,'Control Sheet'!$C$5)</f>
        <v>0.2</v>
      </c>
      <c r="L25" s="0" t="n">
        <f aca="false">IF(OR($A25="",AND(B25="",C25="")),"",IF(B25="",C25,IF(C25="",-B25,C25-B25)))</f>
        <v>142.47</v>
      </c>
      <c r="M25" s="0" t="n">
        <f aca="false">IFERROR(L25/B25,"")</f>
        <v>0.0850511309705034</v>
      </c>
      <c r="N25" s="0" t="n">
        <f aca="false">IF($A25="",0,IF(OR(B25="",C25="",C25=0,IF(ISNUMBER(M25),ABS(M25)&gt;K25,FALSE())),1,0))</f>
        <v>0</v>
      </c>
      <c r="O25" s="0" t="n">
        <f aca="false">IF(OR($A25="",L25=""),0,IF(AND(N25=1,ABS(L25)&gt;='Control Sheet'!$C$7,F25=1),1,0))</f>
        <v>0</v>
      </c>
      <c r="P25" s="0" t="str">
        <f aca="false">IF($A25="","",IF(F25=0,"Zero Hours",IF(J25=1,"Explained: Paired transfer",IF(AND(G25=1,H25=0,J25=0),"Explained: Starter",IF(AND(H25=1,G25=0,J25=0),"Explained: Leaver",IF(O25=1,"Review required","OK"))))))</f>
        <v>OK</v>
      </c>
      <c r="Q25" s="0" t="n">
        <f aca="false">IF(AND(F25=1,OR(C25="",C25=0),H25=0,J25=0),1,0)</f>
        <v>0</v>
      </c>
      <c r="R25" s="0" t="n">
        <f aca="false">IF(F25=0,0,IF(P25="Review required",1,IF(AND(P25="Explained: Starter",ISNUMBER(C25),C25&gt;=1500),1,0)))</f>
        <v>0</v>
      </c>
      <c r="S25" s="0" t="str">
        <f aca="false">IF(R25=0,"",IF(Q25=1,"High",IF(AND(P25="Explained: Starter",C25&gt;=1500),"High",IF(ABS(L25)&gt;=2000,"High",IF(ABS(L25)&gt;=500,"Medium","Low")))))</f>
        <v/>
      </c>
      <c r="T25" s="0" t="n">
        <f aca="false">SUMIFS('Payment Breakdown Prior'!$S$15:$S$104,'Payment Breakdown Prior'!$AE$15:$AE$104,$A25)</f>
        <v>2261.4</v>
      </c>
      <c r="U25" s="0" t="n">
        <f aca="false">SUMIFS('Payment Breakdown Current'!$S$15:$S$104,'Payment Breakdown Current'!$AE$15:$AE$104,$A25)</f>
        <v>2453.73</v>
      </c>
      <c r="V25" s="0" t="n">
        <f aca="false">IFERROR((U25-T25)/T25,"")</f>
        <v>0.0850490846378349</v>
      </c>
      <c r="W25" s="0" t="n">
        <f aca="false">(SUMIFS('Payment Breakdown Current'!$S$15:$S$104,'Payment Breakdown Current'!$AE$15:$AE$104,$A25))-(SUMIFS('Payment Breakdown Prior'!$S$15:$S$104,'Payment Breakdown Prior'!$AE$15:$AE$104,$A25))</f>
        <v>192.33</v>
      </c>
      <c r="X25" s="0" t="n">
        <f aca="false">(SUMIFS('Payment Breakdown Current'!$T$15:$T$104,'Payment Breakdown Current'!$AE$15:$AE$104,$A25))-(SUMIFS('Payment Breakdown Prior'!$T$15:$T$104,'Payment Breakdown Prior'!$AE$15:$AE$104,$A25))</f>
        <v>0</v>
      </c>
      <c r="Y25" s="0" t="n">
        <f aca="false">(SUMIFS('Payment Breakdown Current'!$U$15:$U$104,'Payment Breakdown Current'!$AE$15:$AE$104,$A25))-(SUMIFS('Payment Breakdown Prior'!$U$15:$U$104,'Payment Breakdown Prior'!$AE$15:$AE$104,$A25))</f>
        <v>0</v>
      </c>
      <c r="Z25" s="0" t="n">
        <f aca="false">(SUMIFS('Payment Breakdown Current'!$V$15:$V$104,'Payment Breakdown Current'!$AE$15:$AE$104,$A25))-(SUMIFS('Payment Breakdown Prior'!$V$15:$V$104,'Payment Breakdown Prior'!$AE$15:$AE$104,$A25))</f>
        <v>0</v>
      </c>
      <c r="AA25" s="0" t="n">
        <f aca="false">(SUMIFS('Payment Breakdown Current'!$W$15:$W$104,'Payment Breakdown Current'!$AE$15:$AE$104,$A25))-(SUMIFS('Payment Breakdown Prior'!$W$15:$W$104,'Payment Breakdown Prior'!$AE$15:$AE$104,$A25))</f>
        <v>0</v>
      </c>
      <c r="AB25" s="0" t="n">
        <f aca="false">(SUMIFS('Payment Breakdown Current'!$X$15:$X$104,'Payment Breakdown Current'!$AE$15:$AE$104,$A25))-(SUMIFS('Payment Breakdown Prior'!$X$15:$X$104,'Payment Breakdown Prior'!$AE$15:$AE$104,$A25))</f>
        <v>0</v>
      </c>
      <c r="AC25" s="0" t="n">
        <f aca="false">(SUMIFS('Payment Breakdown Current'!$Y$15:$Y$104,'Payment Breakdown Current'!$AE$15:$AE$104,$A25))-(SUMIFS('Payment Breakdown Prior'!$Y$15:$Y$104,'Payment Breakdown Prior'!$AE$15:$AE$104,$A25))</f>
        <v>0</v>
      </c>
      <c r="AD25" s="0" t="n">
        <f aca="false">(SUMIFS('Payment Breakdown Current'!$Z$15:$Z$104,'Payment Breakdown Current'!$AE$15:$AE$104,$A25))-(SUMIFS('Payment Breakdown Prior'!$Z$15:$Z$104,'Payment Breakdown Prior'!$AE$15:$AE$104,$A25))</f>
        <v>0</v>
      </c>
      <c r="AE25" s="0" t="n">
        <f aca="false">(SUMIFS('Payment Breakdown Current'!$AA$15:$AA$104,'Payment Breakdown Current'!$AE$15:$AE$104,$A25))-(SUMIFS('Payment Breakdown Prior'!$AA$15:$AA$104,'Payment Breakdown Prior'!$AE$15:$AE$104,$A25))</f>
        <v>0</v>
      </c>
      <c r="AF25" s="0" t="n">
        <f aca="false">(SUMIFS('Payment Breakdown Current'!$AB$15:$AB$104,'Payment Breakdown Current'!$AE$15:$AE$104,$A25))-(SUMIFS('Payment Breakdown Prior'!$AB$15:$AB$104,'Payment Breakdown Prior'!$AE$15:$AE$104,$A25))</f>
        <v>0</v>
      </c>
      <c r="AG25" s="0" t="n">
        <f aca="false">(SUMIFS('Payment Breakdown Current'!$AC$15:$AC$104,'Payment Breakdown Current'!$AE$15:$AE$104,$A25))-(SUMIFS('Payment Breakdown Prior'!$AC$15:$AC$104,'Payment Breakdown Prior'!$AE$15:$AE$104,$A25))</f>
        <v>0</v>
      </c>
      <c r="AH25" s="0" t="n">
        <f aca="false">(SUMIFS('Payment Breakdown Current'!$AD$15:$AD$104,'Payment Breakdown Current'!$AE$15:$AE$104,$A25))-(SUMIFS('Payment Breakdown Prior'!$AD$15:$AD$104,'Payment Breakdown Prior'!$AE$15:$AE$104,$A25))</f>
        <v>0</v>
      </c>
      <c r="AI25" s="0" t="n">
        <f aca="false">MAX(ABS(W25),ABS(X25),ABS(Y25),ABS(Z25),ABS(AA25),ABS(AB25),ABS(AC25),ABS(AD25),ABS(AE25),ABS(AF25),ABS(AG25),ABS(AH25))</f>
        <v>192.33</v>
      </c>
      <c r="AJ25" s="0" t="str">
        <f aca="false">IF(AI25&lt;0.005,"",IF(ABS(W25)=AI25,W$1,IF(ABS(X25)=AI25,X$1,IF(ABS(Y25)=AI25,Y$1,IF(ABS(Z25)=AI25,Z$1,IF(ABS(AA25)=AI25,AA$1,IF(ABS(AB25)=AI25,AB$1,IF(ABS(AC25)=AI25,AC$1,IF(ABS(AD25)=AI25,AD$1,IF(ABS(AE25)=AI25,AE$1,IF(ABS(AF25)=AI25,AF$1,IF(ABS(AG25)=AI25,AG$1,IF(ABS(AH25)=AI25,AH$1,"")))))))))))))</f>
        <v>Basic Salary</v>
      </c>
      <c r="AK25" s="0" t="n">
        <f aca="false">IF(AI25&lt;0.005,"",IF(ABS(W25)=AI25,W25,IF(ABS(X25)=AI25,X25,IF(ABS(Y25)=AI25,Y25,IF(ABS(Z25)=AI25,Z25,IF(ABS(AA25)=AI25,AA25,IF(ABS(AB25)=AI25,AB25,IF(ABS(AC25)=AI25,AC25,IF(ABS(AD25)=AI25,AD25,IF(ABS(AE25)=AI25,AE25,IF(ABS(AF25)=AI25,AF25,IF(ABS(AG25)=AI25,AG25,IF(ABS(AH25)=AI25,AH25,"")))))))))))))</f>
        <v>192.33</v>
      </c>
      <c r="AL25" s="0" t="str">
        <f aca="false">IF(R25=1,ABS(L25)-ROW()/100000000,"")</f>
        <v/>
      </c>
    </row>
    <row r="26" customFormat="false" ht="15" hidden="false" customHeight="false" outlineLevel="0" collapsed="false">
      <c r="A26" s="0" t="str">
        <f aca="false">IF('NPV Comparison'!D39="","",'NPV Comparison'!D39)</f>
        <v>P24662</v>
      </c>
      <c r="B26" s="13" t="n">
        <f aca="false">IF('NPV Comparison'!E39="","",'NPV Comparison'!E39)</f>
        <v>2478.1</v>
      </c>
      <c r="C26" s="13" t="n">
        <f aca="false">IF('NPV Comparison'!F39="","",'NPV Comparison'!F39)</f>
        <v>2476.58</v>
      </c>
      <c r="D26" s="0" t="str">
        <f aca="false">IF($A26="","",IFERROR(INDEX(Structure!$E$13:$E$312,MATCH($A26,Structure!$P$13:$P$312,0)),""))</f>
        <v>Hakim Group Head Office</v>
      </c>
      <c r="E26" s="0" t="n">
        <f aca="false">IF($A26="",0,IF(COUNTIF(Structure!$P$13:$P$312,$A26)=0,0,IF(COUNTIFS(Structure!$P$13:$P$312,$A26,Structure!$N$13:$N$312,"&lt;&gt;Zero Hours")=0,1,0)))</f>
        <v>0</v>
      </c>
      <c r="F26" s="0" t="n">
        <f aca="false">IF($A26="",0,1-E26)</f>
        <v>1</v>
      </c>
      <c r="G26" s="0" t="n">
        <f aca="false">IF($A26="",0,IF(COUNTIF('New Starters'!$D$14:$D$73,$A26)&gt;0,1,0))</f>
        <v>0</v>
      </c>
      <c r="H26" s="0" t="n">
        <f aca="false">IF($A26="",0,IF(COUNTIF(Leavers!$D$12:$D$71,$A26)&gt;0,1,0))</f>
        <v>0</v>
      </c>
      <c r="I26" s="0" t="str">
        <f aca="false">IF($A26="","",IFERROR(INDEX('New Starters'!$K$14:$K$73,MATCH($A26,'New Starters'!$D$14:$D$73,0)),IFERROR(INDEX(Leavers!$K$12:$K$71,MATCH($A26,Leavers!$D$12:$D$71,0)),"")))</f>
        <v/>
      </c>
      <c r="J26" s="0" t="n">
        <f aca="false">IF(AND(G26=1,I26&lt;&gt;"",COUNTIF(Leavers!$K$12:$K$71,I26)&gt;0),1,IF(AND(H26=1,I26&lt;&gt;"",COUNTIF('New Starters'!$K$14:$K$73,I26)&gt;0),1,0))</f>
        <v>0</v>
      </c>
      <c r="K26" s="14" t="n">
        <f aca="false">IF(ISNUMBER(SEARCH("Head Office",D26)),'Control Sheet'!$C$6,'Control Sheet'!$C$5)</f>
        <v>0.05</v>
      </c>
      <c r="L26" s="0" t="n">
        <f aca="false">IF(OR($A26="",AND(B26="",C26="")),"",IF(B26="",C26,IF(C26="",-B26,C26-B26)))</f>
        <v>-1.51999999999998</v>
      </c>
      <c r="M26" s="0" t="n">
        <f aca="false">IFERROR(L26/B26,"")</f>
        <v>-0.000613373148783335</v>
      </c>
      <c r="N26" s="0" t="n">
        <f aca="false">IF($A26="",0,IF(OR(B26="",C26="",C26=0,IF(ISNUMBER(M26),ABS(M26)&gt;K26,FALSE())),1,0))</f>
        <v>0</v>
      </c>
      <c r="O26" s="0" t="n">
        <f aca="false">IF(OR($A26="",L26=""),0,IF(AND(N26=1,ABS(L26)&gt;='Control Sheet'!$C$7,F26=1),1,0))</f>
        <v>0</v>
      </c>
      <c r="P26" s="0" t="str">
        <f aca="false">IF($A26="","",IF(F26=0,"Zero Hours",IF(J26=1,"Explained: Paired transfer",IF(AND(G26=1,H26=0,J26=0),"Explained: Starter",IF(AND(H26=1,G26=0,J26=0),"Explained: Leaver",IF(O26=1,"Review required","OK"))))))</f>
        <v>OK</v>
      </c>
      <c r="Q26" s="0" t="n">
        <f aca="false">IF(AND(F26=1,OR(C26="",C26=0),H26=0,J26=0),1,0)</f>
        <v>0</v>
      </c>
      <c r="R26" s="0" t="n">
        <f aca="false">IF(F26=0,0,IF(P26="Review required",1,IF(AND(P26="Explained: Starter",ISNUMBER(C26),C26&gt;=1500),1,0)))</f>
        <v>0</v>
      </c>
      <c r="S26" s="0" t="str">
        <f aca="false">IF(R26=0,"",IF(Q26=1,"High",IF(AND(P26="Explained: Starter",C26&gt;=1500),"High",IF(ABS(L26)&gt;=2000,"High",IF(ABS(L26)&gt;=500,"Medium","Low")))))</f>
        <v/>
      </c>
      <c r="T26" s="0" t="n">
        <f aca="false">SUMIFS('Payment Breakdown Prior'!$S$15:$S$104,'Payment Breakdown Prior'!$AE$15:$AE$104,$A26)</f>
        <v>3345.44</v>
      </c>
      <c r="U26" s="0" t="n">
        <f aca="false">SUMIFS('Payment Breakdown Current'!$S$15:$S$104,'Payment Breakdown Current'!$AE$15:$AE$104,$A26)</f>
        <v>3343.38</v>
      </c>
      <c r="V26" s="0" t="n">
        <f aca="false">IFERROR((U26-T26)/T26,"")</f>
        <v>-0.000615763546798013</v>
      </c>
      <c r="W26" s="0" t="n">
        <f aca="false">(SUMIFS('Payment Breakdown Current'!$S$15:$S$104,'Payment Breakdown Current'!$AE$15:$AE$104,$A26))-(SUMIFS('Payment Breakdown Prior'!$S$15:$S$104,'Payment Breakdown Prior'!$AE$15:$AE$104,$A26))</f>
        <v>-2.05999999999995</v>
      </c>
      <c r="X26" s="0" t="n">
        <f aca="false">(SUMIFS('Payment Breakdown Current'!$T$15:$T$104,'Payment Breakdown Current'!$AE$15:$AE$104,$A26))-(SUMIFS('Payment Breakdown Prior'!$T$15:$T$104,'Payment Breakdown Prior'!$AE$15:$AE$104,$A26))</f>
        <v>0</v>
      </c>
      <c r="Y26" s="0" t="n">
        <f aca="false">(SUMIFS('Payment Breakdown Current'!$U$15:$U$104,'Payment Breakdown Current'!$AE$15:$AE$104,$A26))-(SUMIFS('Payment Breakdown Prior'!$U$15:$U$104,'Payment Breakdown Prior'!$AE$15:$AE$104,$A26))</f>
        <v>0</v>
      </c>
      <c r="Z26" s="0" t="n">
        <f aca="false">(SUMIFS('Payment Breakdown Current'!$V$15:$V$104,'Payment Breakdown Current'!$AE$15:$AE$104,$A26))-(SUMIFS('Payment Breakdown Prior'!$V$15:$V$104,'Payment Breakdown Prior'!$AE$15:$AE$104,$A26))</f>
        <v>0</v>
      </c>
      <c r="AA26" s="0" t="n">
        <f aca="false">(SUMIFS('Payment Breakdown Current'!$W$15:$W$104,'Payment Breakdown Current'!$AE$15:$AE$104,$A26))-(SUMIFS('Payment Breakdown Prior'!$W$15:$W$104,'Payment Breakdown Prior'!$AE$15:$AE$104,$A26))</f>
        <v>0</v>
      </c>
      <c r="AB26" s="0" t="n">
        <f aca="false">(SUMIFS('Payment Breakdown Current'!$X$15:$X$104,'Payment Breakdown Current'!$AE$15:$AE$104,$A26))-(SUMIFS('Payment Breakdown Prior'!$X$15:$X$104,'Payment Breakdown Prior'!$AE$15:$AE$104,$A26))</f>
        <v>0</v>
      </c>
      <c r="AC26" s="0" t="n">
        <f aca="false">(SUMIFS('Payment Breakdown Current'!$Y$15:$Y$104,'Payment Breakdown Current'!$AE$15:$AE$104,$A26))-(SUMIFS('Payment Breakdown Prior'!$Y$15:$Y$104,'Payment Breakdown Prior'!$AE$15:$AE$104,$A26))</f>
        <v>0</v>
      </c>
      <c r="AD26" s="0" t="n">
        <f aca="false">(SUMIFS('Payment Breakdown Current'!$Z$15:$Z$104,'Payment Breakdown Current'!$AE$15:$AE$104,$A26))-(SUMIFS('Payment Breakdown Prior'!$Z$15:$Z$104,'Payment Breakdown Prior'!$AE$15:$AE$104,$A26))</f>
        <v>0</v>
      </c>
      <c r="AE26" s="0" t="n">
        <f aca="false">(SUMIFS('Payment Breakdown Current'!$AA$15:$AA$104,'Payment Breakdown Current'!$AE$15:$AE$104,$A26))-(SUMIFS('Payment Breakdown Prior'!$AA$15:$AA$104,'Payment Breakdown Prior'!$AE$15:$AE$104,$A26))</f>
        <v>0</v>
      </c>
      <c r="AF26" s="0" t="n">
        <f aca="false">(SUMIFS('Payment Breakdown Current'!$AB$15:$AB$104,'Payment Breakdown Current'!$AE$15:$AE$104,$A26))-(SUMIFS('Payment Breakdown Prior'!$AB$15:$AB$104,'Payment Breakdown Prior'!$AE$15:$AE$104,$A26))</f>
        <v>0</v>
      </c>
      <c r="AG26" s="0" t="n">
        <f aca="false">(SUMIFS('Payment Breakdown Current'!$AC$15:$AC$104,'Payment Breakdown Current'!$AE$15:$AE$104,$A26))-(SUMIFS('Payment Breakdown Prior'!$AC$15:$AC$104,'Payment Breakdown Prior'!$AE$15:$AE$104,$A26))</f>
        <v>0</v>
      </c>
      <c r="AH26" s="0" t="n">
        <f aca="false">(SUMIFS('Payment Breakdown Current'!$AD$15:$AD$104,'Payment Breakdown Current'!$AE$15:$AE$104,$A26))-(SUMIFS('Payment Breakdown Prior'!$AD$15:$AD$104,'Payment Breakdown Prior'!$AE$15:$AE$104,$A26))</f>
        <v>0</v>
      </c>
      <c r="AI26" s="0" t="n">
        <f aca="false">MAX(ABS(W26),ABS(X26),ABS(Y26),ABS(Z26),ABS(AA26),ABS(AB26),ABS(AC26),ABS(AD26),ABS(AE26),ABS(AF26),ABS(AG26),ABS(AH26))</f>
        <v>2.05999999999995</v>
      </c>
      <c r="AJ26" s="0" t="str">
        <f aca="false">IF(AI26&lt;0.005,"",IF(ABS(W26)=AI26,W$1,IF(ABS(X26)=AI26,X$1,IF(ABS(Y26)=AI26,Y$1,IF(ABS(Z26)=AI26,Z$1,IF(ABS(AA26)=AI26,AA$1,IF(ABS(AB26)=AI26,AB$1,IF(ABS(AC26)=AI26,AC$1,IF(ABS(AD26)=AI26,AD$1,IF(ABS(AE26)=AI26,AE$1,IF(ABS(AF26)=AI26,AF$1,IF(ABS(AG26)=AI26,AG$1,IF(ABS(AH26)=AI26,AH$1,"")))))))))))))</f>
        <v>Basic Salary</v>
      </c>
      <c r="AK26" s="0" t="n">
        <f aca="false">IF(AI26&lt;0.005,"",IF(ABS(W26)=AI26,W26,IF(ABS(X26)=AI26,X26,IF(ABS(Y26)=AI26,Y26,IF(ABS(Z26)=AI26,Z26,IF(ABS(AA26)=AI26,AA26,IF(ABS(AB26)=AI26,AB26,IF(ABS(AC26)=AI26,AC26,IF(ABS(AD26)=AI26,AD26,IF(ABS(AE26)=AI26,AE26,IF(ABS(AF26)=AI26,AF26,IF(ABS(AG26)=AI26,AG26,IF(ABS(AH26)=AI26,AH26,"")))))))))))))</f>
        <v>-2.05999999999995</v>
      </c>
      <c r="AL26" s="0" t="str">
        <f aca="false">IF(R26=1,ABS(L26)-ROW()/100000000,"")</f>
        <v/>
      </c>
    </row>
    <row r="27" customFormat="false" ht="15" hidden="false" customHeight="false" outlineLevel="0" collapsed="false">
      <c r="A27" s="0" t="str">
        <f aca="false">IF('NPV Comparison'!D40="","",'NPV Comparison'!D40)</f>
        <v>P84364</v>
      </c>
      <c r="B27" s="13" t="n">
        <f aca="false">IF('NPV Comparison'!E40="","",'NPV Comparison'!E40)</f>
        <v>1831.01</v>
      </c>
      <c r="C27" s="13" t="n">
        <f aca="false">IF('NPV Comparison'!F40="","",'NPV Comparison'!F40)</f>
        <v>1677.29</v>
      </c>
      <c r="D27" s="0" t="str">
        <f aca="false">IF($A27="","",IFERROR(INDEX(Structure!$E$13:$E$312,MATCH($A27,Structure!$P$13:$P$312,0)),""))</f>
        <v>Elm Park Dental Practice</v>
      </c>
      <c r="E27" s="0" t="n">
        <f aca="false">IF($A27="",0,IF(COUNTIF(Structure!$P$13:$P$312,$A27)=0,0,IF(COUNTIFS(Structure!$P$13:$P$312,$A27,Structure!$N$13:$N$312,"&lt;&gt;Zero Hours")=0,1,0)))</f>
        <v>0</v>
      </c>
      <c r="F27" s="0" t="n">
        <f aca="false">IF($A27="",0,1-E27)</f>
        <v>1</v>
      </c>
      <c r="G27" s="0" t="n">
        <f aca="false">IF($A27="",0,IF(COUNTIF('New Starters'!$D$14:$D$73,$A27)&gt;0,1,0))</f>
        <v>0</v>
      </c>
      <c r="H27" s="0" t="n">
        <f aca="false">IF($A27="",0,IF(COUNTIF(Leavers!$D$12:$D$71,$A27)&gt;0,1,0))</f>
        <v>0</v>
      </c>
      <c r="I27" s="0" t="str">
        <f aca="false">IF($A27="","",IFERROR(INDEX('New Starters'!$K$14:$K$73,MATCH($A27,'New Starters'!$D$14:$D$73,0)),IFERROR(INDEX(Leavers!$K$12:$K$71,MATCH($A27,Leavers!$D$12:$D$71,0)),"")))</f>
        <v/>
      </c>
      <c r="J27" s="0" t="n">
        <f aca="false">IF(AND(G27=1,I27&lt;&gt;"",COUNTIF(Leavers!$K$12:$K$71,I27)&gt;0),1,IF(AND(H27=1,I27&lt;&gt;"",COUNTIF('New Starters'!$K$14:$K$73,I27)&gt;0),1,0))</f>
        <v>0</v>
      </c>
      <c r="K27" s="14" t="n">
        <f aca="false">IF(ISNUMBER(SEARCH("Head Office",D27)),'Control Sheet'!$C$6,'Control Sheet'!$C$5)</f>
        <v>0.2</v>
      </c>
      <c r="L27" s="0" t="n">
        <f aca="false">IF(OR($A27="",AND(B27="",C27="")),"",IF(B27="",C27,IF(C27="",-B27,C27-B27)))</f>
        <v>-153.72</v>
      </c>
      <c r="M27" s="0" t="n">
        <f aca="false">IFERROR(L27/B27,"")</f>
        <v>-0.0839536649171769</v>
      </c>
      <c r="N27" s="0" t="n">
        <f aca="false">IF($A27="",0,IF(OR(B27="",C27="",C27=0,IF(ISNUMBER(M27),ABS(M27)&gt;K27,FALSE())),1,0))</f>
        <v>0</v>
      </c>
      <c r="O27" s="0" t="n">
        <f aca="false">IF(OR($A27="",L27=""),0,IF(AND(N27=1,ABS(L27)&gt;='Control Sheet'!$C$7,F27=1),1,0))</f>
        <v>0</v>
      </c>
      <c r="P27" s="0" t="str">
        <f aca="false">IF($A27="","",IF(F27=0,"Zero Hours",IF(J27=1,"Explained: Paired transfer",IF(AND(G27=1,H27=0,J27=0),"Explained: Starter",IF(AND(H27=1,G27=0,J27=0),"Explained: Leaver",IF(O27=1,"Review required","OK"))))))</f>
        <v>OK</v>
      </c>
      <c r="Q27" s="0" t="n">
        <f aca="false">IF(AND(F27=1,OR(C27="",C27=0),H27=0,J27=0),1,0)</f>
        <v>0</v>
      </c>
      <c r="R27" s="0" t="n">
        <f aca="false">IF(F27=0,0,IF(P27="Review required",1,IF(AND(P27="Explained: Starter",ISNUMBER(C27),C27&gt;=1500),1,0)))</f>
        <v>0</v>
      </c>
      <c r="S27" s="0" t="str">
        <f aca="false">IF(R27=0,"",IF(Q27=1,"High",IF(AND(P27="Explained: Starter",C27&gt;=1500),"High",IF(ABS(L27)&gt;=2000,"High",IF(ABS(L27)&gt;=500,"Medium","Low")))))</f>
        <v/>
      </c>
      <c r="T27" s="0" t="n">
        <f aca="false">SUMIFS('Payment Breakdown Prior'!$S$15:$S$104,'Payment Breakdown Prior'!$AE$15:$AE$104,$A27)</f>
        <v>2471.87</v>
      </c>
      <c r="U27" s="0" t="n">
        <f aca="false">SUMIFS('Payment Breakdown Current'!$S$15:$S$104,'Payment Breakdown Current'!$AE$15:$AE$104,$A27)</f>
        <v>2264.34</v>
      </c>
      <c r="V27" s="0" t="n">
        <f aca="false">IFERROR((U27-T27)/T27,"")</f>
        <v>-0.083956680569771</v>
      </c>
      <c r="W27" s="0" t="n">
        <f aca="false">(SUMIFS('Payment Breakdown Current'!$S$15:$S$104,'Payment Breakdown Current'!$AE$15:$AE$104,$A27))-(SUMIFS('Payment Breakdown Prior'!$S$15:$S$104,'Payment Breakdown Prior'!$AE$15:$AE$104,$A27))</f>
        <v>-207.53</v>
      </c>
      <c r="X27" s="0" t="n">
        <f aca="false">(SUMIFS('Payment Breakdown Current'!$T$15:$T$104,'Payment Breakdown Current'!$AE$15:$AE$104,$A27))-(SUMIFS('Payment Breakdown Prior'!$T$15:$T$104,'Payment Breakdown Prior'!$AE$15:$AE$104,$A27))</f>
        <v>0</v>
      </c>
      <c r="Y27" s="0" t="n">
        <f aca="false">(SUMIFS('Payment Breakdown Current'!$U$15:$U$104,'Payment Breakdown Current'!$AE$15:$AE$104,$A27))-(SUMIFS('Payment Breakdown Prior'!$U$15:$U$104,'Payment Breakdown Prior'!$AE$15:$AE$104,$A27))</f>
        <v>0</v>
      </c>
      <c r="Z27" s="0" t="n">
        <f aca="false">(SUMIFS('Payment Breakdown Current'!$V$15:$V$104,'Payment Breakdown Current'!$AE$15:$AE$104,$A27))-(SUMIFS('Payment Breakdown Prior'!$V$15:$V$104,'Payment Breakdown Prior'!$AE$15:$AE$104,$A27))</f>
        <v>0</v>
      </c>
      <c r="AA27" s="0" t="n">
        <f aca="false">(SUMIFS('Payment Breakdown Current'!$W$15:$W$104,'Payment Breakdown Current'!$AE$15:$AE$104,$A27))-(SUMIFS('Payment Breakdown Prior'!$W$15:$W$104,'Payment Breakdown Prior'!$AE$15:$AE$104,$A27))</f>
        <v>0</v>
      </c>
      <c r="AB27" s="0" t="n">
        <f aca="false">(SUMIFS('Payment Breakdown Current'!$X$15:$X$104,'Payment Breakdown Current'!$AE$15:$AE$104,$A27))-(SUMIFS('Payment Breakdown Prior'!$X$15:$X$104,'Payment Breakdown Prior'!$AE$15:$AE$104,$A27))</f>
        <v>0</v>
      </c>
      <c r="AC27" s="0" t="n">
        <f aca="false">(SUMIFS('Payment Breakdown Current'!$Y$15:$Y$104,'Payment Breakdown Current'!$AE$15:$AE$104,$A27))-(SUMIFS('Payment Breakdown Prior'!$Y$15:$Y$104,'Payment Breakdown Prior'!$AE$15:$AE$104,$A27))</f>
        <v>0</v>
      </c>
      <c r="AD27" s="0" t="n">
        <f aca="false">(SUMIFS('Payment Breakdown Current'!$Z$15:$Z$104,'Payment Breakdown Current'!$AE$15:$AE$104,$A27))-(SUMIFS('Payment Breakdown Prior'!$Z$15:$Z$104,'Payment Breakdown Prior'!$AE$15:$AE$104,$A27))</f>
        <v>0</v>
      </c>
      <c r="AE27" s="0" t="n">
        <f aca="false">(SUMIFS('Payment Breakdown Current'!$AA$15:$AA$104,'Payment Breakdown Current'!$AE$15:$AE$104,$A27))-(SUMIFS('Payment Breakdown Prior'!$AA$15:$AA$104,'Payment Breakdown Prior'!$AE$15:$AE$104,$A27))</f>
        <v>0</v>
      </c>
      <c r="AF27" s="0" t="n">
        <f aca="false">(SUMIFS('Payment Breakdown Current'!$AB$15:$AB$104,'Payment Breakdown Current'!$AE$15:$AE$104,$A27))-(SUMIFS('Payment Breakdown Prior'!$AB$15:$AB$104,'Payment Breakdown Prior'!$AE$15:$AE$104,$A27))</f>
        <v>0</v>
      </c>
      <c r="AG27" s="0" t="n">
        <f aca="false">(SUMIFS('Payment Breakdown Current'!$AC$15:$AC$104,'Payment Breakdown Current'!$AE$15:$AE$104,$A27))-(SUMIFS('Payment Breakdown Prior'!$AC$15:$AC$104,'Payment Breakdown Prior'!$AE$15:$AE$104,$A27))</f>
        <v>0</v>
      </c>
      <c r="AH27" s="0" t="n">
        <f aca="false">(SUMIFS('Payment Breakdown Current'!$AD$15:$AD$104,'Payment Breakdown Current'!$AE$15:$AE$104,$A27))-(SUMIFS('Payment Breakdown Prior'!$AD$15:$AD$104,'Payment Breakdown Prior'!$AE$15:$AE$104,$A27))</f>
        <v>0</v>
      </c>
      <c r="AI27" s="0" t="n">
        <f aca="false">MAX(ABS(W27),ABS(X27),ABS(Y27),ABS(Z27),ABS(AA27),ABS(AB27),ABS(AC27),ABS(AD27),ABS(AE27),ABS(AF27),ABS(AG27),ABS(AH27))</f>
        <v>207.53</v>
      </c>
      <c r="AJ27" s="0" t="str">
        <f aca="false">IF(AI27&lt;0.005,"",IF(ABS(W27)=AI27,W$1,IF(ABS(X27)=AI27,X$1,IF(ABS(Y27)=AI27,Y$1,IF(ABS(Z27)=AI27,Z$1,IF(ABS(AA27)=AI27,AA$1,IF(ABS(AB27)=AI27,AB$1,IF(ABS(AC27)=AI27,AC$1,IF(ABS(AD27)=AI27,AD$1,IF(ABS(AE27)=AI27,AE$1,IF(ABS(AF27)=AI27,AF$1,IF(ABS(AG27)=AI27,AG$1,IF(ABS(AH27)=AI27,AH$1,"")))))))))))))</f>
        <v>Basic Salary</v>
      </c>
      <c r="AK27" s="0" t="n">
        <f aca="false">IF(AI27&lt;0.005,"",IF(ABS(W27)=AI27,W27,IF(ABS(X27)=AI27,X27,IF(ABS(Y27)=AI27,Y27,IF(ABS(Z27)=AI27,Z27,IF(ABS(AA27)=AI27,AA27,IF(ABS(AB27)=AI27,AB27,IF(ABS(AC27)=AI27,AC27,IF(ABS(AD27)=AI27,AD27,IF(ABS(AE27)=AI27,AE27,IF(ABS(AF27)=AI27,AF27,IF(ABS(AG27)=AI27,AG27,IF(ABS(AH27)=AI27,AH27,"")))))))))))))</f>
        <v>-207.53</v>
      </c>
      <c r="AL27" s="0" t="str">
        <f aca="false">IF(R27=1,ABS(L27)-ROW()/100000000,"")</f>
        <v/>
      </c>
    </row>
    <row r="28" customFormat="false" ht="15" hidden="false" customHeight="false" outlineLevel="0" collapsed="false">
      <c r="A28" s="0" t="str">
        <f aca="false">IF('NPV Comparison'!D41="","",'NPV Comparison'!D41)</f>
        <v>P79822</v>
      </c>
      <c r="B28" s="13" t="n">
        <f aca="false">IF('NPV Comparison'!E41="","",'NPV Comparison'!E41)</f>
        <v>2868.84</v>
      </c>
      <c r="C28" s="13" t="n">
        <f aca="false">IF('NPV Comparison'!F41="","",'NPV Comparison'!F41)</f>
        <v>3313.13</v>
      </c>
      <c r="D28" s="0" t="str">
        <f aca="false">IF($A28="","",IFERROR(INDEX(Structure!$E$13:$E$312,MATCH($A28,Structure!$P$13:$P$312,0)),""))</f>
        <v>Riverside Dental Practice</v>
      </c>
      <c r="E28" s="0" t="n">
        <f aca="false">IF($A28="",0,IF(COUNTIF(Structure!$P$13:$P$312,$A28)=0,0,IF(COUNTIFS(Structure!$P$13:$P$312,$A28,Structure!$N$13:$N$312,"&lt;&gt;Zero Hours")=0,1,0)))</f>
        <v>0</v>
      </c>
      <c r="F28" s="0" t="n">
        <f aca="false">IF($A28="",0,1-E28)</f>
        <v>1</v>
      </c>
      <c r="G28" s="0" t="n">
        <f aca="false">IF($A28="",0,IF(COUNTIF('New Starters'!$D$14:$D$73,$A28)&gt;0,1,0))</f>
        <v>0</v>
      </c>
      <c r="H28" s="0" t="n">
        <f aca="false">IF($A28="",0,IF(COUNTIF(Leavers!$D$12:$D$71,$A28)&gt;0,1,0))</f>
        <v>0</v>
      </c>
      <c r="I28" s="0" t="str">
        <f aca="false">IF($A28="","",IFERROR(INDEX('New Starters'!$K$14:$K$73,MATCH($A28,'New Starters'!$D$14:$D$73,0)),IFERROR(INDEX(Leavers!$K$12:$K$71,MATCH($A28,Leavers!$D$12:$D$71,0)),"")))</f>
        <v/>
      </c>
      <c r="J28" s="0" t="n">
        <f aca="false">IF(AND(G28=1,I28&lt;&gt;"",COUNTIF(Leavers!$K$12:$K$71,I28)&gt;0),1,IF(AND(H28=1,I28&lt;&gt;"",COUNTIF('New Starters'!$K$14:$K$73,I28)&gt;0),1,0))</f>
        <v>0</v>
      </c>
      <c r="K28" s="14" t="n">
        <f aca="false">IF(ISNUMBER(SEARCH("Head Office",D28)),'Control Sheet'!$C$6,'Control Sheet'!$C$5)</f>
        <v>0.2</v>
      </c>
      <c r="L28" s="0" t="n">
        <f aca="false">IF(OR($A28="",AND(B28="",C28="")),"",IF(B28="",C28,IF(C28="",-B28,C28-B28)))</f>
        <v>444.29</v>
      </c>
      <c r="M28" s="0" t="n">
        <f aca="false">IFERROR(L28/B28,"")</f>
        <v>0.154867472567309</v>
      </c>
      <c r="N28" s="0" t="n">
        <f aca="false">IF($A28="",0,IF(OR(B28="",C28="",C28=0,IF(ISNUMBER(M28),ABS(M28)&gt;K28,FALSE())),1,0))</f>
        <v>0</v>
      </c>
      <c r="O28" s="0" t="n">
        <f aca="false">IF(OR($A28="",L28=""),0,IF(AND(N28=1,ABS(L28)&gt;='Control Sheet'!$C$7,F28=1),1,0))</f>
        <v>0</v>
      </c>
      <c r="P28" s="0" t="str">
        <f aca="false">IF($A28="","",IF(F28=0,"Zero Hours",IF(J28=1,"Explained: Paired transfer",IF(AND(G28=1,H28=0,J28=0),"Explained: Starter",IF(AND(H28=1,G28=0,J28=0),"Explained: Leaver",IF(O28=1,"Review required","OK"))))))</f>
        <v>OK</v>
      </c>
      <c r="Q28" s="0" t="n">
        <f aca="false">IF(AND(F28=1,OR(C28="",C28=0),H28=0,J28=0),1,0)</f>
        <v>0</v>
      </c>
      <c r="R28" s="0" t="n">
        <f aca="false">IF(F28=0,0,IF(P28="Review required",1,IF(AND(P28="Explained: Starter",ISNUMBER(C28),C28&gt;=1500),1,0)))</f>
        <v>0</v>
      </c>
      <c r="S28" s="0" t="str">
        <f aca="false">IF(R28=0,"",IF(Q28=1,"High",IF(AND(P28="Explained: Starter",C28&gt;=1500),"High",IF(ABS(L28)&gt;=2000,"High",IF(ABS(L28)&gt;=500,"Medium","Low")))))</f>
        <v/>
      </c>
      <c r="T28" s="0" t="n">
        <f aca="false">SUMIFS('Payment Breakdown Prior'!$S$15:$S$104,'Payment Breakdown Prior'!$AE$15:$AE$104,$A28)</f>
        <v>3872.94</v>
      </c>
      <c r="U28" s="0" t="n">
        <f aca="false">SUMIFS('Payment Breakdown Current'!$S$15:$S$104,'Payment Breakdown Current'!$AE$15:$AE$104,$A28)</f>
        <v>4472.73</v>
      </c>
      <c r="V28" s="0" t="n">
        <f aca="false">IFERROR((U28-T28)/T28,"")</f>
        <v>0.154866845342298</v>
      </c>
      <c r="W28" s="0" t="n">
        <f aca="false">(SUMIFS('Payment Breakdown Current'!$S$15:$S$104,'Payment Breakdown Current'!$AE$15:$AE$104,$A28))-(SUMIFS('Payment Breakdown Prior'!$S$15:$S$104,'Payment Breakdown Prior'!$AE$15:$AE$104,$A28))</f>
        <v>599.79</v>
      </c>
      <c r="X28" s="0" t="n">
        <f aca="false">(SUMIFS('Payment Breakdown Current'!$T$15:$T$104,'Payment Breakdown Current'!$AE$15:$AE$104,$A28))-(SUMIFS('Payment Breakdown Prior'!$T$15:$T$104,'Payment Breakdown Prior'!$AE$15:$AE$104,$A28))</f>
        <v>0</v>
      </c>
      <c r="Y28" s="0" t="n">
        <f aca="false">(SUMIFS('Payment Breakdown Current'!$U$15:$U$104,'Payment Breakdown Current'!$AE$15:$AE$104,$A28))-(SUMIFS('Payment Breakdown Prior'!$U$15:$U$104,'Payment Breakdown Prior'!$AE$15:$AE$104,$A28))</f>
        <v>0</v>
      </c>
      <c r="Z28" s="0" t="n">
        <f aca="false">(SUMIFS('Payment Breakdown Current'!$V$15:$V$104,'Payment Breakdown Current'!$AE$15:$AE$104,$A28))-(SUMIFS('Payment Breakdown Prior'!$V$15:$V$104,'Payment Breakdown Prior'!$AE$15:$AE$104,$A28))</f>
        <v>0</v>
      </c>
      <c r="AA28" s="0" t="n">
        <f aca="false">(SUMIFS('Payment Breakdown Current'!$W$15:$W$104,'Payment Breakdown Current'!$AE$15:$AE$104,$A28))-(SUMIFS('Payment Breakdown Prior'!$W$15:$W$104,'Payment Breakdown Prior'!$AE$15:$AE$104,$A28))</f>
        <v>0</v>
      </c>
      <c r="AB28" s="0" t="n">
        <f aca="false">(SUMIFS('Payment Breakdown Current'!$X$15:$X$104,'Payment Breakdown Current'!$AE$15:$AE$104,$A28))-(SUMIFS('Payment Breakdown Prior'!$X$15:$X$104,'Payment Breakdown Prior'!$AE$15:$AE$104,$A28))</f>
        <v>0</v>
      </c>
      <c r="AC28" s="0" t="n">
        <f aca="false">(SUMIFS('Payment Breakdown Current'!$Y$15:$Y$104,'Payment Breakdown Current'!$AE$15:$AE$104,$A28))-(SUMIFS('Payment Breakdown Prior'!$Y$15:$Y$104,'Payment Breakdown Prior'!$AE$15:$AE$104,$A28))</f>
        <v>0</v>
      </c>
      <c r="AD28" s="0" t="n">
        <f aca="false">(SUMIFS('Payment Breakdown Current'!$Z$15:$Z$104,'Payment Breakdown Current'!$AE$15:$AE$104,$A28))-(SUMIFS('Payment Breakdown Prior'!$Z$15:$Z$104,'Payment Breakdown Prior'!$AE$15:$AE$104,$A28))</f>
        <v>0</v>
      </c>
      <c r="AE28" s="0" t="n">
        <f aca="false">(SUMIFS('Payment Breakdown Current'!$AA$15:$AA$104,'Payment Breakdown Current'!$AE$15:$AE$104,$A28))-(SUMIFS('Payment Breakdown Prior'!$AA$15:$AA$104,'Payment Breakdown Prior'!$AE$15:$AE$104,$A28))</f>
        <v>0</v>
      </c>
      <c r="AF28" s="0" t="n">
        <f aca="false">(SUMIFS('Payment Breakdown Current'!$AB$15:$AB$104,'Payment Breakdown Current'!$AE$15:$AE$104,$A28))-(SUMIFS('Payment Breakdown Prior'!$AB$15:$AB$104,'Payment Breakdown Prior'!$AE$15:$AE$104,$A28))</f>
        <v>0</v>
      </c>
      <c r="AG28" s="0" t="n">
        <f aca="false">(SUMIFS('Payment Breakdown Current'!$AC$15:$AC$104,'Payment Breakdown Current'!$AE$15:$AE$104,$A28))-(SUMIFS('Payment Breakdown Prior'!$AC$15:$AC$104,'Payment Breakdown Prior'!$AE$15:$AE$104,$A28))</f>
        <v>0</v>
      </c>
      <c r="AH28" s="0" t="n">
        <f aca="false">(SUMIFS('Payment Breakdown Current'!$AD$15:$AD$104,'Payment Breakdown Current'!$AE$15:$AE$104,$A28))-(SUMIFS('Payment Breakdown Prior'!$AD$15:$AD$104,'Payment Breakdown Prior'!$AE$15:$AE$104,$A28))</f>
        <v>0</v>
      </c>
      <c r="AI28" s="0" t="n">
        <f aca="false">MAX(ABS(W28),ABS(X28),ABS(Y28),ABS(Z28),ABS(AA28),ABS(AB28),ABS(AC28),ABS(AD28),ABS(AE28),ABS(AF28),ABS(AG28),ABS(AH28))</f>
        <v>599.79</v>
      </c>
      <c r="AJ28" s="0" t="str">
        <f aca="false">IF(AI28&lt;0.005,"",IF(ABS(W28)=AI28,W$1,IF(ABS(X28)=AI28,X$1,IF(ABS(Y28)=AI28,Y$1,IF(ABS(Z28)=AI28,Z$1,IF(ABS(AA28)=AI28,AA$1,IF(ABS(AB28)=AI28,AB$1,IF(ABS(AC28)=AI28,AC$1,IF(ABS(AD28)=AI28,AD$1,IF(ABS(AE28)=AI28,AE$1,IF(ABS(AF28)=AI28,AF$1,IF(ABS(AG28)=AI28,AG$1,IF(ABS(AH28)=AI28,AH$1,"")))))))))))))</f>
        <v>Basic Salary</v>
      </c>
      <c r="AK28" s="0" t="n">
        <f aca="false">IF(AI28&lt;0.005,"",IF(ABS(W28)=AI28,W28,IF(ABS(X28)=AI28,X28,IF(ABS(Y28)=AI28,Y28,IF(ABS(Z28)=AI28,Z28,IF(ABS(AA28)=AI28,AA28,IF(ABS(AB28)=AI28,AB28,IF(ABS(AC28)=AI28,AC28,IF(ABS(AD28)=AI28,AD28,IF(ABS(AE28)=AI28,AE28,IF(ABS(AF28)=AI28,AF28,IF(ABS(AG28)=AI28,AG28,IF(ABS(AH28)=AI28,AH28,"")))))))))))))</f>
        <v>599.79</v>
      </c>
      <c r="AL28" s="0" t="str">
        <f aca="false">IF(R28=1,ABS(L28)-ROW()/100000000,"")</f>
        <v/>
      </c>
    </row>
    <row r="29" customFormat="false" ht="15" hidden="false" customHeight="false" outlineLevel="0" collapsed="false">
      <c r="A29" s="0" t="str">
        <f aca="false">IF('NPV Comparison'!D42="","",'NPV Comparison'!D42)</f>
        <v>P79163</v>
      </c>
      <c r="B29" s="13" t="n">
        <f aca="false">IF('NPV Comparison'!E42="","",'NPV Comparison'!E42)</f>
        <v>3104.33</v>
      </c>
      <c r="C29" s="13" t="n">
        <f aca="false">IF('NPV Comparison'!F42="","",'NPV Comparison'!F42)</f>
        <v>2767.51</v>
      </c>
      <c r="D29" s="0" t="str">
        <f aca="false">IF($A29="","",IFERROR(INDEX(Structure!$E$13:$E$312,MATCH($A29,Structure!$P$13:$P$312,0)),""))</f>
        <v>Kings Road Dental Practice</v>
      </c>
      <c r="E29" s="0" t="n">
        <f aca="false">IF($A29="",0,IF(COUNTIF(Structure!$P$13:$P$312,$A29)=0,0,IF(COUNTIFS(Structure!$P$13:$P$312,$A29,Structure!$N$13:$N$312,"&lt;&gt;Zero Hours")=0,1,0)))</f>
        <v>0</v>
      </c>
      <c r="F29" s="0" t="n">
        <f aca="false">IF($A29="",0,1-E29)</f>
        <v>1</v>
      </c>
      <c r="G29" s="0" t="n">
        <f aca="false">IF($A29="",0,IF(COUNTIF('New Starters'!$D$14:$D$73,$A29)&gt;0,1,0))</f>
        <v>0</v>
      </c>
      <c r="H29" s="0" t="n">
        <f aca="false">IF($A29="",0,IF(COUNTIF(Leavers!$D$12:$D$71,$A29)&gt;0,1,0))</f>
        <v>0</v>
      </c>
      <c r="I29" s="0" t="str">
        <f aca="false">IF($A29="","",IFERROR(INDEX('New Starters'!$K$14:$K$73,MATCH($A29,'New Starters'!$D$14:$D$73,0)),IFERROR(INDEX(Leavers!$K$12:$K$71,MATCH($A29,Leavers!$D$12:$D$71,0)),"")))</f>
        <v/>
      </c>
      <c r="J29" s="0" t="n">
        <f aca="false">IF(AND(G29=1,I29&lt;&gt;"",COUNTIF(Leavers!$K$12:$K$71,I29)&gt;0),1,IF(AND(H29=1,I29&lt;&gt;"",COUNTIF('New Starters'!$K$14:$K$73,I29)&gt;0),1,0))</f>
        <v>0</v>
      </c>
      <c r="K29" s="14" t="n">
        <f aca="false">IF(ISNUMBER(SEARCH("Head Office",D29)),'Control Sheet'!$C$6,'Control Sheet'!$C$5)</f>
        <v>0.2</v>
      </c>
      <c r="L29" s="0" t="n">
        <f aca="false">IF(OR($A29="",AND(B29="",C29="")),"",IF(B29="",C29,IF(C29="",-B29,C29-B29)))</f>
        <v>-336.82</v>
      </c>
      <c r="M29" s="0" t="n">
        <f aca="false">IFERROR(L29/B29,"")</f>
        <v>-0.108500062815487</v>
      </c>
      <c r="N29" s="0" t="n">
        <f aca="false">IF($A29="",0,IF(OR(B29="",C29="",C29=0,IF(ISNUMBER(M29),ABS(M29)&gt;K29,FALSE())),1,0))</f>
        <v>0</v>
      </c>
      <c r="O29" s="0" t="n">
        <f aca="false">IF(OR($A29="",L29=""),0,IF(AND(N29=1,ABS(L29)&gt;='Control Sheet'!$C$7,F29=1),1,0))</f>
        <v>0</v>
      </c>
      <c r="P29" s="0" t="str">
        <f aca="false">IF($A29="","",IF(F29=0,"Zero Hours",IF(J29=1,"Explained: Paired transfer",IF(AND(G29=1,H29=0,J29=0),"Explained: Starter",IF(AND(H29=1,G29=0,J29=0),"Explained: Leaver",IF(O29=1,"Review required","OK"))))))</f>
        <v>OK</v>
      </c>
      <c r="Q29" s="0" t="n">
        <f aca="false">IF(AND(F29=1,OR(C29="",C29=0),H29=0,J29=0),1,0)</f>
        <v>0</v>
      </c>
      <c r="R29" s="0" t="n">
        <f aca="false">IF(F29=0,0,IF(P29="Review required",1,IF(AND(P29="Explained: Starter",ISNUMBER(C29),C29&gt;=1500),1,0)))</f>
        <v>0</v>
      </c>
      <c r="S29" s="0" t="str">
        <f aca="false">IF(R29=0,"",IF(Q29=1,"High",IF(AND(P29="Explained: Starter",C29&gt;=1500),"High",IF(ABS(L29)&gt;=2000,"High",IF(ABS(L29)&gt;=500,"Medium","Low")))))</f>
        <v/>
      </c>
      <c r="T29" s="0" t="n">
        <f aca="false">SUMIFS('Payment Breakdown Prior'!$S$15:$S$104,'Payment Breakdown Prior'!$AE$15:$AE$104,$A29)</f>
        <v>4190.84</v>
      </c>
      <c r="U29" s="0" t="n">
        <f aca="false">SUMIFS('Payment Breakdown Current'!$S$15:$S$104,'Payment Breakdown Current'!$AE$15:$AE$104,$A29)</f>
        <v>3736.14</v>
      </c>
      <c r="V29" s="0" t="n">
        <f aca="false">IFERROR((U29-T29)/T29,"")</f>
        <v>-0.108498534899925</v>
      </c>
      <c r="W29" s="0" t="n">
        <f aca="false">(SUMIFS('Payment Breakdown Current'!$S$15:$S$104,'Payment Breakdown Current'!$AE$15:$AE$104,$A29))-(SUMIFS('Payment Breakdown Prior'!$S$15:$S$104,'Payment Breakdown Prior'!$AE$15:$AE$104,$A29))</f>
        <v>-454.7</v>
      </c>
      <c r="X29" s="0" t="n">
        <f aca="false">(SUMIFS('Payment Breakdown Current'!$T$15:$T$104,'Payment Breakdown Current'!$AE$15:$AE$104,$A29))-(SUMIFS('Payment Breakdown Prior'!$T$15:$T$104,'Payment Breakdown Prior'!$AE$15:$AE$104,$A29))</f>
        <v>0</v>
      </c>
      <c r="Y29" s="0" t="n">
        <f aca="false">(SUMIFS('Payment Breakdown Current'!$U$15:$U$104,'Payment Breakdown Current'!$AE$15:$AE$104,$A29))-(SUMIFS('Payment Breakdown Prior'!$U$15:$U$104,'Payment Breakdown Prior'!$AE$15:$AE$104,$A29))</f>
        <v>0</v>
      </c>
      <c r="Z29" s="0" t="n">
        <f aca="false">(SUMIFS('Payment Breakdown Current'!$V$15:$V$104,'Payment Breakdown Current'!$AE$15:$AE$104,$A29))-(SUMIFS('Payment Breakdown Prior'!$V$15:$V$104,'Payment Breakdown Prior'!$AE$15:$AE$104,$A29))</f>
        <v>0</v>
      </c>
      <c r="AA29" s="0" t="n">
        <f aca="false">(SUMIFS('Payment Breakdown Current'!$W$15:$W$104,'Payment Breakdown Current'!$AE$15:$AE$104,$A29))-(SUMIFS('Payment Breakdown Prior'!$W$15:$W$104,'Payment Breakdown Prior'!$AE$15:$AE$104,$A29))</f>
        <v>0</v>
      </c>
      <c r="AB29" s="0" t="n">
        <f aca="false">(SUMIFS('Payment Breakdown Current'!$X$15:$X$104,'Payment Breakdown Current'!$AE$15:$AE$104,$A29))-(SUMIFS('Payment Breakdown Prior'!$X$15:$X$104,'Payment Breakdown Prior'!$AE$15:$AE$104,$A29))</f>
        <v>0</v>
      </c>
      <c r="AC29" s="0" t="n">
        <f aca="false">(SUMIFS('Payment Breakdown Current'!$Y$15:$Y$104,'Payment Breakdown Current'!$AE$15:$AE$104,$A29))-(SUMIFS('Payment Breakdown Prior'!$Y$15:$Y$104,'Payment Breakdown Prior'!$AE$15:$AE$104,$A29))</f>
        <v>0</v>
      </c>
      <c r="AD29" s="0" t="n">
        <f aca="false">(SUMIFS('Payment Breakdown Current'!$Z$15:$Z$104,'Payment Breakdown Current'!$AE$15:$AE$104,$A29))-(SUMIFS('Payment Breakdown Prior'!$Z$15:$Z$104,'Payment Breakdown Prior'!$AE$15:$AE$104,$A29))</f>
        <v>0</v>
      </c>
      <c r="AE29" s="0" t="n">
        <f aca="false">(SUMIFS('Payment Breakdown Current'!$AA$15:$AA$104,'Payment Breakdown Current'!$AE$15:$AE$104,$A29))-(SUMIFS('Payment Breakdown Prior'!$AA$15:$AA$104,'Payment Breakdown Prior'!$AE$15:$AE$104,$A29))</f>
        <v>0</v>
      </c>
      <c r="AF29" s="0" t="n">
        <f aca="false">(SUMIFS('Payment Breakdown Current'!$AB$15:$AB$104,'Payment Breakdown Current'!$AE$15:$AE$104,$A29))-(SUMIFS('Payment Breakdown Prior'!$AB$15:$AB$104,'Payment Breakdown Prior'!$AE$15:$AE$104,$A29))</f>
        <v>0</v>
      </c>
      <c r="AG29" s="0" t="n">
        <f aca="false">(SUMIFS('Payment Breakdown Current'!$AC$15:$AC$104,'Payment Breakdown Current'!$AE$15:$AE$104,$A29))-(SUMIFS('Payment Breakdown Prior'!$AC$15:$AC$104,'Payment Breakdown Prior'!$AE$15:$AE$104,$A29))</f>
        <v>0</v>
      </c>
      <c r="AH29" s="0" t="n">
        <f aca="false">(SUMIFS('Payment Breakdown Current'!$AD$15:$AD$104,'Payment Breakdown Current'!$AE$15:$AE$104,$A29))-(SUMIFS('Payment Breakdown Prior'!$AD$15:$AD$104,'Payment Breakdown Prior'!$AE$15:$AE$104,$A29))</f>
        <v>0</v>
      </c>
      <c r="AI29" s="0" t="n">
        <f aca="false">MAX(ABS(W29),ABS(X29),ABS(Y29),ABS(Z29),ABS(AA29),ABS(AB29),ABS(AC29),ABS(AD29),ABS(AE29),ABS(AF29),ABS(AG29),ABS(AH29))</f>
        <v>454.7</v>
      </c>
      <c r="AJ29" s="0" t="str">
        <f aca="false">IF(AI29&lt;0.005,"",IF(ABS(W29)=AI29,W$1,IF(ABS(X29)=AI29,X$1,IF(ABS(Y29)=AI29,Y$1,IF(ABS(Z29)=AI29,Z$1,IF(ABS(AA29)=AI29,AA$1,IF(ABS(AB29)=AI29,AB$1,IF(ABS(AC29)=AI29,AC$1,IF(ABS(AD29)=AI29,AD$1,IF(ABS(AE29)=AI29,AE$1,IF(ABS(AF29)=AI29,AF$1,IF(ABS(AG29)=AI29,AG$1,IF(ABS(AH29)=AI29,AH$1,"")))))))))))))</f>
        <v>Basic Salary</v>
      </c>
      <c r="AK29" s="0" t="n">
        <f aca="false">IF(AI29&lt;0.005,"",IF(ABS(W29)=AI29,W29,IF(ABS(X29)=AI29,X29,IF(ABS(Y29)=AI29,Y29,IF(ABS(Z29)=AI29,Z29,IF(ABS(AA29)=AI29,AA29,IF(ABS(AB29)=AI29,AB29,IF(ABS(AC29)=AI29,AC29,IF(ABS(AD29)=AI29,AD29,IF(ABS(AE29)=AI29,AE29,IF(ABS(AF29)=AI29,AF29,IF(ABS(AG29)=AI29,AG29,IF(ABS(AH29)=AI29,AH29,"")))))))))))))</f>
        <v>-454.7</v>
      </c>
      <c r="AL29" s="0" t="str">
        <f aca="false">IF(R29=1,ABS(L29)-ROW()/100000000,"")</f>
        <v/>
      </c>
    </row>
    <row r="30" customFormat="false" ht="15" hidden="false" customHeight="false" outlineLevel="0" collapsed="false">
      <c r="A30" s="0" t="str">
        <f aca="false">IF('NPV Comparison'!D43="","",'NPV Comparison'!D43)</f>
        <v>P36365</v>
      </c>
      <c r="B30" s="13" t="n">
        <f aca="false">IF('NPV Comparison'!E43="","",'NPV Comparison'!E43)</f>
        <v>3135.85</v>
      </c>
      <c r="C30" s="13" t="n">
        <f aca="false">IF('NPV Comparison'!F43="","",'NPV Comparison'!F43)</f>
        <v>3208.48</v>
      </c>
      <c r="D30" s="0" t="str">
        <f aca="false">IF($A30="","",IFERROR(INDEX(Structure!$E$13:$E$312,MATCH($A30,Structure!$P$13:$P$312,0)),""))</f>
        <v>Hakim Group Head Office</v>
      </c>
      <c r="E30" s="0" t="n">
        <f aca="false">IF($A30="",0,IF(COUNTIF(Structure!$P$13:$P$312,$A30)=0,0,IF(COUNTIFS(Structure!$P$13:$P$312,$A30,Structure!$N$13:$N$312,"&lt;&gt;Zero Hours")=0,1,0)))</f>
        <v>0</v>
      </c>
      <c r="F30" s="0" t="n">
        <f aca="false">IF($A30="",0,1-E30)</f>
        <v>1</v>
      </c>
      <c r="G30" s="0" t="n">
        <f aca="false">IF($A30="",0,IF(COUNTIF('New Starters'!$D$14:$D$73,$A30)&gt;0,1,0))</f>
        <v>0</v>
      </c>
      <c r="H30" s="0" t="n">
        <f aca="false">IF($A30="",0,IF(COUNTIF(Leavers!$D$12:$D$71,$A30)&gt;0,1,0))</f>
        <v>0</v>
      </c>
      <c r="I30" s="0" t="str">
        <f aca="false">IF($A30="","",IFERROR(INDEX('New Starters'!$K$14:$K$73,MATCH($A30,'New Starters'!$D$14:$D$73,0)),IFERROR(INDEX(Leavers!$K$12:$K$71,MATCH($A30,Leavers!$D$12:$D$71,0)),"")))</f>
        <v/>
      </c>
      <c r="J30" s="0" t="n">
        <f aca="false">IF(AND(G30=1,I30&lt;&gt;"",COUNTIF(Leavers!$K$12:$K$71,I30)&gt;0),1,IF(AND(H30=1,I30&lt;&gt;"",COUNTIF('New Starters'!$K$14:$K$73,I30)&gt;0),1,0))</f>
        <v>0</v>
      </c>
      <c r="K30" s="14" t="n">
        <f aca="false">IF(ISNUMBER(SEARCH("Head Office",D30)),'Control Sheet'!$C$6,'Control Sheet'!$C$5)</f>
        <v>0.05</v>
      </c>
      <c r="L30" s="0" t="n">
        <f aca="false">IF(OR($A30="",AND(B30="",C30="")),"",IF(B30="",C30,IF(C30="",-B30,C30-B30)))</f>
        <v>72.6300000000001</v>
      </c>
      <c r="M30" s="0" t="n">
        <f aca="false">IFERROR(L30/B30,"")</f>
        <v>0.0231611843678748</v>
      </c>
      <c r="N30" s="0" t="n">
        <f aca="false">IF($A30="",0,IF(OR(B30="",C30="",C30=0,IF(ISNUMBER(M30),ABS(M30)&gt;K30,FALSE())),1,0))</f>
        <v>0</v>
      </c>
      <c r="O30" s="0" t="n">
        <f aca="false">IF(OR($A30="",L30=""),0,IF(AND(N30=1,ABS(L30)&gt;='Control Sheet'!$C$7,F30=1),1,0))</f>
        <v>0</v>
      </c>
      <c r="P30" s="0" t="str">
        <f aca="false">IF($A30="","",IF(F30=0,"Zero Hours",IF(J30=1,"Explained: Paired transfer",IF(AND(G30=1,H30=0,J30=0),"Explained: Starter",IF(AND(H30=1,G30=0,J30=0),"Explained: Leaver",IF(O30=1,"Review required","OK"))))))</f>
        <v>OK</v>
      </c>
      <c r="Q30" s="0" t="n">
        <f aca="false">IF(AND(F30=1,OR(C30="",C30=0),H30=0,J30=0),1,0)</f>
        <v>0</v>
      </c>
      <c r="R30" s="0" t="n">
        <f aca="false">IF(F30=0,0,IF(P30="Review required",1,IF(AND(P30="Explained: Starter",ISNUMBER(C30),C30&gt;=1500),1,0)))</f>
        <v>0</v>
      </c>
      <c r="S30" s="0" t="str">
        <f aca="false">IF(R30=0,"",IF(Q30=1,"High",IF(AND(P30="Explained: Starter",C30&gt;=1500),"High",IF(ABS(L30)&gt;=2000,"High",IF(ABS(L30)&gt;=500,"Medium","Low")))))</f>
        <v/>
      </c>
      <c r="T30" s="0" t="n">
        <f aca="false">SUMIFS('Payment Breakdown Prior'!$S$15:$S$104,'Payment Breakdown Prior'!$AE$15:$AE$104,$A30)</f>
        <v>4233.4</v>
      </c>
      <c r="U30" s="0" t="n">
        <f aca="false">SUMIFS('Payment Breakdown Current'!$S$15:$S$104,'Payment Breakdown Current'!$AE$15:$AE$104,$A30)</f>
        <v>4331.45</v>
      </c>
      <c r="V30" s="0" t="n">
        <f aca="false">IFERROR((U30-T30)/T30,"")</f>
        <v>0.0231610525818492</v>
      </c>
      <c r="W30" s="0" t="n">
        <f aca="false">(SUMIFS('Payment Breakdown Current'!$S$15:$S$104,'Payment Breakdown Current'!$AE$15:$AE$104,$A30))-(SUMIFS('Payment Breakdown Prior'!$S$15:$S$104,'Payment Breakdown Prior'!$AE$15:$AE$104,$A30))</f>
        <v>98.0500000000002</v>
      </c>
      <c r="X30" s="0" t="n">
        <f aca="false">(SUMIFS('Payment Breakdown Current'!$T$15:$T$104,'Payment Breakdown Current'!$AE$15:$AE$104,$A30))-(SUMIFS('Payment Breakdown Prior'!$T$15:$T$104,'Payment Breakdown Prior'!$AE$15:$AE$104,$A30))</f>
        <v>0</v>
      </c>
      <c r="Y30" s="0" t="n">
        <f aca="false">(SUMIFS('Payment Breakdown Current'!$U$15:$U$104,'Payment Breakdown Current'!$AE$15:$AE$104,$A30))-(SUMIFS('Payment Breakdown Prior'!$U$15:$U$104,'Payment Breakdown Prior'!$AE$15:$AE$104,$A30))</f>
        <v>0</v>
      </c>
      <c r="Z30" s="0" t="n">
        <f aca="false">(SUMIFS('Payment Breakdown Current'!$V$15:$V$104,'Payment Breakdown Current'!$AE$15:$AE$104,$A30))-(SUMIFS('Payment Breakdown Prior'!$V$15:$V$104,'Payment Breakdown Prior'!$AE$15:$AE$104,$A30))</f>
        <v>0</v>
      </c>
      <c r="AA30" s="0" t="n">
        <f aca="false">(SUMIFS('Payment Breakdown Current'!$W$15:$W$104,'Payment Breakdown Current'!$AE$15:$AE$104,$A30))-(SUMIFS('Payment Breakdown Prior'!$W$15:$W$104,'Payment Breakdown Prior'!$AE$15:$AE$104,$A30))</f>
        <v>0</v>
      </c>
      <c r="AB30" s="0" t="n">
        <f aca="false">(SUMIFS('Payment Breakdown Current'!$X$15:$X$104,'Payment Breakdown Current'!$AE$15:$AE$104,$A30))-(SUMIFS('Payment Breakdown Prior'!$X$15:$X$104,'Payment Breakdown Prior'!$AE$15:$AE$104,$A30))</f>
        <v>0</v>
      </c>
      <c r="AC30" s="0" t="n">
        <f aca="false">(SUMIFS('Payment Breakdown Current'!$Y$15:$Y$104,'Payment Breakdown Current'!$AE$15:$AE$104,$A30))-(SUMIFS('Payment Breakdown Prior'!$Y$15:$Y$104,'Payment Breakdown Prior'!$AE$15:$AE$104,$A30))</f>
        <v>0</v>
      </c>
      <c r="AD30" s="0" t="n">
        <f aca="false">(SUMIFS('Payment Breakdown Current'!$Z$15:$Z$104,'Payment Breakdown Current'!$AE$15:$AE$104,$A30))-(SUMIFS('Payment Breakdown Prior'!$Z$15:$Z$104,'Payment Breakdown Prior'!$AE$15:$AE$104,$A30))</f>
        <v>0</v>
      </c>
      <c r="AE30" s="0" t="n">
        <f aca="false">(SUMIFS('Payment Breakdown Current'!$AA$15:$AA$104,'Payment Breakdown Current'!$AE$15:$AE$104,$A30))-(SUMIFS('Payment Breakdown Prior'!$AA$15:$AA$104,'Payment Breakdown Prior'!$AE$15:$AE$104,$A30))</f>
        <v>0</v>
      </c>
      <c r="AF30" s="0" t="n">
        <f aca="false">(SUMIFS('Payment Breakdown Current'!$AB$15:$AB$104,'Payment Breakdown Current'!$AE$15:$AE$104,$A30))-(SUMIFS('Payment Breakdown Prior'!$AB$15:$AB$104,'Payment Breakdown Prior'!$AE$15:$AE$104,$A30))</f>
        <v>0</v>
      </c>
      <c r="AG30" s="0" t="n">
        <f aca="false">(SUMIFS('Payment Breakdown Current'!$AC$15:$AC$104,'Payment Breakdown Current'!$AE$15:$AE$104,$A30))-(SUMIFS('Payment Breakdown Prior'!$AC$15:$AC$104,'Payment Breakdown Prior'!$AE$15:$AE$104,$A30))</f>
        <v>0</v>
      </c>
      <c r="AH30" s="0" t="n">
        <f aca="false">(SUMIFS('Payment Breakdown Current'!$AD$15:$AD$104,'Payment Breakdown Current'!$AE$15:$AE$104,$A30))-(SUMIFS('Payment Breakdown Prior'!$AD$15:$AD$104,'Payment Breakdown Prior'!$AE$15:$AE$104,$A30))</f>
        <v>0</v>
      </c>
      <c r="AI30" s="0" t="n">
        <f aca="false">MAX(ABS(W30),ABS(X30),ABS(Y30),ABS(Z30),ABS(AA30),ABS(AB30),ABS(AC30),ABS(AD30),ABS(AE30),ABS(AF30),ABS(AG30),ABS(AH30))</f>
        <v>98.0500000000002</v>
      </c>
      <c r="AJ30" s="0" t="str">
        <f aca="false">IF(AI30&lt;0.005,"",IF(ABS(W30)=AI30,W$1,IF(ABS(X30)=AI30,X$1,IF(ABS(Y30)=AI30,Y$1,IF(ABS(Z30)=AI30,Z$1,IF(ABS(AA30)=AI30,AA$1,IF(ABS(AB30)=AI30,AB$1,IF(ABS(AC30)=AI30,AC$1,IF(ABS(AD30)=AI30,AD$1,IF(ABS(AE30)=AI30,AE$1,IF(ABS(AF30)=AI30,AF$1,IF(ABS(AG30)=AI30,AG$1,IF(ABS(AH30)=AI30,AH$1,"")))))))))))))</f>
        <v>Basic Salary</v>
      </c>
      <c r="AK30" s="0" t="n">
        <f aca="false">IF(AI30&lt;0.005,"",IF(ABS(W30)=AI30,W30,IF(ABS(X30)=AI30,X30,IF(ABS(Y30)=AI30,Y30,IF(ABS(Z30)=AI30,Z30,IF(ABS(AA30)=AI30,AA30,IF(ABS(AB30)=AI30,AB30,IF(ABS(AC30)=AI30,AC30,IF(ABS(AD30)=AI30,AD30,IF(ABS(AE30)=AI30,AE30,IF(ABS(AF30)=AI30,AF30,IF(ABS(AG30)=AI30,AG30,IF(ABS(AH30)=AI30,AH30,"")))))))))))))</f>
        <v>98.0500000000002</v>
      </c>
      <c r="AL30" s="0" t="str">
        <f aca="false">IF(R30=1,ABS(L30)-ROW()/100000000,"")</f>
        <v/>
      </c>
    </row>
    <row r="31" customFormat="false" ht="15" hidden="false" customHeight="false" outlineLevel="0" collapsed="false">
      <c r="A31" s="0" t="str">
        <f aca="false">IF('NPV Comparison'!D44="","",'NPV Comparison'!D44)</f>
        <v>P25860</v>
      </c>
      <c r="B31" s="13" t="n">
        <f aca="false">IF('NPV Comparison'!E44="","",'NPV Comparison'!E44)</f>
        <v>2188.58</v>
      </c>
      <c r="C31" s="13" t="n">
        <f aca="false">IF('NPV Comparison'!F44="","",'NPV Comparison'!F44)</f>
        <v>2201.04</v>
      </c>
      <c r="D31" s="0" t="str">
        <f aca="false">IF($A31="","",IFERROR(INDEX(Structure!$E$13:$E$312,MATCH($A31,Structure!$P$13:$P$312,0)),""))</f>
        <v>Elm Park Dental Practice</v>
      </c>
      <c r="E31" s="0" t="n">
        <f aca="false">IF($A31="",0,IF(COUNTIF(Structure!$P$13:$P$312,$A31)=0,0,IF(COUNTIFS(Structure!$P$13:$P$312,$A31,Structure!$N$13:$N$312,"&lt;&gt;Zero Hours")=0,1,0)))</f>
        <v>0</v>
      </c>
      <c r="F31" s="0" t="n">
        <f aca="false">IF($A31="",0,1-E31)</f>
        <v>1</v>
      </c>
      <c r="G31" s="0" t="n">
        <f aca="false">IF($A31="",0,IF(COUNTIF('New Starters'!$D$14:$D$73,$A31)&gt;0,1,0))</f>
        <v>0</v>
      </c>
      <c r="H31" s="0" t="n">
        <f aca="false">IF($A31="",0,IF(COUNTIF(Leavers!$D$12:$D$71,$A31)&gt;0,1,0))</f>
        <v>0</v>
      </c>
      <c r="I31" s="0" t="str">
        <f aca="false">IF($A31="","",IFERROR(INDEX('New Starters'!$K$14:$K$73,MATCH($A31,'New Starters'!$D$14:$D$73,0)),IFERROR(INDEX(Leavers!$K$12:$K$71,MATCH($A31,Leavers!$D$12:$D$71,0)),"")))</f>
        <v/>
      </c>
      <c r="J31" s="0" t="n">
        <f aca="false">IF(AND(G31=1,I31&lt;&gt;"",COUNTIF(Leavers!$K$12:$K$71,I31)&gt;0),1,IF(AND(H31=1,I31&lt;&gt;"",COUNTIF('New Starters'!$K$14:$K$73,I31)&gt;0),1,0))</f>
        <v>0</v>
      </c>
      <c r="K31" s="14" t="n">
        <f aca="false">IF(ISNUMBER(SEARCH("Head Office",D31)),'Control Sheet'!$C$6,'Control Sheet'!$C$5)</f>
        <v>0.2</v>
      </c>
      <c r="L31" s="0" t="n">
        <f aca="false">IF(OR($A31="",AND(B31="",C31="")),"",IF(B31="",C31,IF(C31="",-B31,C31-B31)))</f>
        <v>12.46</v>
      </c>
      <c r="M31" s="0" t="n">
        <f aca="false">IFERROR(L31/B31,"")</f>
        <v>0.00569318919116506</v>
      </c>
      <c r="N31" s="0" t="n">
        <f aca="false">IF($A31="",0,IF(OR(B31="",C31="",C31=0,IF(ISNUMBER(M31),ABS(M31)&gt;K31,FALSE())),1,0))</f>
        <v>0</v>
      </c>
      <c r="O31" s="0" t="n">
        <f aca="false">IF(OR($A31="",L31=""),0,IF(AND(N31=1,ABS(L31)&gt;='Control Sheet'!$C$7,F31=1),1,0))</f>
        <v>0</v>
      </c>
      <c r="P31" s="0" t="str">
        <f aca="false">IF($A31="","",IF(F31=0,"Zero Hours",IF(J31=1,"Explained: Paired transfer",IF(AND(G31=1,H31=0,J31=0),"Explained: Starter",IF(AND(H31=1,G31=0,J31=0),"Explained: Leaver",IF(O31=1,"Review required","OK"))))))</f>
        <v>OK</v>
      </c>
      <c r="Q31" s="0" t="n">
        <f aca="false">IF(AND(F31=1,OR(C31="",C31=0),H31=0,J31=0),1,0)</f>
        <v>0</v>
      </c>
      <c r="R31" s="0" t="n">
        <f aca="false">IF(F31=0,0,IF(P31="Review required",1,IF(AND(P31="Explained: Starter",ISNUMBER(C31),C31&gt;=1500),1,0)))</f>
        <v>0</v>
      </c>
      <c r="S31" s="0" t="str">
        <f aca="false">IF(R31=0,"",IF(Q31=1,"High",IF(AND(P31="Explained: Starter",C31&gt;=1500),"High",IF(ABS(L31)&gt;=2000,"High",IF(ABS(L31)&gt;=500,"Medium","Low")))))</f>
        <v/>
      </c>
      <c r="T31" s="0" t="n">
        <f aca="false">SUMIFS('Payment Breakdown Prior'!$S$15:$S$104,'Payment Breakdown Prior'!$AE$15:$AE$104,$A31)</f>
        <v>2954.58</v>
      </c>
      <c r="U31" s="0" t="n">
        <f aca="false">SUMIFS('Payment Breakdown Current'!$S$15:$S$104,'Payment Breakdown Current'!$AE$15:$AE$104,$A31)</f>
        <v>2971.4</v>
      </c>
      <c r="V31" s="0" t="n">
        <f aca="false">IFERROR((U31-T31)/T31,"")</f>
        <v>0.00569285651429312</v>
      </c>
      <c r="W31" s="0" t="n">
        <f aca="false">(SUMIFS('Payment Breakdown Current'!$S$15:$S$104,'Payment Breakdown Current'!$AE$15:$AE$104,$A31))-(SUMIFS('Payment Breakdown Prior'!$S$15:$S$104,'Payment Breakdown Prior'!$AE$15:$AE$104,$A31))</f>
        <v>16.8200000000002</v>
      </c>
      <c r="X31" s="0" t="n">
        <f aca="false">(SUMIFS('Payment Breakdown Current'!$T$15:$T$104,'Payment Breakdown Current'!$AE$15:$AE$104,$A31))-(SUMIFS('Payment Breakdown Prior'!$T$15:$T$104,'Payment Breakdown Prior'!$AE$15:$AE$104,$A31))</f>
        <v>0</v>
      </c>
      <c r="Y31" s="0" t="n">
        <f aca="false">(SUMIFS('Payment Breakdown Current'!$U$15:$U$104,'Payment Breakdown Current'!$AE$15:$AE$104,$A31))-(SUMIFS('Payment Breakdown Prior'!$U$15:$U$104,'Payment Breakdown Prior'!$AE$15:$AE$104,$A31))</f>
        <v>0</v>
      </c>
      <c r="Z31" s="0" t="n">
        <f aca="false">(SUMIFS('Payment Breakdown Current'!$V$15:$V$104,'Payment Breakdown Current'!$AE$15:$AE$104,$A31))-(SUMIFS('Payment Breakdown Prior'!$V$15:$V$104,'Payment Breakdown Prior'!$AE$15:$AE$104,$A31))</f>
        <v>0</v>
      </c>
      <c r="AA31" s="0" t="n">
        <f aca="false">(SUMIFS('Payment Breakdown Current'!$W$15:$W$104,'Payment Breakdown Current'!$AE$15:$AE$104,$A31))-(SUMIFS('Payment Breakdown Prior'!$W$15:$W$104,'Payment Breakdown Prior'!$AE$15:$AE$104,$A31))</f>
        <v>0</v>
      </c>
      <c r="AB31" s="0" t="n">
        <f aca="false">(SUMIFS('Payment Breakdown Current'!$X$15:$X$104,'Payment Breakdown Current'!$AE$15:$AE$104,$A31))-(SUMIFS('Payment Breakdown Prior'!$X$15:$X$104,'Payment Breakdown Prior'!$AE$15:$AE$104,$A31))</f>
        <v>0</v>
      </c>
      <c r="AC31" s="0" t="n">
        <f aca="false">(SUMIFS('Payment Breakdown Current'!$Y$15:$Y$104,'Payment Breakdown Current'!$AE$15:$AE$104,$A31))-(SUMIFS('Payment Breakdown Prior'!$Y$15:$Y$104,'Payment Breakdown Prior'!$AE$15:$AE$104,$A31))</f>
        <v>0</v>
      </c>
      <c r="AD31" s="0" t="n">
        <f aca="false">(SUMIFS('Payment Breakdown Current'!$Z$15:$Z$104,'Payment Breakdown Current'!$AE$15:$AE$104,$A31))-(SUMIFS('Payment Breakdown Prior'!$Z$15:$Z$104,'Payment Breakdown Prior'!$AE$15:$AE$104,$A31))</f>
        <v>0</v>
      </c>
      <c r="AE31" s="0" t="n">
        <f aca="false">(SUMIFS('Payment Breakdown Current'!$AA$15:$AA$104,'Payment Breakdown Current'!$AE$15:$AE$104,$A31))-(SUMIFS('Payment Breakdown Prior'!$AA$15:$AA$104,'Payment Breakdown Prior'!$AE$15:$AE$104,$A31))</f>
        <v>0</v>
      </c>
      <c r="AF31" s="0" t="n">
        <f aca="false">(SUMIFS('Payment Breakdown Current'!$AB$15:$AB$104,'Payment Breakdown Current'!$AE$15:$AE$104,$A31))-(SUMIFS('Payment Breakdown Prior'!$AB$15:$AB$104,'Payment Breakdown Prior'!$AE$15:$AE$104,$A31))</f>
        <v>0</v>
      </c>
      <c r="AG31" s="0" t="n">
        <f aca="false">(SUMIFS('Payment Breakdown Current'!$AC$15:$AC$104,'Payment Breakdown Current'!$AE$15:$AE$104,$A31))-(SUMIFS('Payment Breakdown Prior'!$AC$15:$AC$104,'Payment Breakdown Prior'!$AE$15:$AE$104,$A31))</f>
        <v>0</v>
      </c>
      <c r="AH31" s="0" t="n">
        <f aca="false">(SUMIFS('Payment Breakdown Current'!$AD$15:$AD$104,'Payment Breakdown Current'!$AE$15:$AE$104,$A31))-(SUMIFS('Payment Breakdown Prior'!$AD$15:$AD$104,'Payment Breakdown Prior'!$AE$15:$AE$104,$A31))</f>
        <v>0</v>
      </c>
      <c r="AI31" s="0" t="n">
        <f aca="false">MAX(ABS(W31),ABS(X31),ABS(Y31),ABS(Z31),ABS(AA31),ABS(AB31),ABS(AC31),ABS(AD31),ABS(AE31),ABS(AF31),ABS(AG31),ABS(AH31))</f>
        <v>16.8200000000002</v>
      </c>
      <c r="AJ31" s="0" t="str">
        <f aca="false">IF(AI31&lt;0.005,"",IF(ABS(W31)=AI31,W$1,IF(ABS(X31)=AI31,X$1,IF(ABS(Y31)=AI31,Y$1,IF(ABS(Z31)=AI31,Z$1,IF(ABS(AA31)=AI31,AA$1,IF(ABS(AB31)=AI31,AB$1,IF(ABS(AC31)=AI31,AC$1,IF(ABS(AD31)=AI31,AD$1,IF(ABS(AE31)=AI31,AE$1,IF(ABS(AF31)=AI31,AF$1,IF(ABS(AG31)=AI31,AG$1,IF(ABS(AH31)=AI31,AH$1,"")))))))))))))</f>
        <v>Basic Salary</v>
      </c>
      <c r="AK31" s="0" t="n">
        <f aca="false">IF(AI31&lt;0.005,"",IF(ABS(W31)=AI31,W31,IF(ABS(X31)=AI31,X31,IF(ABS(Y31)=AI31,Y31,IF(ABS(Z31)=AI31,Z31,IF(ABS(AA31)=AI31,AA31,IF(ABS(AB31)=AI31,AB31,IF(ABS(AC31)=AI31,AC31,IF(ABS(AD31)=AI31,AD31,IF(ABS(AE31)=AI31,AE31,IF(ABS(AF31)=AI31,AF31,IF(ABS(AG31)=AI31,AG31,IF(ABS(AH31)=AI31,AH31,"")))))))))))))</f>
        <v>16.8200000000002</v>
      </c>
      <c r="AL31" s="0" t="str">
        <f aca="false">IF(R31=1,ABS(L31)-ROW()/100000000,"")</f>
        <v/>
      </c>
    </row>
    <row r="32" customFormat="false" ht="15" hidden="false" customHeight="false" outlineLevel="0" collapsed="false">
      <c r="A32" s="0" t="str">
        <f aca="false">IF('NPV Comparison'!D45="","",'NPV Comparison'!D45)</f>
        <v>P82603</v>
      </c>
      <c r="B32" s="13" t="n">
        <f aca="false">IF('NPV Comparison'!E45="","",'NPV Comparison'!E45)</f>
        <v>1625.24</v>
      </c>
      <c r="C32" s="13" t="n">
        <f aca="false">IF('NPV Comparison'!F45="","",'NPV Comparison'!F45)</f>
        <v>1771.51</v>
      </c>
      <c r="D32" s="0" t="str">
        <f aca="false">IF($A32="","",IFERROR(INDEX(Structure!$E$13:$E$312,MATCH($A32,Structure!$P$13:$P$312,0)),""))</f>
        <v>Kings Road Dental Practice</v>
      </c>
      <c r="E32" s="0" t="n">
        <f aca="false">IF($A32="",0,IF(COUNTIF(Structure!$P$13:$P$312,$A32)=0,0,IF(COUNTIFS(Structure!$P$13:$P$312,$A32,Structure!$N$13:$N$312,"&lt;&gt;Zero Hours")=0,1,0)))</f>
        <v>0</v>
      </c>
      <c r="F32" s="0" t="n">
        <f aca="false">IF($A32="",0,1-E32)</f>
        <v>1</v>
      </c>
      <c r="G32" s="0" t="n">
        <f aca="false">IF($A32="",0,IF(COUNTIF('New Starters'!$D$14:$D$73,$A32)&gt;0,1,0))</f>
        <v>0</v>
      </c>
      <c r="H32" s="0" t="n">
        <f aca="false">IF($A32="",0,IF(COUNTIF(Leavers!$D$12:$D$71,$A32)&gt;0,1,0))</f>
        <v>0</v>
      </c>
      <c r="I32" s="0" t="str">
        <f aca="false">IF($A32="","",IFERROR(INDEX('New Starters'!$K$14:$K$73,MATCH($A32,'New Starters'!$D$14:$D$73,0)),IFERROR(INDEX(Leavers!$K$12:$K$71,MATCH($A32,Leavers!$D$12:$D$71,0)),"")))</f>
        <v/>
      </c>
      <c r="J32" s="0" t="n">
        <f aca="false">IF(AND(G32=1,I32&lt;&gt;"",COUNTIF(Leavers!$K$12:$K$71,I32)&gt;0),1,IF(AND(H32=1,I32&lt;&gt;"",COUNTIF('New Starters'!$K$14:$K$73,I32)&gt;0),1,0))</f>
        <v>0</v>
      </c>
      <c r="K32" s="14" t="n">
        <f aca="false">IF(ISNUMBER(SEARCH("Head Office",D32)),'Control Sheet'!$C$6,'Control Sheet'!$C$5)</f>
        <v>0.2</v>
      </c>
      <c r="L32" s="0" t="n">
        <f aca="false">IF(OR($A32="",AND(B32="",C32="")),"",IF(B32="",C32,IF(C32="",-B32,C32-B32)))</f>
        <v>146.27</v>
      </c>
      <c r="M32" s="0" t="n">
        <f aca="false">IFERROR(L32/B32,"")</f>
        <v>0.089999015530014</v>
      </c>
      <c r="N32" s="0" t="n">
        <f aca="false">IF($A32="",0,IF(OR(B32="",C32="",C32=0,IF(ISNUMBER(M32),ABS(M32)&gt;K32,FALSE())),1,0))</f>
        <v>0</v>
      </c>
      <c r="O32" s="0" t="n">
        <f aca="false">IF(OR($A32="",L32=""),0,IF(AND(N32=1,ABS(L32)&gt;='Control Sheet'!$C$7,F32=1),1,0))</f>
        <v>0</v>
      </c>
      <c r="P32" s="0" t="str">
        <f aca="false">IF($A32="","",IF(F32=0,"Zero Hours",IF(J32=1,"Explained: Paired transfer",IF(AND(G32=1,H32=0,J32=0),"Explained: Starter",IF(AND(H32=1,G32=0,J32=0),"Explained: Leaver",IF(O32=1,"Review required","OK"))))))</f>
        <v>OK</v>
      </c>
      <c r="Q32" s="0" t="n">
        <f aca="false">IF(AND(F32=1,OR(C32="",C32=0),H32=0,J32=0),1,0)</f>
        <v>0</v>
      </c>
      <c r="R32" s="0" t="n">
        <f aca="false">IF(F32=0,0,IF(P32="Review required",1,IF(AND(P32="Explained: Starter",ISNUMBER(C32),C32&gt;=1500),1,0)))</f>
        <v>0</v>
      </c>
      <c r="S32" s="0" t="str">
        <f aca="false">IF(R32=0,"",IF(Q32=1,"High",IF(AND(P32="Explained: Starter",C32&gt;=1500),"High",IF(ABS(L32)&gt;=2000,"High",IF(ABS(L32)&gt;=500,"Medium","Low")))))</f>
        <v/>
      </c>
      <c r="T32" s="0" t="n">
        <f aca="false">SUMIFS('Payment Breakdown Prior'!$S$15:$S$104,'Payment Breakdown Prior'!$AE$15:$AE$104,$A32)</f>
        <v>243.79</v>
      </c>
      <c r="U32" s="0" t="n">
        <f aca="false">SUMIFS('Payment Breakdown Current'!$S$15:$S$104,'Payment Breakdown Current'!$AE$15:$AE$104,$A32)</f>
        <v>438.82</v>
      </c>
      <c r="V32" s="0" t="n">
        <f aca="false">IFERROR((U32-T32)/T32,"")</f>
        <v>0.799991796218057</v>
      </c>
      <c r="W32" s="0" t="n">
        <f aca="false">(SUMIFS('Payment Breakdown Current'!$S$15:$S$104,'Payment Breakdown Current'!$AE$15:$AE$104,$A32))-(SUMIFS('Payment Breakdown Prior'!$S$15:$S$104,'Payment Breakdown Prior'!$AE$15:$AE$104,$A32))</f>
        <v>195.03</v>
      </c>
      <c r="X32" s="0" t="n">
        <f aca="false">(SUMIFS('Payment Breakdown Current'!$T$15:$T$104,'Payment Breakdown Current'!$AE$15:$AE$104,$A32))-(SUMIFS('Payment Breakdown Prior'!$T$15:$T$104,'Payment Breakdown Prior'!$AE$15:$AE$104,$A32))</f>
        <v>0</v>
      </c>
      <c r="Y32" s="0" t="n">
        <f aca="false">(SUMIFS('Payment Breakdown Current'!$U$15:$U$104,'Payment Breakdown Current'!$AE$15:$AE$104,$A32))-(SUMIFS('Payment Breakdown Prior'!$U$15:$U$104,'Payment Breakdown Prior'!$AE$15:$AE$104,$A32))</f>
        <v>0</v>
      </c>
      <c r="Z32" s="0" t="n">
        <f aca="false">(SUMIFS('Payment Breakdown Current'!$V$15:$V$104,'Payment Breakdown Current'!$AE$15:$AE$104,$A32))-(SUMIFS('Payment Breakdown Prior'!$V$15:$V$104,'Payment Breakdown Prior'!$AE$15:$AE$104,$A32))</f>
        <v>0</v>
      </c>
      <c r="AA32" s="0" t="n">
        <f aca="false">(SUMIFS('Payment Breakdown Current'!$W$15:$W$104,'Payment Breakdown Current'!$AE$15:$AE$104,$A32))-(SUMIFS('Payment Breakdown Prior'!$W$15:$W$104,'Payment Breakdown Prior'!$AE$15:$AE$104,$A32))</f>
        <v>0</v>
      </c>
      <c r="AB32" s="0" t="n">
        <f aca="false">(SUMIFS('Payment Breakdown Current'!$X$15:$X$104,'Payment Breakdown Current'!$AE$15:$AE$104,$A32))-(SUMIFS('Payment Breakdown Prior'!$X$15:$X$104,'Payment Breakdown Prior'!$AE$15:$AE$104,$A32))</f>
        <v>0</v>
      </c>
      <c r="AC32" s="0" t="n">
        <f aca="false">(SUMIFS('Payment Breakdown Current'!$Y$15:$Y$104,'Payment Breakdown Current'!$AE$15:$AE$104,$A32))-(SUMIFS('Payment Breakdown Prior'!$Y$15:$Y$104,'Payment Breakdown Prior'!$AE$15:$AE$104,$A32))</f>
        <v>0</v>
      </c>
      <c r="AD32" s="0" t="n">
        <f aca="false">(SUMIFS('Payment Breakdown Current'!$Z$15:$Z$104,'Payment Breakdown Current'!$AE$15:$AE$104,$A32))-(SUMIFS('Payment Breakdown Prior'!$Z$15:$Z$104,'Payment Breakdown Prior'!$AE$15:$AE$104,$A32))</f>
        <v>0</v>
      </c>
      <c r="AE32" s="0" t="n">
        <f aca="false">(SUMIFS('Payment Breakdown Current'!$AA$15:$AA$104,'Payment Breakdown Current'!$AE$15:$AE$104,$A32))-(SUMIFS('Payment Breakdown Prior'!$AA$15:$AA$104,'Payment Breakdown Prior'!$AE$15:$AE$104,$A32))</f>
        <v>0</v>
      </c>
      <c r="AF32" s="0" t="n">
        <f aca="false">(SUMIFS('Payment Breakdown Current'!$AB$15:$AB$104,'Payment Breakdown Current'!$AE$15:$AE$104,$A32))-(SUMIFS('Payment Breakdown Prior'!$AB$15:$AB$104,'Payment Breakdown Prior'!$AE$15:$AE$104,$A32))</f>
        <v>0</v>
      </c>
      <c r="AG32" s="0" t="n">
        <f aca="false">(SUMIFS('Payment Breakdown Current'!$AC$15:$AC$104,'Payment Breakdown Current'!$AE$15:$AE$104,$A32))-(SUMIFS('Payment Breakdown Prior'!$AC$15:$AC$104,'Payment Breakdown Prior'!$AE$15:$AE$104,$A32))</f>
        <v>0</v>
      </c>
      <c r="AH32" s="0" t="n">
        <f aca="false">(SUMIFS('Payment Breakdown Current'!$AD$15:$AD$104,'Payment Breakdown Current'!$AE$15:$AE$104,$A32))-(SUMIFS('Payment Breakdown Prior'!$AD$15:$AD$104,'Payment Breakdown Prior'!$AE$15:$AE$104,$A32))</f>
        <v>0</v>
      </c>
      <c r="AI32" s="0" t="n">
        <f aca="false">MAX(ABS(W32),ABS(X32),ABS(Y32),ABS(Z32),ABS(AA32),ABS(AB32),ABS(AC32),ABS(AD32),ABS(AE32),ABS(AF32),ABS(AG32),ABS(AH32))</f>
        <v>195.03</v>
      </c>
      <c r="AJ32" s="0" t="str">
        <f aca="false">IF(AI32&lt;0.005,"",IF(ABS(W32)=AI32,W$1,IF(ABS(X32)=AI32,X$1,IF(ABS(Y32)=AI32,Y$1,IF(ABS(Z32)=AI32,Z$1,IF(ABS(AA32)=AI32,AA$1,IF(ABS(AB32)=AI32,AB$1,IF(ABS(AC32)=AI32,AC$1,IF(ABS(AD32)=AI32,AD$1,IF(ABS(AE32)=AI32,AE$1,IF(ABS(AF32)=AI32,AF$1,IF(ABS(AG32)=AI32,AG$1,IF(ABS(AH32)=AI32,AH$1,"")))))))))))))</f>
        <v>Basic Salary</v>
      </c>
      <c r="AK32" s="0" t="n">
        <f aca="false">IF(AI32&lt;0.005,"",IF(ABS(W32)=AI32,W32,IF(ABS(X32)=AI32,X32,IF(ABS(Y32)=AI32,Y32,IF(ABS(Z32)=AI32,Z32,IF(ABS(AA32)=AI32,AA32,IF(ABS(AB32)=AI32,AB32,IF(ABS(AC32)=AI32,AC32,IF(ABS(AD32)=AI32,AD32,IF(ABS(AE32)=AI32,AE32,IF(ABS(AF32)=AI32,AF32,IF(ABS(AG32)=AI32,AG32,IF(ABS(AH32)=AI32,AH32,"")))))))))))))</f>
        <v>195.03</v>
      </c>
      <c r="AL32" s="0" t="str">
        <f aca="false">IF(R32=1,ABS(L32)-ROW()/100000000,"")</f>
        <v/>
      </c>
    </row>
    <row r="33" customFormat="false" ht="15" hidden="false" customHeight="false" outlineLevel="0" collapsed="false">
      <c r="A33" s="0" t="str">
        <f aca="false">IF('NPV Comparison'!D46="","",'NPV Comparison'!D46)</f>
        <v>P92719</v>
      </c>
      <c r="B33" s="13" t="n">
        <f aca="false">IF('NPV Comparison'!E46="","",'NPV Comparison'!E46)</f>
        <v>1685.19</v>
      </c>
      <c r="C33" s="13" t="n">
        <f aca="false">IF('NPV Comparison'!F46="","",'NPV Comparison'!F46)</f>
        <v>1811.58</v>
      </c>
      <c r="D33" s="0" t="str">
        <f aca="false">IF($A33="","",IFERROR(INDEX(Structure!$E$13:$E$312,MATCH($A33,Structure!$P$13:$P$312,0)),""))</f>
        <v>Kings Road Dental Practice</v>
      </c>
      <c r="E33" s="0" t="n">
        <f aca="false">IF($A33="",0,IF(COUNTIF(Structure!$P$13:$P$312,$A33)=0,0,IF(COUNTIFS(Structure!$P$13:$P$312,$A33,Structure!$N$13:$N$312,"&lt;&gt;Zero Hours")=0,1,0)))</f>
        <v>0</v>
      </c>
      <c r="F33" s="0" t="n">
        <f aca="false">IF($A33="",0,1-E33)</f>
        <v>1</v>
      </c>
      <c r="G33" s="0" t="n">
        <f aca="false">IF($A33="",0,IF(COUNTIF('New Starters'!$D$14:$D$73,$A33)&gt;0,1,0))</f>
        <v>0</v>
      </c>
      <c r="H33" s="0" t="n">
        <f aca="false">IF($A33="",0,IF(COUNTIF(Leavers!$D$12:$D$71,$A33)&gt;0,1,0))</f>
        <v>0</v>
      </c>
      <c r="I33" s="0" t="str">
        <f aca="false">IF($A33="","",IFERROR(INDEX('New Starters'!$K$14:$K$73,MATCH($A33,'New Starters'!$D$14:$D$73,0)),IFERROR(INDEX(Leavers!$K$12:$K$71,MATCH($A33,Leavers!$D$12:$D$71,0)),"")))</f>
        <v/>
      </c>
      <c r="J33" s="0" t="n">
        <f aca="false">IF(AND(G33=1,I33&lt;&gt;"",COUNTIF(Leavers!$K$12:$K$71,I33)&gt;0),1,IF(AND(H33=1,I33&lt;&gt;"",COUNTIF('New Starters'!$K$14:$K$73,I33)&gt;0),1,0))</f>
        <v>0</v>
      </c>
      <c r="K33" s="14" t="n">
        <f aca="false">IF(ISNUMBER(SEARCH("Head Office",D33)),'Control Sheet'!$C$6,'Control Sheet'!$C$5)</f>
        <v>0.2</v>
      </c>
      <c r="L33" s="0" t="n">
        <f aca="false">IF(OR($A33="",AND(B33="",C33="")),"",IF(B33="",C33,IF(C33="",-B33,C33-B33)))</f>
        <v>126.39</v>
      </c>
      <c r="M33" s="0" t="n">
        <f aca="false">IFERROR(L33/B33,"")</f>
        <v>0.0750004450536734</v>
      </c>
      <c r="N33" s="0" t="n">
        <f aca="false">IF($A33="",0,IF(OR(B33="",C33="",C33=0,IF(ISNUMBER(M33),ABS(M33)&gt;K33,FALSE())),1,0))</f>
        <v>0</v>
      </c>
      <c r="O33" s="0" t="n">
        <f aca="false">IF(OR($A33="",L33=""),0,IF(AND(N33=1,ABS(L33)&gt;='Control Sheet'!$C$7,F33=1),1,0))</f>
        <v>0</v>
      </c>
      <c r="P33" s="0" t="str">
        <f aca="false">IF($A33="","",IF(F33=0,"Zero Hours",IF(J33=1,"Explained: Paired transfer",IF(AND(G33=1,H33=0,J33=0),"Explained: Starter",IF(AND(H33=1,G33=0,J33=0),"Explained: Leaver",IF(O33=1,"Review required","OK"))))))</f>
        <v>OK</v>
      </c>
      <c r="Q33" s="0" t="n">
        <f aca="false">IF(AND(F33=1,OR(C33="",C33=0),H33=0,J33=0),1,0)</f>
        <v>0</v>
      </c>
      <c r="R33" s="0" t="n">
        <f aca="false">IF(F33=0,0,IF(P33="Review required",1,IF(AND(P33="Explained: Starter",ISNUMBER(C33),C33&gt;=1500),1,0)))</f>
        <v>0</v>
      </c>
      <c r="S33" s="0" t="str">
        <f aca="false">IF(R33=0,"",IF(Q33=1,"High",IF(AND(P33="Explained: Starter",C33&gt;=1500),"High",IF(ABS(L33)&gt;=2000,"High",IF(ABS(L33)&gt;=500,"Medium","Low")))))</f>
        <v/>
      </c>
      <c r="T33" s="0" t="n">
        <f aca="false">SUMIFS('Payment Breakdown Prior'!$S$15:$S$104,'Payment Breakdown Prior'!$AE$15:$AE$104,$A33)</f>
        <v>2190.75</v>
      </c>
      <c r="U33" s="0" t="n">
        <f aca="false">SUMIFS('Payment Breakdown Current'!$S$15:$S$104,'Payment Breakdown Current'!$AE$15:$AE$104,$A33)</f>
        <v>2190.75</v>
      </c>
      <c r="V33" s="0" t="n">
        <f aca="false">IFERROR((U33-T33)/T33,"")</f>
        <v>0</v>
      </c>
      <c r="W33" s="0" t="n">
        <f aca="false">(SUMIFS('Payment Breakdown Current'!$S$15:$S$104,'Payment Breakdown Current'!$AE$15:$AE$104,$A33))-(SUMIFS('Payment Breakdown Prior'!$S$15:$S$104,'Payment Breakdown Prior'!$AE$15:$AE$104,$A33))</f>
        <v>0</v>
      </c>
      <c r="X33" s="0" t="n">
        <f aca="false">(SUMIFS('Payment Breakdown Current'!$T$15:$T$104,'Payment Breakdown Current'!$AE$15:$AE$104,$A33))-(SUMIFS('Payment Breakdown Prior'!$T$15:$T$104,'Payment Breakdown Prior'!$AE$15:$AE$104,$A33))</f>
        <v>0</v>
      </c>
      <c r="Y33" s="0" t="n">
        <f aca="false">(SUMIFS('Payment Breakdown Current'!$U$15:$U$104,'Payment Breakdown Current'!$AE$15:$AE$104,$A33))-(SUMIFS('Payment Breakdown Prior'!$U$15:$U$104,'Payment Breakdown Prior'!$AE$15:$AE$104,$A33))</f>
        <v>168.52</v>
      </c>
      <c r="Z33" s="0" t="n">
        <f aca="false">(SUMIFS('Payment Breakdown Current'!$V$15:$V$104,'Payment Breakdown Current'!$AE$15:$AE$104,$A33))-(SUMIFS('Payment Breakdown Prior'!$V$15:$V$104,'Payment Breakdown Prior'!$AE$15:$AE$104,$A33))</f>
        <v>0</v>
      </c>
      <c r="AA33" s="0" t="n">
        <f aca="false">(SUMIFS('Payment Breakdown Current'!$W$15:$W$104,'Payment Breakdown Current'!$AE$15:$AE$104,$A33))-(SUMIFS('Payment Breakdown Prior'!$W$15:$W$104,'Payment Breakdown Prior'!$AE$15:$AE$104,$A33))</f>
        <v>0</v>
      </c>
      <c r="AB33" s="0" t="n">
        <f aca="false">(SUMIFS('Payment Breakdown Current'!$X$15:$X$104,'Payment Breakdown Current'!$AE$15:$AE$104,$A33))-(SUMIFS('Payment Breakdown Prior'!$X$15:$X$104,'Payment Breakdown Prior'!$AE$15:$AE$104,$A33))</f>
        <v>0</v>
      </c>
      <c r="AC33" s="0" t="n">
        <f aca="false">(SUMIFS('Payment Breakdown Current'!$Y$15:$Y$104,'Payment Breakdown Current'!$AE$15:$AE$104,$A33))-(SUMIFS('Payment Breakdown Prior'!$Y$15:$Y$104,'Payment Breakdown Prior'!$AE$15:$AE$104,$A33))</f>
        <v>0</v>
      </c>
      <c r="AD33" s="0" t="n">
        <f aca="false">(SUMIFS('Payment Breakdown Current'!$Z$15:$Z$104,'Payment Breakdown Current'!$AE$15:$AE$104,$A33))-(SUMIFS('Payment Breakdown Prior'!$Z$15:$Z$104,'Payment Breakdown Prior'!$AE$15:$AE$104,$A33))</f>
        <v>0</v>
      </c>
      <c r="AE33" s="0" t="n">
        <f aca="false">(SUMIFS('Payment Breakdown Current'!$AA$15:$AA$104,'Payment Breakdown Current'!$AE$15:$AE$104,$A33))-(SUMIFS('Payment Breakdown Prior'!$AA$15:$AA$104,'Payment Breakdown Prior'!$AE$15:$AE$104,$A33))</f>
        <v>0</v>
      </c>
      <c r="AF33" s="0" t="n">
        <f aca="false">(SUMIFS('Payment Breakdown Current'!$AB$15:$AB$104,'Payment Breakdown Current'!$AE$15:$AE$104,$A33))-(SUMIFS('Payment Breakdown Prior'!$AB$15:$AB$104,'Payment Breakdown Prior'!$AE$15:$AE$104,$A33))</f>
        <v>0</v>
      </c>
      <c r="AG33" s="0" t="n">
        <f aca="false">(SUMIFS('Payment Breakdown Current'!$AC$15:$AC$104,'Payment Breakdown Current'!$AE$15:$AE$104,$A33))-(SUMIFS('Payment Breakdown Prior'!$AC$15:$AC$104,'Payment Breakdown Prior'!$AE$15:$AE$104,$A33))</f>
        <v>0</v>
      </c>
      <c r="AH33" s="0" t="n">
        <f aca="false">(SUMIFS('Payment Breakdown Current'!$AD$15:$AD$104,'Payment Breakdown Current'!$AE$15:$AE$104,$A33))-(SUMIFS('Payment Breakdown Prior'!$AD$15:$AD$104,'Payment Breakdown Prior'!$AE$15:$AE$104,$A33))</f>
        <v>0</v>
      </c>
      <c r="AI33" s="0" t="n">
        <f aca="false">MAX(ABS(W33),ABS(X33),ABS(Y33),ABS(Z33),ABS(AA33),ABS(AB33),ABS(AC33),ABS(AD33),ABS(AE33),ABS(AF33),ABS(AG33),ABS(AH33))</f>
        <v>168.52</v>
      </c>
      <c r="AJ33" s="0" t="str">
        <f aca="false">IF(AI33&lt;0.005,"",IF(ABS(W33)=AI33,W$1,IF(ABS(X33)=AI33,X$1,IF(ABS(Y33)=AI33,Y$1,IF(ABS(Z33)=AI33,Z$1,IF(ABS(AA33)=AI33,AA$1,IF(ABS(AB33)=AI33,AB$1,IF(ABS(AC33)=AI33,AC$1,IF(ABS(AD33)=AI33,AD$1,IF(ABS(AE33)=AI33,AE$1,IF(ABS(AF33)=AI33,AF$1,IF(ABS(AG33)=AI33,AG$1,IF(ABS(AH33)=AI33,AH$1,"")))))))))))))</f>
        <v>Bonus</v>
      </c>
      <c r="AK33" s="0" t="n">
        <f aca="false">IF(AI33&lt;0.005,"",IF(ABS(W33)=AI33,W33,IF(ABS(X33)=AI33,X33,IF(ABS(Y33)=AI33,Y33,IF(ABS(Z33)=AI33,Z33,IF(ABS(AA33)=AI33,AA33,IF(ABS(AB33)=AI33,AB33,IF(ABS(AC33)=AI33,AC33,IF(ABS(AD33)=AI33,AD33,IF(ABS(AE33)=AI33,AE33,IF(ABS(AF33)=AI33,AF33,IF(ABS(AG33)=AI33,AG33,IF(ABS(AH33)=AI33,AH33,"")))))))))))))</f>
        <v>168.52</v>
      </c>
      <c r="AL33" s="0" t="str">
        <f aca="false">IF(R33=1,ABS(L33)-ROW()/100000000,"")</f>
        <v/>
      </c>
    </row>
    <row r="34" customFormat="false" ht="15" hidden="false" customHeight="false" outlineLevel="0" collapsed="false">
      <c r="A34" s="0" t="str">
        <f aca="false">IF('NPV Comparison'!D47="","",'NPV Comparison'!D47)</f>
        <v>P19287</v>
      </c>
      <c r="B34" s="13" t="n">
        <f aca="false">IF('NPV Comparison'!E47="","",'NPV Comparison'!E47)</f>
        <v>2631.56</v>
      </c>
      <c r="C34" s="13" t="n">
        <f aca="false">IF('NPV Comparison'!F47="","",'NPV Comparison'!F47)</f>
        <v>2927.62</v>
      </c>
      <c r="D34" s="0" t="str">
        <f aca="false">IF($A34="","",IFERROR(INDEX(Structure!$E$13:$E$312,MATCH($A34,Structure!$P$13:$P$312,0)),""))</f>
        <v>Riverside Dental Practice</v>
      </c>
      <c r="E34" s="0" t="n">
        <f aca="false">IF($A34="",0,IF(COUNTIF(Structure!$P$13:$P$312,$A34)=0,0,IF(COUNTIFS(Structure!$P$13:$P$312,$A34,Structure!$N$13:$N$312,"&lt;&gt;Zero Hours")=0,1,0)))</f>
        <v>0</v>
      </c>
      <c r="F34" s="0" t="n">
        <f aca="false">IF($A34="",0,1-E34)</f>
        <v>1</v>
      </c>
      <c r="G34" s="0" t="n">
        <f aca="false">IF($A34="",0,IF(COUNTIF('New Starters'!$D$14:$D$73,$A34)&gt;0,1,0))</f>
        <v>0</v>
      </c>
      <c r="H34" s="0" t="n">
        <f aca="false">IF($A34="",0,IF(COUNTIF(Leavers!$D$12:$D$71,$A34)&gt;0,1,0))</f>
        <v>0</v>
      </c>
      <c r="I34" s="0" t="str">
        <f aca="false">IF($A34="","",IFERROR(INDEX('New Starters'!$K$14:$K$73,MATCH($A34,'New Starters'!$D$14:$D$73,0)),IFERROR(INDEX(Leavers!$K$12:$K$71,MATCH($A34,Leavers!$D$12:$D$71,0)),"")))</f>
        <v/>
      </c>
      <c r="J34" s="0" t="n">
        <f aca="false">IF(AND(G34=1,I34&lt;&gt;"",COUNTIF(Leavers!$K$12:$K$71,I34)&gt;0),1,IF(AND(H34=1,I34&lt;&gt;"",COUNTIF('New Starters'!$K$14:$K$73,I34)&gt;0),1,0))</f>
        <v>0</v>
      </c>
      <c r="K34" s="14" t="n">
        <f aca="false">IF(ISNUMBER(SEARCH("Head Office",D34)),'Control Sheet'!$C$6,'Control Sheet'!$C$5)</f>
        <v>0.2</v>
      </c>
      <c r="L34" s="0" t="n">
        <f aca="false">IF(OR($A34="",AND(B34="",C34="")),"",IF(B34="",C34,IF(C34="",-B34,C34-B34)))</f>
        <v>296.06</v>
      </c>
      <c r="M34" s="0" t="n">
        <f aca="false">IFERROR(L34/B34,"")</f>
        <v>0.112503610025992</v>
      </c>
      <c r="N34" s="0" t="n">
        <f aca="false">IF($A34="",0,IF(OR(B34="",C34="",C34=0,IF(ISNUMBER(M34),ABS(M34)&gt;K34,FALSE())),1,0))</f>
        <v>0</v>
      </c>
      <c r="O34" s="0" t="n">
        <f aca="false">IF(OR($A34="",L34=""),0,IF(AND(N34=1,ABS(L34)&gt;='Control Sheet'!$C$7,F34=1),1,0))</f>
        <v>0</v>
      </c>
      <c r="P34" s="0" t="str">
        <f aca="false">IF($A34="","",IF(F34=0,"Zero Hours",IF(J34=1,"Explained: Paired transfer",IF(AND(G34=1,H34=0,J34=0),"Explained: Starter",IF(AND(H34=1,G34=0,J34=0),"Explained: Leaver",IF(O34=1,"Review required","OK"))))))</f>
        <v>OK</v>
      </c>
      <c r="Q34" s="0" t="n">
        <f aca="false">IF(AND(F34=1,OR(C34="",C34=0),H34=0,J34=0),1,0)</f>
        <v>0</v>
      </c>
      <c r="R34" s="0" t="n">
        <f aca="false">IF(F34=0,0,IF(P34="Review required",1,IF(AND(P34="Explained: Starter",ISNUMBER(C34),C34&gt;=1500),1,0)))</f>
        <v>0</v>
      </c>
      <c r="S34" s="0" t="str">
        <f aca="false">IF(R34=0,"",IF(Q34=1,"High",IF(AND(P34="Explained: Starter",C34&gt;=1500),"High",IF(ABS(L34)&gt;=2000,"High",IF(ABS(L34)&gt;=500,"Medium","Low")))))</f>
        <v/>
      </c>
      <c r="T34" s="0" t="n">
        <f aca="false">SUMIFS('Payment Breakdown Prior'!$S$15:$S$104,'Payment Breakdown Prior'!$AE$15:$AE$104,$A34)</f>
        <v>3421.03</v>
      </c>
      <c r="U34" s="0" t="n">
        <f aca="false">SUMIFS('Payment Breakdown Current'!$S$15:$S$104,'Payment Breakdown Current'!$AE$15:$AE$104,$A34)</f>
        <v>3421.03</v>
      </c>
      <c r="V34" s="0" t="n">
        <f aca="false">IFERROR((U34-T34)/T34,"")</f>
        <v>0</v>
      </c>
      <c r="W34" s="0" t="n">
        <f aca="false">(SUMIFS('Payment Breakdown Current'!$S$15:$S$104,'Payment Breakdown Current'!$AE$15:$AE$104,$A34))-(SUMIFS('Payment Breakdown Prior'!$S$15:$S$104,'Payment Breakdown Prior'!$AE$15:$AE$104,$A34))</f>
        <v>0</v>
      </c>
      <c r="X34" s="0" t="n">
        <f aca="false">(SUMIFS('Payment Breakdown Current'!$T$15:$T$104,'Payment Breakdown Current'!$AE$15:$AE$104,$A34))-(SUMIFS('Payment Breakdown Prior'!$T$15:$T$104,'Payment Breakdown Prior'!$AE$15:$AE$104,$A34))</f>
        <v>394.74</v>
      </c>
      <c r="Y34" s="0" t="n">
        <f aca="false">(SUMIFS('Payment Breakdown Current'!$U$15:$U$104,'Payment Breakdown Current'!$AE$15:$AE$104,$A34))-(SUMIFS('Payment Breakdown Prior'!$U$15:$U$104,'Payment Breakdown Prior'!$AE$15:$AE$104,$A34))</f>
        <v>0</v>
      </c>
      <c r="Z34" s="0" t="n">
        <f aca="false">(SUMIFS('Payment Breakdown Current'!$V$15:$V$104,'Payment Breakdown Current'!$AE$15:$AE$104,$A34))-(SUMIFS('Payment Breakdown Prior'!$V$15:$V$104,'Payment Breakdown Prior'!$AE$15:$AE$104,$A34))</f>
        <v>0</v>
      </c>
      <c r="AA34" s="0" t="n">
        <f aca="false">(SUMIFS('Payment Breakdown Current'!$W$15:$W$104,'Payment Breakdown Current'!$AE$15:$AE$104,$A34))-(SUMIFS('Payment Breakdown Prior'!$W$15:$W$104,'Payment Breakdown Prior'!$AE$15:$AE$104,$A34))</f>
        <v>0</v>
      </c>
      <c r="AB34" s="0" t="n">
        <f aca="false">(SUMIFS('Payment Breakdown Current'!$X$15:$X$104,'Payment Breakdown Current'!$AE$15:$AE$104,$A34))-(SUMIFS('Payment Breakdown Prior'!$X$15:$X$104,'Payment Breakdown Prior'!$AE$15:$AE$104,$A34))</f>
        <v>0</v>
      </c>
      <c r="AC34" s="0" t="n">
        <f aca="false">(SUMIFS('Payment Breakdown Current'!$Y$15:$Y$104,'Payment Breakdown Current'!$AE$15:$AE$104,$A34))-(SUMIFS('Payment Breakdown Prior'!$Y$15:$Y$104,'Payment Breakdown Prior'!$AE$15:$AE$104,$A34))</f>
        <v>0</v>
      </c>
      <c r="AD34" s="0" t="n">
        <f aca="false">(SUMIFS('Payment Breakdown Current'!$Z$15:$Z$104,'Payment Breakdown Current'!$AE$15:$AE$104,$A34))-(SUMIFS('Payment Breakdown Prior'!$Z$15:$Z$104,'Payment Breakdown Prior'!$AE$15:$AE$104,$A34))</f>
        <v>0</v>
      </c>
      <c r="AE34" s="0" t="n">
        <f aca="false">(SUMIFS('Payment Breakdown Current'!$AA$15:$AA$104,'Payment Breakdown Current'!$AE$15:$AE$104,$A34))-(SUMIFS('Payment Breakdown Prior'!$AA$15:$AA$104,'Payment Breakdown Prior'!$AE$15:$AE$104,$A34))</f>
        <v>0</v>
      </c>
      <c r="AF34" s="0" t="n">
        <f aca="false">(SUMIFS('Payment Breakdown Current'!$AB$15:$AB$104,'Payment Breakdown Current'!$AE$15:$AE$104,$A34))-(SUMIFS('Payment Breakdown Prior'!$AB$15:$AB$104,'Payment Breakdown Prior'!$AE$15:$AE$104,$A34))</f>
        <v>0</v>
      </c>
      <c r="AG34" s="0" t="n">
        <f aca="false">(SUMIFS('Payment Breakdown Current'!$AC$15:$AC$104,'Payment Breakdown Current'!$AE$15:$AE$104,$A34))-(SUMIFS('Payment Breakdown Prior'!$AC$15:$AC$104,'Payment Breakdown Prior'!$AE$15:$AE$104,$A34))</f>
        <v>0</v>
      </c>
      <c r="AH34" s="0" t="n">
        <f aca="false">(SUMIFS('Payment Breakdown Current'!$AD$15:$AD$104,'Payment Breakdown Current'!$AE$15:$AE$104,$A34))-(SUMIFS('Payment Breakdown Prior'!$AD$15:$AD$104,'Payment Breakdown Prior'!$AE$15:$AE$104,$A34))</f>
        <v>0</v>
      </c>
      <c r="AI34" s="0" t="n">
        <f aca="false">MAX(ABS(W34),ABS(X34),ABS(Y34),ABS(Z34),ABS(AA34),ABS(AB34),ABS(AC34),ABS(AD34),ABS(AE34),ABS(AF34),ABS(AG34),ABS(AH34))</f>
        <v>394.74</v>
      </c>
      <c r="AJ34" s="0" t="str">
        <f aca="false">IF(AI34&lt;0.005,"",IF(ABS(W34)=AI34,W$1,IF(ABS(X34)=AI34,X$1,IF(ABS(Y34)=AI34,Y$1,IF(ABS(Z34)=AI34,Z$1,IF(ABS(AA34)=AI34,AA$1,IF(ABS(AB34)=AI34,AB$1,IF(ABS(AC34)=AI34,AC$1,IF(ABS(AD34)=AI34,AD$1,IF(ABS(AE34)=AI34,AE$1,IF(ABS(AF34)=AI34,AF$1,IF(ABS(AG34)=AI34,AG$1,IF(ABS(AH34)=AI34,AH$1,"")))))))))))))</f>
        <v>Overtime</v>
      </c>
      <c r="AK34" s="0" t="n">
        <f aca="false">IF(AI34&lt;0.005,"",IF(ABS(W34)=AI34,W34,IF(ABS(X34)=AI34,X34,IF(ABS(Y34)=AI34,Y34,IF(ABS(Z34)=AI34,Z34,IF(ABS(AA34)=AI34,AA34,IF(ABS(AB34)=AI34,AB34,IF(ABS(AC34)=AI34,AC34,IF(ABS(AD34)=AI34,AD34,IF(ABS(AE34)=AI34,AE34,IF(ABS(AF34)=AI34,AF34,IF(ABS(AG34)=AI34,AG34,IF(ABS(AH34)=AI34,AH34,"")))))))))))))</f>
        <v>394.74</v>
      </c>
      <c r="AL34" s="0" t="str">
        <f aca="false">IF(R34=1,ABS(L34)-ROW()/100000000,"")</f>
        <v/>
      </c>
    </row>
    <row r="35" customFormat="false" ht="15" hidden="false" customHeight="false" outlineLevel="0" collapsed="false">
      <c r="A35" s="0" t="str">
        <f aca="false">IF('NPV Comparison'!D48="","",'NPV Comparison'!D48)</f>
        <v>P73624</v>
      </c>
      <c r="B35" s="13" t="n">
        <f aca="false">IF('NPV Comparison'!E48="","",'NPV Comparison'!E48)</f>
        <v>1934.17</v>
      </c>
      <c r="C35" s="13" t="n">
        <f aca="false">IF('NPV Comparison'!F48="","",'NPV Comparison'!F48)</f>
        <v>1680.31</v>
      </c>
      <c r="D35" s="0" t="str">
        <f aca="false">IF($A35="","",IFERROR(INDEX(Structure!$E$13:$E$312,MATCH($A35,Structure!$P$13:$P$312,0)),""))</f>
        <v>Hakim Group Head Office</v>
      </c>
      <c r="E35" s="0" t="n">
        <f aca="false">IF($A35="",0,IF(COUNTIF(Structure!$P$13:$P$312,$A35)=0,0,IF(COUNTIFS(Structure!$P$13:$P$312,$A35,Structure!$N$13:$N$312,"&lt;&gt;Zero Hours")=0,1,0)))</f>
        <v>0</v>
      </c>
      <c r="F35" s="0" t="n">
        <f aca="false">IF($A35="",0,1-E35)</f>
        <v>1</v>
      </c>
      <c r="G35" s="0" t="n">
        <f aca="false">IF($A35="",0,IF(COUNTIF('New Starters'!$D$14:$D$73,$A35)&gt;0,1,0))</f>
        <v>0</v>
      </c>
      <c r="H35" s="0" t="n">
        <f aca="false">IF($A35="",0,IF(COUNTIF(Leavers!$D$12:$D$71,$A35)&gt;0,1,0))</f>
        <v>0</v>
      </c>
      <c r="I35" s="0" t="str">
        <f aca="false">IF($A35="","",IFERROR(INDEX('New Starters'!$K$14:$K$73,MATCH($A35,'New Starters'!$D$14:$D$73,0)),IFERROR(INDEX(Leavers!$K$12:$K$71,MATCH($A35,Leavers!$D$12:$D$71,0)),"")))</f>
        <v/>
      </c>
      <c r="J35" s="0" t="n">
        <f aca="false">IF(AND(G35=1,I35&lt;&gt;"",COUNTIF(Leavers!$K$12:$K$71,I35)&gt;0),1,IF(AND(H35=1,I35&lt;&gt;"",COUNTIF('New Starters'!$K$14:$K$73,I35)&gt;0),1,0))</f>
        <v>0</v>
      </c>
      <c r="K35" s="14" t="n">
        <f aca="false">IF(ISNUMBER(SEARCH("Head Office",D35)),'Control Sheet'!$C$6,'Control Sheet'!$C$5)</f>
        <v>0.05</v>
      </c>
      <c r="L35" s="0" t="n">
        <f aca="false">IF(OR($A35="",AND(B35="",C35="")),"",IF(B35="",C35,IF(C35="",-B35,C35-B35)))</f>
        <v>-253.86</v>
      </c>
      <c r="M35" s="0" t="n">
        <f aca="false">IFERROR(L35/B35,"")</f>
        <v>-0.131250096940807</v>
      </c>
      <c r="N35" s="0" t="n">
        <f aca="false">IF($A35="",0,IF(OR(B35="",C35="",C35=0,IF(ISNUMBER(M35),ABS(M35)&gt;K35,FALSE())),1,0))</f>
        <v>1</v>
      </c>
      <c r="O35" s="0" t="n">
        <f aca="false">IF(OR($A35="",L35=""),0,IF(AND(N35=1,ABS(L35)&gt;='Control Sheet'!$C$7,F35=1),1,0))</f>
        <v>1</v>
      </c>
      <c r="P35" s="0" t="str">
        <f aca="false">IF($A35="","",IF(F35=0,"Zero Hours",IF(J35=1,"Explained: Paired transfer",IF(AND(G35=1,H35=0,J35=0),"Explained: Starter",IF(AND(H35=1,G35=0,J35=0),"Explained: Leaver",IF(O35=1,"Review required","OK"))))))</f>
        <v>Review required</v>
      </c>
      <c r="Q35" s="0" t="n">
        <f aca="false">IF(AND(F35=1,OR(C35="",C35=0),H35=0,J35=0),1,0)</f>
        <v>0</v>
      </c>
      <c r="R35" s="0" t="n">
        <f aca="false">IF(F35=0,0,IF(P35="Review required",1,IF(AND(P35="Explained: Starter",ISNUMBER(C35),C35&gt;=1500),1,0)))</f>
        <v>1</v>
      </c>
      <c r="S35" s="0" t="str">
        <f aca="false">IF(R35=0,"",IF(Q35=1,"High",IF(AND(P35="Explained: Starter",C35&gt;=1500),"High",IF(ABS(L35)&gt;=2000,"High",IF(ABS(L35)&gt;=500,"Medium","Low")))))</f>
        <v>Low</v>
      </c>
      <c r="T35" s="0" t="n">
        <f aca="false">SUMIFS('Payment Breakdown Prior'!$S$15:$S$104,'Payment Breakdown Prior'!$AE$15:$AE$104,$A35)</f>
        <v>967.09</v>
      </c>
      <c r="U35" s="0" t="n">
        <f aca="false">SUMIFS('Payment Breakdown Current'!$S$15:$S$104,'Payment Breakdown Current'!$AE$15:$AE$104,$A35)</f>
        <v>628.61</v>
      </c>
      <c r="V35" s="0" t="n">
        <f aca="false">IFERROR((U35-T35)/T35,"")</f>
        <v>-0.349998448955113</v>
      </c>
      <c r="W35" s="0" t="n">
        <f aca="false">(SUMIFS('Payment Breakdown Current'!$S$15:$S$104,'Payment Breakdown Current'!$AE$15:$AE$104,$A35))-(SUMIFS('Payment Breakdown Prior'!$S$15:$S$104,'Payment Breakdown Prior'!$AE$15:$AE$104,$A35))</f>
        <v>-338.48</v>
      </c>
      <c r="X35" s="0" t="n">
        <f aca="false">(SUMIFS('Payment Breakdown Current'!$T$15:$T$104,'Payment Breakdown Current'!$AE$15:$AE$104,$A35))-(SUMIFS('Payment Breakdown Prior'!$T$15:$T$104,'Payment Breakdown Prior'!$AE$15:$AE$104,$A35))</f>
        <v>0</v>
      </c>
      <c r="Y35" s="0" t="n">
        <f aca="false">(SUMIFS('Payment Breakdown Current'!$U$15:$U$104,'Payment Breakdown Current'!$AE$15:$AE$104,$A35))-(SUMIFS('Payment Breakdown Prior'!$U$15:$U$104,'Payment Breakdown Prior'!$AE$15:$AE$104,$A35))</f>
        <v>0</v>
      </c>
      <c r="Z35" s="0" t="n">
        <f aca="false">(SUMIFS('Payment Breakdown Current'!$V$15:$V$104,'Payment Breakdown Current'!$AE$15:$AE$104,$A35))-(SUMIFS('Payment Breakdown Prior'!$V$15:$V$104,'Payment Breakdown Prior'!$AE$15:$AE$104,$A35))</f>
        <v>0</v>
      </c>
      <c r="AA35" s="0" t="n">
        <f aca="false">(SUMIFS('Payment Breakdown Current'!$W$15:$W$104,'Payment Breakdown Current'!$AE$15:$AE$104,$A35))-(SUMIFS('Payment Breakdown Prior'!$W$15:$W$104,'Payment Breakdown Prior'!$AE$15:$AE$104,$A35))</f>
        <v>0</v>
      </c>
      <c r="AB35" s="0" t="n">
        <f aca="false">(SUMIFS('Payment Breakdown Current'!$X$15:$X$104,'Payment Breakdown Current'!$AE$15:$AE$104,$A35))-(SUMIFS('Payment Breakdown Prior'!$X$15:$X$104,'Payment Breakdown Prior'!$AE$15:$AE$104,$A35))</f>
        <v>0</v>
      </c>
      <c r="AC35" s="0" t="n">
        <f aca="false">(SUMIFS('Payment Breakdown Current'!$Y$15:$Y$104,'Payment Breakdown Current'!$AE$15:$AE$104,$A35))-(SUMIFS('Payment Breakdown Prior'!$Y$15:$Y$104,'Payment Breakdown Prior'!$AE$15:$AE$104,$A35))</f>
        <v>0</v>
      </c>
      <c r="AD35" s="0" t="n">
        <f aca="false">(SUMIFS('Payment Breakdown Current'!$Z$15:$Z$104,'Payment Breakdown Current'!$AE$15:$AE$104,$A35))-(SUMIFS('Payment Breakdown Prior'!$Z$15:$Z$104,'Payment Breakdown Prior'!$AE$15:$AE$104,$A35))</f>
        <v>0</v>
      </c>
      <c r="AE35" s="0" t="n">
        <f aca="false">(SUMIFS('Payment Breakdown Current'!$AA$15:$AA$104,'Payment Breakdown Current'!$AE$15:$AE$104,$A35))-(SUMIFS('Payment Breakdown Prior'!$AA$15:$AA$104,'Payment Breakdown Prior'!$AE$15:$AE$104,$A35))</f>
        <v>0</v>
      </c>
      <c r="AF35" s="0" t="n">
        <f aca="false">(SUMIFS('Payment Breakdown Current'!$AB$15:$AB$104,'Payment Breakdown Current'!$AE$15:$AE$104,$A35))-(SUMIFS('Payment Breakdown Prior'!$AB$15:$AB$104,'Payment Breakdown Prior'!$AE$15:$AE$104,$A35))</f>
        <v>0</v>
      </c>
      <c r="AG35" s="0" t="n">
        <f aca="false">(SUMIFS('Payment Breakdown Current'!$AC$15:$AC$104,'Payment Breakdown Current'!$AE$15:$AE$104,$A35))-(SUMIFS('Payment Breakdown Prior'!$AC$15:$AC$104,'Payment Breakdown Prior'!$AE$15:$AE$104,$A35))</f>
        <v>0</v>
      </c>
      <c r="AH35" s="0" t="n">
        <f aca="false">(SUMIFS('Payment Breakdown Current'!$AD$15:$AD$104,'Payment Breakdown Current'!$AE$15:$AE$104,$A35))-(SUMIFS('Payment Breakdown Prior'!$AD$15:$AD$104,'Payment Breakdown Prior'!$AE$15:$AE$104,$A35))</f>
        <v>0</v>
      </c>
      <c r="AI35" s="0" t="n">
        <f aca="false">MAX(ABS(W35),ABS(X35),ABS(Y35),ABS(Z35),ABS(AA35),ABS(AB35),ABS(AC35),ABS(AD35),ABS(AE35),ABS(AF35),ABS(AG35),ABS(AH35))</f>
        <v>338.48</v>
      </c>
      <c r="AJ35" s="0" t="str">
        <f aca="false">IF(AI35&lt;0.005,"",IF(ABS(W35)=AI35,W$1,IF(ABS(X35)=AI35,X$1,IF(ABS(Y35)=AI35,Y$1,IF(ABS(Z35)=AI35,Z$1,IF(ABS(AA35)=AI35,AA$1,IF(ABS(AB35)=AI35,AB$1,IF(ABS(AC35)=AI35,AC$1,IF(ABS(AD35)=AI35,AD$1,IF(ABS(AE35)=AI35,AE$1,IF(ABS(AF35)=AI35,AF$1,IF(ABS(AG35)=AI35,AG$1,IF(ABS(AH35)=AI35,AH$1,"")))))))))))))</f>
        <v>Basic Salary</v>
      </c>
      <c r="AK35" s="0" t="n">
        <f aca="false">IF(AI35&lt;0.005,"",IF(ABS(W35)=AI35,W35,IF(ABS(X35)=AI35,X35,IF(ABS(Y35)=AI35,Y35,IF(ABS(Z35)=AI35,Z35,IF(ABS(AA35)=AI35,AA35,IF(ABS(AB35)=AI35,AB35,IF(ABS(AC35)=AI35,AC35,IF(ABS(AD35)=AI35,AD35,IF(ABS(AE35)=AI35,AE35,IF(ABS(AF35)=AI35,AF35,IF(ABS(AG35)=AI35,AG35,IF(ABS(AH35)=AI35,AH35,"")))))))))))))</f>
        <v>-338.48</v>
      </c>
      <c r="AL35" s="0" t="n">
        <f aca="false">IF(R35=1,ABS(L35)-ROW()/100000000,"")</f>
        <v>253.85999965</v>
      </c>
    </row>
    <row r="36" customFormat="false" ht="15" hidden="false" customHeight="false" outlineLevel="0" collapsed="false">
      <c r="A36" s="0" t="str">
        <f aca="false">IF('NPV Comparison'!D49="","",'NPV Comparison'!D49)</f>
        <v>P84847</v>
      </c>
      <c r="B36" s="13" t="n">
        <f aca="false">IF('NPV Comparison'!E49="","",'NPV Comparison'!E49)</f>
        <v>2722.62</v>
      </c>
      <c r="C36" s="13" t="n">
        <f aca="false">IF('NPV Comparison'!F49="","",'NPV Comparison'!F49)</f>
        <v>4968.78</v>
      </c>
      <c r="D36" s="0" t="str">
        <f aca="false">IF($A36="","",IFERROR(INDEX(Structure!$E$13:$E$312,MATCH($A36,Structure!$P$13:$P$312,0)),""))</f>
        <v>Kings Road Dental Practice</v>
      </c>
      <c r="E36" s="0" t="n">
        <f aca="false">IF($A36="",0,IF(COUNTIF(Structure!$P$13:$P$312,$A36)=0,0,IF(COUNTIFS(Structure!$P$13:$P$312,$A36,Structure!$N$13:$N$312,"&lt;&gt;Zero Hours")=0,1,0)))</f>
        <v>0</v>
      </c>
      <c r="F36" s="0" t="n">
        <f aca="false">IF($A36="",0,1-E36)</f>
        <v>1</v>
      </c>
      <c r="G36" s="0" t="n">
        <f aca="false">IF($A36="",0,IF(COUNTIF('New Starters'!$D$14:$D$73,$A36)&gt;0,1,0))</f>
        <v>0</v>
      </c>
      <c r="H36" s="0" t="n">
        <f aca="false">IF($A36="",0,IF(COUNTIF(Leavers!$D$12:$D$71,$A36)&gt;0,1,0))</f>
        <v>0</v>
      </c>
      <c r="I36" s="0" t="str">
        <f aca="false">IF($A36="","",IFERROR(INDEX('New Starters'!$K$14:$K$73,MATCH($A36,'New Starters'!$D$14:$D$73,0)),IFERROR(INDEX(Leavers!$K$12:$K$71,MATCH($A36,Leavers!$D$12:$D$71,0)),"")))</f>
        <v/>
      </c>
      <c r="J36" s="0" t="n">
        <f aca="false">IF(AND(G36=1,I36&lt;&gt;"",COUNTIF(Leavers!$K$12:$K$71,I36)&gt;0),1,IF(AND(H36=1,I36&lt;&gt;"",COUNTIF('New Starters'!$K$14:$K$73,I36)&gt;0),1,0))</f>
        <v>0</v>
      </c>
      <c r="K36" s="14" t="n">
        <f aca="false">IF(ISNUMBER(SEARCH("Head Office",D36)),'Control Sheet'!$C$6,'Control Sheet'!$C$5)</f>
        <v>0.2</v>
      </c>
      <c r="L36" s="0" t="n">
        <f aca="false">IF(OR($A36="",AND(B36="",C36="")),"",IF(B36="",C36,IF(C36="",-B36,C36-B36)))</f>
        <v>2246.16</v>
      </c>
      <c r="M36" s="0" t="n">
        <f aca="false">IFERROR(L36/B36,"")</f>
        <v>0.824999449060097</v>
      </c>
      <c r="N36" s="0" t="n">
        <f aca="false">IF($A36="",0,IF(OR(B36="",C36="",C36=0,IF(ISNUMBER(M36),ABS(M36)&gt;K36,FALSE())),1,0))</f>
        <v>1</v>
      </c>
      <c r="O36" s="0" t="n">
        <f aca="false">IF(OR($A36="",L36=""),0,IF(AND(N36=1,ABS(L36)&gt;='Control Sheet'!$C$7,F36=1),1,0))</f>
        <v>1</v>
      </c>
      <c r="P36" s="0" t="str">
        <f aca="false">IF($A36="","",IF(F36=0,"Zero Hours",IF(J36=1,"Explained: Paired transfer",IF(AND(G36=1,H36=0,J36=0),"Explained: Starter",IF(AND(H36=1,G36=0,J36=0),"Explained: Leaver",IF(O36=1,"Review required","OK"))))))</f>
        <v>Review required</v>
      </c>
      <c r="Q36" s="0" t="n">
        <f aca="false">IF(AND(F36=1,OR(C36="",C36=0),H36=0,J36=0),1,0)</f>
        <v>0</v>
      </c>
      <c r="R36" s="0" t="n">
        <f aca="false">IF(F36=0,0,IF(P36="Review required",1,IF(AND(P36="Explained: Starter",ISNUMBER(C36),C36&gt;=1500),1,0)))</f>
        <v>1</v>
      </c>
      <c r="S36" s="0" t="str">
        <f aca="false">IF(R36=0,"",IF(Q36=1,"High",IF(AND(P36="Explained: Starter",C36&gt;=1500),"High",IF(ABS(L36)&gt;=2000,"High",IF(ABS(L36)&gt;=500,"Medium","Low")))))</f>
        <v>High</v>
      </c>
      <c r="T36" s="0" t="n">
        <f aca="false">SUMIFS('Payment Breakdown Prior'!$S$15:$S$104,'Payment Breakdown Prior'!$AE$15:$AE$104,$A36)</f>
        <v>3539.4</v>
      </c>
      <c r="U36" s="0" t="n">
        <f aca="false">SUMIFS('Payment Breakdown Current'!$S$15:$S$104,'Payment Breakdown Current'!$AE$15:$AE$104,$A36)</f>
        <v>3539.4</v>
      </c>
      <c r="V36" s="0" t="n">
        <f aca="false">IFERROR((U36-T36)/T36,"")</f>
        <v>0</v>
      </c>
      <c r="W36" s="0" t="n">
        <f aca="false">(SUMIFS('Payment Breakdown Current'!$S$15:$S$104,'Payment Breakdown Current'!$AE$15:$AE$104,$A36))-(SUMIFS('Payment Breakdown Prior'!$S$15:$S$104,'Payment Breakdown Prior'!$AE$15:$AE$104,$A36))</f>
        <v>0</v>
      </c>
      <c r="X36" s="0" t="n">
        <f aca="false">(SUMIFS('Payment Breakdown Current'!$T$15:$T$104,'Payment Breakdown Current'!$AE$15:$AE$104,$A36))-(SUMIFS('Payment Breakdown Prior'!$T$15:$T$104,'Payment Breakdown Prior'!$AE$15:$AE$104,$A36))</f>
        <v>0</v>
      </c>
      <c r="Y36" s="0" t="n">
        <f aca="false">(SUMIFS('Payment Breakdown Current'!$U$15:$U$104,'Payment Breakdown Current'!$AE$15:$AE$104,$A36))-(SUMIFS('Payment Breakdown Prior'!$U$15:$U$104,'Payment Breakdown Prior'!$AE$15:$AE$104,$A36))</f>
        <v>0</v>
      </c>
      <c r="Z36" s="0" t="n">
        <f aca="false">(SUMIFS('Payment Breakdown Current'!$V$15:$V$104,'Payment Breakdown Current'!$AE$15:$AE$104,$A36))-(SUMIFS('Payment Breakdown Prior'!$V$15:$V$104,'Payment Breakdown Prior'!$AE$15:$AE$104,$A36))</f>
        <v>2994.88</v>
      </c>
      <c r="AA36" s="0" t="n">
        <f aca="false">(SUMIFS('Payment Breakdown Current'!$W$15:$W$104,'Payment Breakdown Current'!$AE$15:$AE$104,$A36))-(SUMIFS('Payment Breakdown Prior'!$W$15:$W$104,'Payment Breakdown Prior'!$AE$15:$AE$104,$A36))</f>
        <v>0</v>
      </c>
      <c r="AB36" s="0" t="n">
        <f aca="false">(SUMIFS('Payment Breakdown Current'!$X$15:$X$104,'Payment Breakdown Current'!$AE$15:$AE$104,$A36))-(SUMIFS('Payment Breakdown Prior'!$X$15:$X$104,'Payment Breakdown Prior'!$AE$15:$AE$104,$A36))</f>
        <v>0</v>
      </c>
      <c r="AC36" s="0" t="n">
        <f aca="false">(SUMIFS('Payment Breakdown Current'!$Y$15:$Y$104,'Payment Breakdown Current'!$AE$15:$AE$104,$A36))-(SUMIFS('Payment Breakdown Prior'!$Y$15:$Y$104,'Payment Breakdown Prior'!$AE$15:$AE$104,$A36))</f>
        <v>0</v>
      </c>
      <c r="AD36" s="0" t="n">
        <f aca="false">(SUMIFS('Payment Breakdown Current'!$Z$15:$Z$104,'Payment Breakdown Current'!$AE$15:$AE$104,$A36))-(SUMIFS('Payment Breakdown Prior'!$Z$15:$Z$104,'Payment Breakdown Prior'!$AE$15:$AE$104,$A36))</f>
        <v>0</v>
      </c>
      <c r="AE36" s="0" t="n">
        <f aca="false">(SUMIFS('Payment Breakdown Current'!$AA$15:$AA$104,'Payment Breakdown Current'!$AE$15:$AE$104,$A36))-(SUMIFS('Payment Breakdown Prior'!$AA$15:$AA$104,'Payment Breakdown Prior'!$AE$15:$AE$104,$A36))</f>
        <v>0</v>
      </c>
      <c r="AF36" s="0" t="n">
        <f aca="false">(SUMIFS('Payment Breakdown Current'!$AB$15:$AB$104,'Payment Breakdown Current'!$AE$15:$AE$104,$A36))-(SUMIFS('Payment Breakdown Prior'!$AB$15:$AB$104,'Payment Breakdown Prior'!$AE$15:$AE$104,$A36))</f>
        <v>0</v>
      </c>
      <c r="AG36" s="0" t="n">
        <f aca="false">(SUMIFS('Payment Breakdown Current'!$AC$15:$AC$104,'Payment Breakdown Current'!$AE$15:$AE$104,$A36))-(SUMIFS('Payment Breakdown Prior'!$AC$15:$AC$104,'Payment Breakdown Prior'!$AE$15:$AE$104,$A36))</f>
        <v>0</v>
      </c>
      <c r="AH36" s="0" t="n">
        <f aca="false">(SUMIFS('Payment Breakdown Current'!$AD$15:$AD$104,'Payment Breakdown Current'!$AE$15:$AE$104,$A36))-(SUMIFS('Payment Breakdown Prior'!$AD$15:$AD$104,'Payment Breakdown Prior'!$AE$15:$AE$104,$A36))</f>
        <v>0</v>
      </c>
      <c r="AI36" s="0" t="n">
        <f aca="false">MAX(ABS(W36),ABS(X36),ABS(Y36),ABS(Z36),ABS(AA36),ABS(AB36),ABS(AC36),ABS(AD36),ABS(AE36),ABS(AF36),ABS(AG36),ABS(AH36))</f>
        <v>2994.88</v>
      </c>
      <c r="AJ36" s="0" t="str">
        <f aca="false">IF(AI36&lt;0.005,"",IF(ABS(W36)=AI36,W$1,IF(ABS(X36)=AI36,X$1,IF(ABS(Y36)=AI36,Y$1,IF(ABS(Z36)=AI36,Z$1,IF(ABS(AA36)=AI36,AA$1,IF(ABS(AB36)=AI36,AB$1,IF(ABS(AC36)=AI36,AC$1,IF(ABS(AD36)=AI36,AD$1,IF(ABS(AE36)=AI36,AE$1,IF(ABS(AF36)=AI36,AF$1,IF(ABS(AG36)=AI36,AG$1,IF(ABS(AH36)=AI36,AH$1,"")))))))))))))</f>
        <v>Mileage Expenses</v>
      </c>
      <c r="AK36" s="0" t="n">
        <f aca="false">IF(AI36&lt;0.005,"",IF(ABS(W36)=AI36,W36,IF(ABS(X36)=AI36,X36,IF(ABS(Y36)=AI36,Y36,IF(ABS(Z36)=AI36,Z36,IF(ABS(AA36)=AI36,AA36,IF(ABS(AB36)=AI36,AB36,IF(ABS(AC36)=AI36,AC36,IF(ABS(AD36)=AI36,AD36,IF(ABS(AE36)=AI36,AE36,IF(ABS(AF36)=AI36,AF36,IF(ABS(AG36)=AI36,AG36,IF(ABS(AH36)=AI36,AH36,"")))))))))))))</f>
        <v>2994.88</v>
      </c>
      <c r="AL36" s="0" t="n">
        <f aca="false">IF(R36=1,ABS(L36)-ROW()/100000000,"")</f>
        <v>2246.15999964</v>
      </c>
    </row>
    <row r="37" customFormat="false" ht="15" hidden="false" customHeight="false" outlineLevel="0" collapsed="false">
      <c r="A37" s="0" t="str">
        <f aca="false">IF('NPV Comparison'!D50="","",'NPV Comparison'!D50)</f>
        <v>P71993</v>
      </c>
      <c r="B37" s="13" t="n">
        <f aca="false">IF('NPV Comparison'!E50="","",'NPV Comparison'!E50)</f>
        <v>1891.6</v>
      </c>
      <c r="C37" s="13" t="n">
        <f aca="false">IF('NPV Comparison'!F50="","",'NPV Comparison'!F50)</f>
        <v>1891.6</v>
      </c>
      <c r="D37" s="0" t="str">
        <f aca="false">IF($A37="","",IFERROR(INDEX(Structure!$E$13:$E$312,MATCH($A37,Structure!$P$13:$P$312,0)),""))</f>
        <v>Hakim Group Head Office</v>
      </c>
      <c r="E37" s="0" t="n">
        <f aca="false">IF($A37="",0,IF(COUNTIF(Structure!$P$13:$P$312,$A37)=0,0,IF(COUNTIFS(Structure!$P$13:$P$312,$A37,Structure!$N$13:$N$312,"&lt;&gt;Zero Hours")=0,1,0)))</f>
        <v>0</v>
      </c>
      <c r="F37" s="0" t="n">
        <f aca="false">IF($A37="",0,1-E37)</f>
        <v>1</v>
      </c>
      <c r="G37" s="0" t="n">
        <f aca="false">IF($A37="",0,IF(COUNTIF('New Starters'!$D$14:$D$73,$A37)&gt;0,1,0))</f>
        <v>0</v>
      </c>
      <c r="H37" s="0" t="n">
        <f aca="false">IF($A37="",0,IF(COUNTIF(Leavers!$D$12:$D$71,$A37)&gt;0,1,0))</f>
        <v>0</v>
      </c>
      <c r="I37" s="0" t="str">
        <f aca="false">IF($A37="","",IFERROR(INDEX('New Starters'!$K$14:$K$73,MATCH($A37,'New Starters'!$D$14:$D$73,0)),IFERROR(INDEX(Leavers!$K$12:$K$71,MATCH($A37,Leavers!$D$12:$D$71,0)),"")))</f>
        <v/>
      </c>
      <c r="J37" s="0" t="n">
        <f aca="false">IF(AND(G37=1,I37&lt;&gt;"",COUNTIF(Leavers!$K$12:$K$71,I37)&gt;0),1,IF(AND(H37=1,I37&lt;&gt;"",COUNTIF('New Starters'!$K$14:$K$73,I37)&gt;0),1,0))</f>
        <v>0</v>
      </c>
      <c r="K37" s="14" t="n">
        <f aca="false">IF(ISNUMBER(SEARCH("Head Office",D37)),'Control Sheet'!$C$6,'Control Sheet'!$C$5)</f>
        <v>0.05</v>
      </c>
      <c r="L37" s="0" t="n">
        <f aca="false">IF(OR($A37="",AND(B37="",C37="")),"",IF(B37="",C37,IF(C37="",-B37,C37-B37)))</f>
        <v>0</v>
      </c>
      <c r="M37" s="0" t="n">
        <f aca="false">IFERROR(L37/B37,"")</f>
        <v>0</v>
      </c>
      <c r="N37" s="0" t="n">
        <f aca="false">IF($A37="",0,IF(OR(B37="",C37="",C37=0,IF(ISNUMBER(M37),ABS(M37)&gt;K37,FALSE())),1,0))</f>
        <v>0</v>
      </c>
      <c r="O37" s="0" t="n">
        <f aca="false">IF(OR($A37="",L37=""),0,IF(AND(N37=1,ABS(L37)&gt;='Control Sheet'!$C$7,F37=1),1,0))</f>
        <v>0</v>
      </c>
      <c r="P37" s="0" t="str">
        <f aca="false">IF($A37="","",IF(F37=0,"Zero Hours",IF(J37=1,"Explained: Paired transfer",IF(AND(G37=1,H37=0,J37=0),"Explained: Starter",IF(AND(H37=1,G37=0,J37=0),"Explained: Leaver",IF(O37=1,"Review required","OK"))))))</f>
        <v>OK</v>
      </c>
      <c r="Q37" s="0" t="n">
        <f aca="false">IF(AND(F37=1,OR(C37="",C37=0),H37=0,J37=0),1,0)</f>
        <v>0</v>
      </c>
      <c r="R37" s="0" t="n">
        <f aca="false">IF(F37=0,0,IF(P37="Review required",1,IF(AND(P37="Explained: Starter",ISNUMBER(C37),C37&gt;=1500),1,0)))</f>
        <v>0</v>
      </c>
      <c r="S37" s="0" t="str">
        <f aca="false">IF(R37=0,"",IF(Q37=1,"High",IF(AND(P37="Explained: Starter",C37&gt;=1500),"High",IF(ABS(L37)&gt;=2000,"High",IF(ABS(L37)&gt;=500,"Medium","Low")))))</f>
        <v/>
      </c>
      <c r="T37" s="0" t="n">
        <f aca="false">SUMIFS('Payment Breakdown Prior'!$S$15:$S$104,'Payment Breakdown Prior'!$AE$15:$AE$104,$A37)</f>
        <v>2459.08</v>
      </c>
      <c r="U37" s="0" t="n">
        <f aca="false">SUMIFS('Payment Breakdown Current'!$S$15:$S$104,'Payment Breakdown Current'!$AE$15:$AE$104,$A37)</f>
        <v>2459.08</v>
      </c>
      <c r="V37" s="0" t="n">
        <f aca="false">IFERROR((U37-T37)/T37,"")</f>
        <v>0</v>
      </c>
      <c r="W37" s="0" t="n">
        <f aca="false">(SUMIFS('Payment Breakdown Current'!$S$15:$S$104,'Payment Breakdown Current'!$AE$15:$AE$104,$A37))-(SUMIFS('Payment Breakdown Prior'!$S$15:$S$104,'Payment Breakdown Prior'!$AE$15:$AE$104,$A37))</f>
        <v>0</v>
      </c>
      <c r="X37" s="0" t="n">
        <f aca="false">(SUMIFS('Payment Breakdown Current'!$T$15:$T$104,'Payment Breakdown Current'!$AE$15:$AE$104,$A37))-(SUMIFS('Payment Breakdown Prior'!$T$15:$T$104,'Payment Breakdown Prior'!$AE$15:$AE$104,$A37))</f>
        <v>0</v>
      </c>
      <c r="Y37" s="0" t="n">
        <f aca="false">(SUMIFS('Payment Breakdown Current'!$U$15:$U$104,'Payment Breakdown Current'!$AE$15:$AE$104,$A37))-(SUMIFS('Payment Breakdown Prior'!$U$15:$U$104,'Payment Breakdown Prior'!$AE$15:$AE$104,$A37))</f>
        <v>0</v>
      </c>
      <c r="Z37" s="0" t="n">
        <f aca="false">(SUMIFS('Payment Breakdown Current'!$V$15:$V$104,'Payment Breakdown Current'!$AE$15:$AE$104,$A37))-(SUMIFS('Payment Breakdown Prior'!$V$15:$V$104,'Payment Breakdown Prior'!$AE$15:$AE$104,$A37))</f>
        <v>0</v>
      </c>
      <c r="AA37" s="0" t="n">
        <f aca="false">(SUMIFS('Payment Breakdown Current'!$W$15:$W$104,'Payment Breakdown Current'!$AE$15:$AE$104,$A37))-(SUMIFS('Payment Breakdown Prior'!$W$15:$W$104,'Payment Breakdown Prior'!$AE$15:$AE$104,$A37))</f>
        <v>0</v>
      </c>
      <c r="AB37" s="0" t="n">
        <f aca="false">(SUMIFS('Payment Breakdown Current'!$X$15:$X$104,'Payment Breakdown Current'!$AE$15:$AE$104,$A37))-(SUMIFS('Payment Breakdown Prior'!$X$15:$X$104,'Payment Breakdown Prior'!$AE$15:$AE$104,$A37))</f>
        <v>0</v>
      </c>
      <c r="AC37" s="0" t="n">
        <f aca="false">(SUMIFS('Payment Breakdown Current'!$Y$15:$Y$104,'Payment Breakdown Current'!$AE$15:$AE$104,$A37))-(SUMIFS('Payment Breakdown Prior'!$Y$15:$Y$104,'Payment Breakdown Prior'!$AE$15:$AE$104,$A37))</f>
        <v>0</v>
      </c>
      <c r="AD37" s="0" t="n">
        <f aca="false">(SUMIFS('Payment Breakdown Current'!$Z$15:$Z$104,'Payment Breakdown Current'!$AE$15:$AE$104,$A37))-(SUMIFS('Payment Breakdown Prior'!$Z$15:$Z$104,'Payment Breakdown Prior'!$AE$15:$AE$104,$A37))</f>
        <v>0</v>
      </c>
      <c r="AE37" s="0" t="n">
        <f aca="false">(SUMIFS('Payment Breakdown Current'!$AA$15:$AA$104,'Payment Breakdown Current'!$AE$15:$AE$104,$A37))-(SUMIFS('Payment Breakdown Prior'!$AA$15:$AA$104,'Payment Breakdown Prior'!$AE$15:$AE$104,$A37))</f>
        <v>0</v>
      </c>
      <c r="AF37" s="0" t="n">
        <f aca="false">(SUMIFS('Payment Breakdown Current'!$AB$15:$AB$104,'Payment Breakdown Current'!$AE$15:$AE$104,$A37))-(SUMIFS('Payment Breakdown Prior'!$AB$15:$AB$104,'Payment Breakdown Prior'!$AE$15:$AE$104,$A37))</f>
        <v>0</v>
      </c>
      <c r="AG37" s="0" t="n">
        <f aca="false">(SUMIFS('Payment Breakdown Current'!$AC$15:$AC$104,'Payment Breakdown Current'!$AE$15:$AE$104,$A37))-(SUMIFS('Payment Breakdown Prior'!$AC$15:$AC$104,'Payment Breakdown Prior'!$AE$15:$AE$104,$A37))</f>
        <v>0</v>
      </c>
      <c r="AH37" s="0" t="n">
        <f aca="false">(SUMIFS('Payment Breakdown Current'!$AD$15:$AD$104,'Payment Breakdown Current'!$AE$15:$AE$104,$A37))-(SUMIFS('Payment Breakdown Prior'!$AD$15:$AD$104,'Payment Breakdown Prior'!$AE$15:$AE$104,$A37))</f>
        <v>0</v>
      </c>
      <c r="AI37" s="0" t="n">
        <f aca="false">MAX(ABS(W37),ABS(X37),ABS(Y37),ABS(Z37),ABS(AA37),ABS(AB37),ABS(AC37),ABS(AD37),ABS(AE37),ABS(AF37),ABS(AG37),ABS(AH37))</f>
        <v>0</v>
      </c>
      <c r="AJ37" s="0" t="str">
        <f aca="false">IF(AI37&lt;0.005,"",IF(ABS(W37)=AI37,W$1,IF(ABS(X37)=AI37,X$1,IF(ABS(Y37)=AI37,Y$1,IF(ABS(Z37)=AI37,Z$1,IF(ABS(AA37)=AI37,AA$1,IF(ABS(AB37)=AI37,AB$1,IF(ABS(AC37)=AI37,AC$1,IF(ABS(AD37)=AI37,AD$1,IF(ABS(AE37)=AI37,AE$1,IF(ABS(AF37)=AI37,AF$1,IF(ABS(AG37)=AI37,AG$1,IF(ABS(AH37)=AI37,AH$1,"")))))))))))))</f>
        <v/>
      </c>
      <c r="AK37" s="0" t="str">
        <f aca="false">IF(AI37&lt;0.005,"",IF(ABS(W37)=AI37,W37,IF(ABS(X37)=AI37,X37,IF(ABS(Y37)=AI37,Y37,IF(ABS(Z37)=AI37,Z37,IF(ABS(AA37)=AI37,AA37,IF(ABS(AB37)=AI37,AB37,IF(ABS(AC37)=AI37,AC37,IF(ABS(AD37)=AI37,AD37,IF(ABS(AE37)=AI37,AE37,IF(ABS(AF37)=AI37,AF37,IF(ABS(AG37)=AI37,AG37,IF(ABS(AH37)=AI37,AH37,"")))))))))))))</f>
        <v/>
      </c>
      <c r="AL37" s="0" t="str">
        <f aca="false">IF(R37=1,ABS(L37)-ROW()/100000000,"")</f>
        <v/>
      </c>
    </row>
    <row r="38" customFormat="false" ht="15" hidden="false" customHeight="false" outlineLevel="0" collapsed="false">
      <c r="A38" s="0" t="str">
        <f aca="false">IF('NPV Comparison'!D51="","",'NPV Comparison'!D51)</f>
        <v>P56438</v>
      </c>
      <c r="B38" s="13" t="n">
        <f aca="false">IF('NPV Comparison'!E51="","",'NPV Comparison'!E51)</f>
        <v>2390.78</v>
      </c>
      <c r="C38" s="13" t="n">
        <f aca="false">IF('NPV Comparison'!F51="","",'NPV Comparison'!F51)</f>
        <v>3018.36</v>
      </c>
      <c r="D38" s="0" t="str">
        <f aca="false">IF($A38="","",IFERROR(INDEX(Structure!$E$13:$E$312,MATCH($A38,Structure!$P$13:$P$312,0)),""))</f>
        <v>Oakfield Dental Practice</v>
      </c>
      <c r="E38" s="0" t="n">
        <f aca="false">IF($A38="",0,IF(COUNTIF(Structure!$P$13:$P$312,$A38)=0,0,IF(COUNTIFS(Structure!$P$13:$P$312,$A38,Structure!$N$13:$N$312,"&lt;&gt;Zero Hours")=0,1,0)))</f>
        <v>0</v>
      </c>
      <c r="F38" s="0" t="n">
        <f aca="false">IF($A38="",0,1-E38)</f>
        <v>1</v>
      </c>
      <c r="G38" s="0" t="n">
        <f aca="false">IF($A38="",0,IF(COUNTIF('New Starters'!$D$14:$D$73,$A38)&gt;0,1,0))</f>
        <v>0</v>
      </c>
      <c r="H38" s="0" t="n">
        <f aca="false">IF($A38="",0,IF(COUNTIF(Leavers!$D$12:$D$71,$A38)&gt;0,1,0))</f>
        <v>0</v>
      </c>
      <c r="I38" s="0" t="str">
        <f aca="false">IF($A38="","",IFERROR(INDEX('New Starters'!$K$14:$K$73,MATCH($A38,'New Starters'!$D$14:$D$73,0)),IFERROR(INDEX(Leavers!$K$12:$K$71,MATCH($A38,Leavers!$D$12:$D$71,0)),"")))</f>
        <v/>
      </c>
      <c r="J38" s="0" t="n">
        <f aca="false">IF(AND(G38=1,I38&lt;&gt;"",COUNTIF(Leavers!$K$12:$K$71,I38)&gt;0),1,IF(AND(H38=1,I38&lt;&gt;"",COUNTIF('New Starters'!$K$14:$K$73,I38)&gt;0),1,0))</f>
        <v>0</v>
      </c>
      <c r="K38" s="14" t="n">
        <f aca="false">IF(ISNUMBER(SEARCH("Head Office",D38)),'Control Sheet'!$C$6,'Control Sheet'!$C$5)</f>
        <v>0.2</v>
      </c>
      <c r="L38" s="0" t="n">
        <f aca="false">IF(OR($A38="",AND(B38="",C38="")),"",IF(B38="",C38,IF(C38="",-B38,C38-B38)))</f>
        <v>627.58</v>
      </c>
      <c r="M38" s="0" t="n">
        <f aca="false">IFERROR(L38/B38,"")</f>
        <v>0.262500104568383</v>
      </c>
      <c r="N38" s="0" t="n">
        <f aca="false">IF($A38="",0,IF(OR(B38="",C38="",C38=0,IF(ISNUMBER(M38),ABS(M38)&gt;K38,FALSE())),1,0))</f>
        <v>1</v>
      </c>
      <c r="O38" s="0" t="n">
        <f aca="false">IF(OR($A38="",L38=""),0,IF(AND(N38=1,ABS(L38)&gt;='Control Sheet'!$C$7,F38=1),1,0))</f>
        <v>1</v>
      </c>
      <c r="P38" s="0" t="str">
        <f aca="false">IF($A38="","",IF(F38=0,"Zero Hours",IF(J38=1,"Explained: Paired transfer",IF(AND(G38=1,H38=0,J38=0),"Explained: Starter",IF(AND(H38=1,G38=0,J38=0),"Explained: Leaver",IF(O38=1,"Review required","OK"))))))</f>
        <v>Review required</v>
      </c>
      <c r="Q38" s="0" t="n">
        <f aca="false">IF(AND(F38=1,OR(C38="",C38=0),H38=0,J38=0),1,0)</f>
        <v>0</v>
      </c>
      <c r="R38" s="0" t="n">
        <f aca="false">IF(F38=0,0,IF(P38="Review required",1,IF(AND(P38="Explained: Starter",ISNUMBER(C38),C38&gt;=1500),1,0)))</f>
        <v>1</v>
      </c>
      <c r="S38" s="0" t="str">
        <f aca="false">IF(R38=0,"",IF(Q38=1,"High",IF(AND(P38="Explained: Starter",C38&gt;=1500),"High",IF(ABS(L38)&gt;=2000,"High",IF(ABS(L38)&gt;=500,"Medium","Low")))))</f>
        <v>Medium</v>
      </c>
      <c r="T38" s="0" t="n">
        <f aca="false">SUMIFS('Payment Breakdown Prior'!$S$15:$S$104,'Payment Breakdown Prior'!$AE$15:$AE$104,$A38)</f>
        <v>3108.01</v>
      </c>
      <c r="U38" s="0" t="n">
        <f aca="false">SUMIFS('Payment Breakdown Current'!$S$15:$S$104,'Payment Breakdown Current'!$AE$15:$AE$104,$A38)</f>
        <v>3108.01</v>
      </c>
      <c r="V38" s="0" t="n">
        <f aca="false">IFERROR((U38-T38)/T38,"")</f>
        <v>0</v>
      </c>
      <c r="W38" s="0" t="n">
        <f aca="false">(SUMIFS('Payment Breakdown Current'!$S$15:$S$104,'Payment Breakdown Current'!$AE$15:$AE$104,$A38))-(SUMIFS('Payment Breakdown Prior'!$S$15:$S$104,'Payment Breakdown Prior'!$AE$15:$AE$104,$A38))</f>
        <v>0</v>
      </c>
      <c r="X38" s="0" t="n">
        <f aca="false">(SUMIFS('Payment Breakdown Current'!$T$15:$T$104,'Payment Breakdown Current'!$AE$15:$AE$104,$A38))-(SUMIFS('Payment Breakdown Prior'!$T$15:$T$104,'Payment Breakdown Prior'!$AE$15:$AE$104,$A38))</f>
        <v>0</v>
      </c>
      <c r="Y38" s="0" t="n">
        <f aca="false">(SUMIFS('Payment Breakdown Current'!$U$15:$U$104,'Payment Breakdown Current'!$AE$15:$AE$104,$A38))-(SUMIFS('Payment Breakdown Prior'!$U$15:$U$104,'Payment Breakdown Prior'!$AE$15:$AE$104,$A38))</f>
        <v>0</v>
      </c>
      <c r="Z38" s="0" t="n">
        <f aca="false">(SUMIFS('Payment Breakdown Current'!$V$15:$V$104,'Payment Breakdown Current'!$AE$15:$AE$104,$A38))-(SUMIFS('Payment Breakdown Prior'!$V$15:$V$104,'Payment Breakdown Prior'!$AE$15:$AE$104,$A38))</f>
        <v>0</v>
      </c>
      <c r="AA38" s="0" t="n">
        <f aca="false">(SUMIFS('Payment Breakdown Current'!$W$15:$W$104,'Payment Breakdown Current'!$AE$15:$AE$104,$A38))-(SUMIFS('Payment Breakdown Prior'!$W$15:$W$104,'Payment Breakdown Prior'!$AE$15:$AE$104,$A38))</f>
        <v>0</v>
      </c>
      <c r="AB38" s="0" t="n">
        <f aca="false">(SUMIFS('Payment Breakdown Current'!$X$15:$X$104,'Payment Breakdown Current'!$AE$15:$AE$104,$A38))-(SUMIFS('Payment Breakdown Prior'!$X$15:$X$104,'Payment Breakdown Prior'!$AE$15:$AE$104,$A38))</f>
        <v>0</v>
      </c>
      <c r="AC38" s="0" t="n">
        <f aca="false">(SUMIFS('Payment Breakdown Current'!$Y$15:$Y$104,'Payment Breakdown Current'!$AE$15:$AE$104,$A38))-(SUMIFS('Payment Breakdown Prior'!$Y$15:$Y$104,'Payment Breakdown Prior'!$AE$15:$AE$104,$A38))</f>
        <v>0</v>
      </c>
      <c r="AD38" s="0" t="n">
        <f aca="false">(SUMIFS('Payment Breakdown Current'!$Z$15:$Z$104,'Payment Breakdown Current'!$AE$15:$AE$104,$A38))-(SUMIFS('Payment Breakdown Prior'!$Z$15:$Z$104,'Payment Breakdown Prior'!$AE$15:$AE$104,$A38))</f>
        <v>0</v>
      </c>
      <c r="AE38" s="0" t="n">
        <f aca="false">(SUMIFS('Payment Breakdown Current'!$AA$15:$AA$104,'Payment Breakdown Current'!$AE$15:$AE$104,$A38))-(SUMIFS('Payment Breakdown Prior'!$AA$15:$AA$104,'Payment Breakdown Prior'!$AE$15:$AE$104,$A38))</f>
        <v>0</v>
      </c>
      <c r="AF38" s="0" t="n">
        <f aca="false">(SUMIFS('Payment Breakdown Current'!$AB$15:$AB$104,'Payment Breakdown Current'!$AE$15:$AE$104,$A38))-(SUMIFS('Payment Breakdown Prior'!$AB$15:$AB$104,'Payment Breakdown Prior'!$AE$15:$AE$104,$A38))</f>
        <v>0</v>
      </c>
      <c r="AG38" s="0" t="n">
        <f aca="false">(SUMIFS('Payment Breakdown Current'!$AC$15:$AC$104,'Payment Breakdown Current'!$AE$15:$AE$104,$A38))-(SUMIFS('Payment Breakdown Prior'!$AC$15:$AC$104,'Payment Breakdown Prior'!$AE$15:$AE$104,$A38))</f>
        <v>0</v>
      </c>
      <c r="AH38" s="0" t="n">
        <f aca="false">(SUMIFS('Payment Breakdown Current'!$AD$15:$AD$104,'Payment Breakdown Current'!$AE$15:$AE$104,$A38))-(SUMIFS('Payment Breakdown Prior'!$AD$15:$AD$104,'Payment Breakdown Prior'!$AE$15:$AE$104,$A38))</f>
        <v>836.77</v>
      </c>
      <c r="AI38" s="0" t="n">
        <f aca="false">MAX(ABS(W38),ABS(X38),ABS(Y38),ABS(Z38),ABS(AA38),ABS(AB38),ABS(AC38),ABS(AD38),ABS(AE38),ABS(AF38),ABS(AG38),ABS(AH38))</f>
        <v>836.77</v>
      </c>
      <c r="AJ38" s="0" t="str">
        <f aca="false">IF(AI38&lt;0.005,"",IF(ABS(W38)=AI38,W$1,IF(ABS(X38)=AI38,X$1,IF(ABS(Y38)=AI38,Y$1,IF(ABS(Z38)=AI38,Z$1,IF(ABS(AA38)=AI38,AA$1,IF(ABS(AB38)=AI38,AB$1,IF(ABS(AC38)=AI38,AC$1,IF(ABS(AD38)=AI38,AD$1,IF(ABS(AE38)=AI38,AE$1,IF(ABS(AF38)=AI38,AF$1,IF(ABS(AG38)=AI38,AG$1,IF(ABS(AH38)=AI38,AH$1,"")))))))))))))</f>
        <v>Unsocial Hours Premium</v>
      </c>
      <c r="AK38" s="0" t="n">
        <f aca="false">IF(AI38&lt;0.005,"",IF(ABS(W38)=AI38,W38,IF(ABS(X38)=AI38,X38,IF(ABS(Y38)=AI38,Y38,IF(ABS(Z38)=AI38,Z38,IF(ABS(AA38)=AI38,AA38,IF(ABS(AB38)=AI38,AB38,IF(ABS(AC38)=AI38,AC38,IF(ABS(AD38)=AI38,AD38,IF(ABS(AE38)=AI38,AE38,IF(ABS(AF38)=AI38,AF38,IF(ABS(AG38)=AI38,AG38,IF(ABS(AH38)=AI38,AH38,"")))))))))))))</f>
        <v>836.77</v>
      </c>
      <c r="AL38" s="0" t="n">
        <f aca="false">IF(R38=1,ABS(L38)-ROW()/100000000,"")</f>
        <v>627.57999962</v>
      </c>
    </row>
    <row r="39" customFormat="false" ht="15" hidden="false" customHeight="false" outlineLevel="0" collapsed="false">
      <c r="A39" s="0" t="str">
        <f aca="false">IF('NPV Comparison'!D52="","",'NPV Comparison'!D52)</f>
        <v>P94696</v>
      </c>
      <c r="B39" s="13" t="n">
        <f aca="false">IF('NPV Comparison'!E52="","",'NPV Comparison'!E52)</f>
        <v>2408.04</v>
      </c>
      <c r="C39" s="13" t="n">
        <f aca="false">IF('NPV Comparison'!F52="","",'NPV Comparison'!F52)</f>
        <v>3491.66</v>
      </c>
      <c r="D39" s="0" t="str">
        <f aca="false">IF($A39="","",IFERROR(INDEX(Structure!$E$13:$E$312,MATCH($A39,Structure!$P$13:$P$312,0)),""))</f>
        <v>Oakfield Dental Practice</v>
      </c>
      <c r="E39" s="0" t="n">
        <f aca="false">IF($A39="",0,IF(COUNTIF(Structure!$P$13:$P$312,$A39)=0,0,IF(COUNTIFS(Structure!$P$13:$P$312,$A39,Structure!$N$13:$N$312,"&lt;&gt;Zero Hours")=0,1,0)))</f>
        <v>0</v>
      </c>
      <c r="F39" s="0" t="n">
        <f aca="false">IF($A39="",0,1-E39)</f>
        <v>1</v>
      </c>
      <c r="G39" s="0" t="n">
        <f aca="false">IF($A39="",0,IF(COUNTIF('New Starters'!$D$14:$D$73,$A39)&gt;0,1,0))</f>
        <v>0</v>
      </c>
      <c r="H39" s="0" t="n">
        <f aca="false">IF($A39="",0,IF(COUNTIF(Leavers!$D$12:$D$71,$A39)&gt;0,1,0))</f>
        <v>0</v>
      </c>
      <c r="I39" s="0" t="str">
        <f aca="false">IF($A39="","",IFERROR(INDEX('New Starters'!$K$14:$K$73,MATCH($A39,'New Starters'!$D$14:$D$73,0)),IFERROR(INDEX(Leavers!$K$12:$K$71,MATCH($A39,Leavers!$D$12:$D$71,0)),"")))</f>
        <v/>
      </c>
      <c r="J39" s="0" t="n">
        <f aca="false">IF(AND(G39=1,I39&lt;&gt;"",COUNTIF(Leavers!$K$12:$K$71,I39)&gt;0),1,IF(AND(H39=1,I39&lt;&gt;"",COUNTIF('New Starters'!$K$14:$K$73,I39)&gt;0),1,0))</f>
        <v>0</v>
      </c>
      <c r="K39" s="14" t="n">
        <f aca="false">IF(ISNUMBER(SEARCH("Head Office",D39)),'Control Sheet'!$C$6,'Control Sheet'!$C$5)</f>
        <v>0.2</v>
      </c>
      <c r="L39" s="0" t="n">
        <f aca="false">IF(OR($A39="",AND(B39="",C39="")),"",IF(B39="",C39,IF(C39="",-B39,C39-B39)))</f>
        <v>1083.62</v>
      </c>
      <c r="M39" s="0" t="n">
        <f aca="false">IFERROR(L39/B39,"")</f>
        <v>0.450000830550988</v>
      </c>
      <c r="N39" s="0" t="n">
        <f aca="false">IF($A39="",0,IF(OR(B39="",C39="",C39=0,IF(ISNUMBER(M39),ABS(M39)&gt;K39,FALSE())),1,0))</f>
        <v>1</v>
      </c>
      <c r="O39" s="0" t="n">
        <f aca="false">IF(OR($A39="",L39=""),0,IF(AND(N39=1,ABS(L39)&gt;='Control Sheet'!$C$7,F39=1),1,0))</f>
        <v>1</v>
      </c>
      <c r="P39" s="0" t="str">
        <f aca="false">IF($A39="","",IF(F39=0,"Zero Hours",IF(J39=1,"Explained: Paired transfer",IF(AND(G39=1,H39=0,J39=0),"Explained: Starter",IF(AND(H39=1,G39=0,J39=0),"Explained: Leaver",IF(O39=1,"Review required","OK"))))))</f>
        <v>Review required</v>
      </c>
      <c r="Q39" s="0" t="n">
        <f aca="false">IF(AND(F39=1,OR(C39="",C39=0),H39=0,J39=0),1,0)</f>
        <v>0</v>
      </c>
      <c r="R39" s="0" t="n">
        <f aca="false">IF(F39=0,0,IF(P39="Review required",1,IF(AND(P39="Explained: Starter",ISNUMBER(C39),C39&gt;=1500),1,0)))</f>
        <v>1</v>
      </c>
      <c r="S39" s="0" t="str">
        <f aca="false">IF(R39=0,"",IF(Q39=1,"High",IF(AND(P39="Explained: Starter",C39&gt;=1500),"High",IF(ABS(L39)&gt;=2000,"High",IF(ABS(L39)&gt;=500,"Medium","Low")))))</f>
        <v>Medium</v>
      </c>
      <c r="T39" s="0" t="n">
        <f aca="false">SUMIFS('Payment Breakdown Prior'!$S$15:$S$104,'Payment Breakdown Prior'!$AE$15:$AE$104,$A39)</f>
        <v>3130.45</v>
      </c>
      <c r="U39" s="0" t="n">
        <f aca="false">SUMIFS('Payment Breakdown Current'!$S$15:$S$104,'Payment Breakdown Current'!$AE$15:$AE$104,$A39)</f>
        <v>3130.45</v>
      </c>
      <c r="V39" s="0" t="n">
        <f aca="false">IFERROR((U39-T39)/T39,"")</f>
        <v>0</v>
      </c>
      <c r="W39" s="0" t="n">
        <f aca="false">(SUMIFS('Payment Breakdown Current'!$S$15:$S$104,'Payment Breakdown Current'!$AE$15:$AE$104,$A39))-(SUMIFS('Payment Breakdown Prior'!$S$15:$S$104,'Payment Breakdown Prior'!$AE$15:$AE$104,$A39))</f>
        <v>0</v>
      </c>
      <c r="X39" s="0" t="n">
        <f aca="false">(SUMIFS('Payment Breakdown Current'!$T$15:$T$104,'Payment Breakdown Current'!$AE$15:$AE$104,$A39))-(SUMIFS('Payment Breakdown Prior'!$T$15:$T$104,'Payment Breakdown Prior'!$AE$15:$AE$104,$A39))</f>
        <v>0</v>
      </c>
      <c r="Y39" s="0" t="n">
        <f aca="false">(SUMIFS('Payment Breakdown Current'!$U$15:$U$104,'Payment Breakdown Current'!$AE$15:$AE$104,$A39))-(SUMIFS('Payment Breakdown Prior'!$U$15:$U$104,'Payment Breakdown Prior'!$AE$15:$AE$104,$A39))</f>
        <v>0</v>
      </c>
      <c r="Z39" s="0" t="n">
        <f aca="false">(SUMIFS('Payment Breakdown Current'!$V$15:$V$104,'Payment Breakdown Current'!$AE$15:$AE$104,$A39))-(SUMIFS('Payment Breakdown Prior'!$V$15:$V$104,'Payment Breakdown Prior'!$AE$15:$AE$104,$A39))</f>
        <v>0</v>
      </c>
      <c r="AA39" s="0" t="n">
        <f aca="false">(SUMIFS('Payment Breakdown Current'!$W$15:$W$104,'Payment Breakdown Current'!$AE$15:$AE$104,$A39))-(SUMIFS('Payment Breakdown Prior'!$W$15:$W$104,'Payment Breakdown Prior'!$AE$15:$AE$104,$A39))</f>
        <v>0</v>
      </c>
      <c r="AB39" s="0" t="n">
        <f aca="false">(SUMIFS('Payment Breakdown Current'!$X$15:$X$104,'Payment Breakdown Current'!$AE$15:$AE$104,$A39))-(SUMIFS('Payment Breakdown Prior'!$X$15:$X$104,'Payment Breakdown Prior'!$AE$15:$AE$104,$A39))</f>
        <v>0</v>
      </c>
      <c r="AC39" s="0" t="n">
        <f aca="false">(SUMIFS('Payment Breakdown Current'!$Y$15:$Y$104,'Payment Breakdown Current'!$AE$15:$AE$104,$A39))-(SUMIFS('Payment Breakdown Prior'!$Y$15:$Y$104,'Payment Breakdown Prior'!$AE$15:$AE$104,$A39))</f>
        <v>0</v>
      </c>
      <c r="AD39" s="0" t="n">
        <f aca="false">(SUMIFS('Payment Breakdown Current'!$Z$15:$Z$104,'Payment Breakdown Current'!$AE$15:$AE$104,$A39))-(SUMIFS('Payment Breakdown Prior'!$Z$15:$Z$104,'Payment Breakdown Prior'!$AE$15:$AE$104,$A39))</f>
        <v>0</v>
      </c>
      <c r="AE39" s="0" t="n">
        <f aca="false">(SUMIFS('Payment Breakdown Current'!$AA$15:$AA$104,'Payment Breakdown Current'!$AE$15:$AE$104,$A39))-(SUMIFS('Payment Breakdown Prior'!$AA$15:$AA$104,'Payment Breakdown Prior'!$AE$15:$AE$104,$A39))</f>
        <v>0</v>
      </c>
      <c r="AF39" s="0" t="n">
        <f aca="false">(SUMIFS('Payment Breakdown Current'!$AB$15:$AB$104,'Payment Breakdown Current'!$AE$15:$AE$104,$A39))-(SUMIFS('Payment Breakdown Prior'!$AB$15:$AB$104,'Payment Breakdown Prior'!$AE$15:$AE$104,$A39))</f>
        <v>0</v>
      </c>
      <c r="AG39" s="0" t="n">
        <f aca="false">(SUMIFS('Payment Breakdown Current'!$AC$15:$AC$104,'Payment Breakdown Current'!$AE$15:$AE$104,$A39))-(SUMIFS('Payment Breakdown Prior'!$AC$15:$AC$104,'Payment Breakdown Prior'!$AE$15:$AE$104,$A39))</f>
        <v>1444.82</v>
      </c>
      <c r="AH39" s="0" t="n">
        <f aca="false">(SUMIFS('Payment Breakdown Current'!$AD$15:$AD$104,'Payment Breakdown Current'!$AE$15:$AE$104,$A39))-(SUMIFS('Payment Breakdown Prior'!$AD$15:$AD$104,'Payment Breakdown Prior'!$AE$15:$AE$104,$A39))</f>
        <v>0</v>
      </c>
      <c r="AI39" s="0" t="n">
        <f aca="false">MAX(ABS(W39),ABS(X39),ABS(Y39),ABS(Z39),ABS(AA39),ABS(AB39),ABS(AC39),ABS(AD39),ABS(AE39),ABS(AF39),ABS(AG39),ABS(AH39))</f>
        <v>1444.82</v>
      </c>
      <c r="AJ39" s="0" t="str">
        <f aca="false">IF(AI39&lt;0.005,"",IF(ABS(W39)=AI39,W$1,IF(ABS(X39)=AI39,X$1,IF(ABS(Y39)=AI39,Y$1,IF(ABS(Z39)=AI39,Z$1,IF(ABS(AA39)=AI39,AA$1,IF(ABS(AB39)=AI39,AB$1,IF(ABS(AC39)=AI39,AC$1,IF(ABS(AD39)=AI39,AD$1,IF(ABS(AE39)=AI39,AE$1,IF(ABS(AF39)=AI39,AF$1,IF(ABS(AG39)=AI39,AG$1,IF(ABS(AH39)=AI39,AH$1,"")))))))))))))</f>
        <v>On Call Allowance</v>
      </c>
      <c r="AK39" s="0" t="n">
        <f aca="false">IF(AI39&lt;0.005,"",IF(ABS(W39)=AI39,W39,IF(ABS(X39)=AI39,X39,IF(ABS(Y39)=AI39,Y39,IF(ABS(Z39)=AI39,Z39,IF(ABS(AA39)=AI39,AA39,IF(ABS(AB39)=AI39,AB39,IF(ABS(AC39)=AI39,AC39,IF(ABS(AD39)=AI39,AD39,IF(ABS(AE39)=AI39,AE39,IF(ABS(AF39)=AI39,AF39,IF(ABS(AG39)=AI39,AG39,IF(ABS(AH39)=AI39,AH39,"")))))))))))))</f>
        <v>1444.82</v>
      </c>
      <c r="AL39" s="0" t="n">
        <f aca="false">IF(R39=1,ABS(L39)-ROW()/100000000,"")</f>
        <v>1083.61999961</v>
      </c>
    </row>
    <row r="40" customFormat="false" ht="15" hidden="false" customHeight="false" outlineLevel="0" collapsed="false">
      <c r="A40" s="0" t="str">
        <f aca="false">IF('NPV Comparison'!D53="","",'NPV Comparison'!D53)</f>
        <v>P24322</v>
      </c>
      <c r="B40" s="13" t="n">
        <f aca="false">IF('NPV Comparison'!E53="","",'NPV Comparison'!E53)</f>
        <v>2560.71</v>
      </c>
      <c r="C40" s="13" t="n">
        <f aca="false">IF('NPV Comparison'!F53="","",'NPV Comparison'!F53)</f>
        <v>2752.76</v>
      </c>
      <c r="D40" s="0" t="str">
        <f aca="false">IF($A40="","",IFERROR(INDEX(Structure!$E$13:$E$312,MATCH($A40,Structure!$P$13:$P$312,0)),""))</f>
        <v>Riverside Dental Practice</v>
      </c>
      <c r="E40" s="0" t="n">
        <f aca="false">IF($A40="",0,IF(COUNTIF(Structure!$P$13:$P$312,$A40)=0,0,IF(COUNTIFS(Structure!$P$13:$P$312,$A40,Structure!$N$13:$N$312,"&lt;&gt;Zero Hours")=0,1,0)))</f>
        <v>0</v>
      </c>
      <c r="F40" s="0" t="n">
        <f aca="false">IF($A40="",0,1-E40)</f>
        <v>1</v>
      </c>
      <c r="G40" s="0" t="n">
        <f aca="false">IF($A40="",0,IF(COUNTIF('New Starters'!$D$14:$D$73,$A40)&gt;0,1,0))</f>
        <v>0</v>
      </c>
      <c r="H40" s="0" t="n">
        <f aca="false">IF($A40="",0,IF(COUNTIF(Leavers!$D$12:$D$71,$A40)&gt;0,1,0))</f>
        <v>0</v>
      </c>
      <c r="I40" s="0" t="str">
        <f aca="false">IF($A40="","",IFERROR(INDEX('New Starters'!$K$14:$K$73,MATCH($A40,'New Starters'!$D$14:$D$73,0)),IFERROR(INDEX(Leavers!$K$12:$K$71,MATCH($A40,Leavers!$D$12:$D$71,0)),"")))</f>
        <v/>
      </c>
      <c r="J40" s="0" t="n">
        <f aca="false">IF(AND(G40=1,I40&lt;&gt;"",COUNTIF(Leavers!$K$12:$K$71,I40)&gt;0),1,IF(AND(H40=1,I40&lt;&gt;"",COUNTIF('New Starters'!$K$14:$K$73,I40)&gt;0),1,0))</f>
        <v>0</v>
      </c>
      <c r="K40" s="14" t="n">
        <f aca="false">IF(ISNUMBER(SEARCH("Head Office",D40)),'Control Sheet'!$C$6,'Control Sheet'!$C$5)</f>
        <v>0.2</v>
      </c>
      <c r="L40" s="0" t="n">
        <f aca="false">IF(OR($A40="",AND(B40="",C40="")),"",IF(B40="",C40,IF(C40="",-B40,C40-B40)))</f>
        <v>192.05</v>
      </c>
      <c r="M40" s="0" t="n">
        <f aca="false">IFERROR(L40/B40,"")</f>
        <v>0.074998730820749</v>
      </c>
      <c r="N40" s="0" t="n">
        <f aca="false">IF($A40="",0,IF(OR(B40="",C40="",C40=0,IF(ISNUMBER(M40),ABS(M40)&gt;K40,FALSE())),1,0))</f>
        <v>0</v>
      </c>
      <c r="O40" s="0" t="n">
        <f aca="false">IF(OR($A40="",L40=""),0,IF(AND(N40=1,ABS(L40)&gt;='Control Sheet'!$C$7,F40=1),1,0))</f>
        <v>0</v>
      </c>
      <c r="P40" s="0" t="str">
        <f aca="false">IF($A40="","",IF(F40=0,"Zero Hours",IF(J40=1,"Explained: Paired transfer",IF(AND(G40=1,H40=0,J40=0),"Explained: Starter",IF(AND(H40=1,G40=0,J40=0),"Explained: Leaver",IF(O40=1,"Review required","OK"))))))</f>
        <v>OK</v>
      </c>
      <c r="Q40" s="0" t="n">
        <f aca="false">IF(AND(F40=1,OR(C40="",C40=0),H40=0,J40=0),1,0)</f>
        <v>0</v>
      </c>
      <c r="R40" s="0" t="n">
        <f aca="false">IF(F40=0,0,IF(P40="Review required",1,IF(AND(P40="Explained: Starter",ISNUMBER(C40),C40&gt;=1500),1,0)))</f>
        <v>0</v>
      </c>
      <c r="S40" s="0" t="str">
        <f aca="false">IF(R40=0,"",IF(Q40=1,"High",IF(AND(P40="Explained: Starter",C40&gt;=1500),"High",IF(ABS(L40)&gt;=2000,"High",IF(ABS(L40)&gt;=500,"Medium","Low")))))</f>
        <v/>
      </c>
      <c r="T40" s="0" t="n">
        <f aca="false">SUMIFS('Payment Breakdown Prior'!$S$15:$S$104,'Payment Breakdown Prior'!$AE$15:$AE$104,$A40)</f>
        <v>3328.92</v>
      </c>
      <c r="U40" s="0" t="n">
        <f aca="false">SUMIFS('Payment Breakdown Current'!$S$15:$S$104,'Payment Breakdown Current'!$AE$15:$AE$104,$A40)</f>
        <v>3328.92</v>
      </c>
      <c r="V40" s="0" t="n">
        <f aca="false">IFERROR((U40-T40)/T40,"")</f>
        <v>0</v>
      </c>
      <c r="W40" s="0" t="n">
        <f aca="false">(SUMIFS('Payment Breakdown Current'!$S$15:$S$104,'Payment Breakdown Current'!$AE$15:$AE$104,$A40))-(SUMIFS('Payment Breakdown Prior'!$S$15:$S$104,'Payment Breakdown Prior'!$AE$15:$AE$104,$A40))</f>
        <v>0</v>
      </c>
      <c r="X40" s="0" t="n">
        <f aca="false">(SUMIFS('Payment Breakdown Current'!$T$15:$T$104,'Payment Breakdown Current'!$AE$15:$AE$104,$A40))-(SUMIFS('Payment Breakdown Prior'!$T$15:$T$104,'Payment Breakdown Prior'!$AE$15:$AE$104,$A40))</f>
        <v>0</v>
      </c>
      <c r="Y40" s="0" t="n">
        <f aca="false">(SUMIFS('Payment Breakdown Current'!$U$15:$U$104,'Payment Breakdown Current'!$AE$15:$AE$104,$A40))-(SUMIFS('Payment Breakdown Prior'!$U$15:$U$104,'Payment Breakdown Prior'!$AE$15:$AE$104,$A40))</f>
        <v>256.07</v>
      </c>
      <c r="Z40" s="0" t="n">
        <f aca="false">(SUMIFS('Payment Breakdown Current'!$V$15:$V$104,'Payment Breakdown Current'!$AE$15:$AE$104,$A40))-(SUMIFS('Payment Breakdown Prior'!$V$15:$V$104,'Payment Breakdown Prior'!$AE$15:$AE$104,$A40))</f>
        <v>0</v>
      </c>
      <c r="AA40" s="0" t="n">
        <f aca="false">(SUMIFS('Payment Breakdown Current'!$W$15:$W$104,'Payment Breakdown Current'!$AE$15:$AE$104,$A40))-(SUMIFS('Payment Breakdown Prior'!$W$15:$W$104,'Payment Breakdown Prior'!$AE$15:$AE$104,$A40))</f>
        <v>0</v>
      </c>
      <c r="AB40" s="0" t="n">
        <f aca="false">(SUMIFS('Payment Breakdown Current'!$X$15:$X$104,'Payment Breakdown Current'!$AE$15:$AE$104,$A40))-(SUMIFS('Payment Breakdown Prior'!$X$15:$X$104,'Payment Breakdown Prior'!$AE$15:$AE$104,$A40))</f>
        <v>0</v>
      </c>
      <c r="AC40" s="0" t="n">
        <f aca="false">(SUMIFS('Payment Breakdown Current'!$Y$15:$Y$104,'Payment Breakdown Current'!$AE$15:$AE$104,$A40))-(SUMIFS('Payment Breakdown Prior'!$Y$15:$Y$104,'Payment Breakdown Prior'!$AE$15:$AE$104,$A40))</f>
        <v>0</v>
      </c>
      <c r="AD40" s="0" t="n">
        <f aca="false">(SUMIFS('Payment Breakdown Current'!$Z$15:$Z$104,'Payment Breakdown Current'!$AE$15:$AE$104,$A40))-(SUMIFS('Payment Breakdown Prior'!$Z$15:$Z$104,'Payment Breakdown Prior'!$AE$15:$AE$104,$A40))</f>
        <v>0</v>
      </c>
      <c r="AE40" s="0" t="n">
        <f aca="false">(SUMIFS('Payment Breakdown Current'!$AA$15:$AA$104,'Payment Breakdown Current'!$AE$15:$AE$104,$A40))-(SUMIFS('Payment Breakdown Prior'!$AA$15:$AA$104,'Payment Breakdown Prior'!$AE$15:$AE$104,$A40))</f>
        <v>0</v>
      </c>
      <c r="AF40" s="0" t="n">
        <f aca="false">(SUMIFS('Payment Breakdown Current'!$AB$15:$AB$104,'Payment Breakdown Current'!$AE$15:$AE$104,$A40))-(SUMIFS('Payment Breakdown Prior'!$AB$15:$AB$104,'Payment Breakdown Prior'!$AE$15:$AE$104,$A40))</f>
        <v>0</v>
      </c>
      <c r="AG40" s="0" t="n">
        <f aca="false">(SUMIFS('Payment Breakdown Current'!$AC$15:$AC$104,'Payment Breakdown Current'!$AE$15:$AE$104,$A40))-(SUMIFS('Payment Breakdown Prior'!$AC$15:$AC$104,'Payment Breakdown Prior'!$AE$15:$AE$104,$A40))</f>
        <v>0</v>
      </c>
      <c r="AH40" s="0" t="n">
        <f aca="false">(SUMIFS('Payment Breakdown Current'!$AD$15:$AD$104,'Payment Breakdown Current'!$AE$15:$AE$104,$A40))-(SUMIFS('Payment Breakdown Prior'!$AD$15:$AD$104,'Payment Breakdown Prior'!$AE$15:$AE$104,$A40))</f>
        <v>0</v>
      </c>
      <c r="AI40" s="0" t="n">
        <f aca="false">MAX(ABS(W40),ABS(X40),ABS(Y40),ABS(Z40),ABS(AA40),ABS(AB40),ABS(AC40),ABS(AD40),ABS(AE40),ABS(AF40),ABS(AG40),ABS(AH40))</f>
        <v>256.07</v>
      </c>
      <c r="AJ40" s="0" t="str">
        <f aca="false">IF(AI40&lt;0.005,"",IF(ABS(W40)=AI40,W$1,IF(ABS(X40)=AI40,X$1,IF(ABS(Y40)=AI40,Y$1,IF(ABS(Z40)=AI40,Z$1,IF(ABS(AA40)=AI40,AA$1,IF(ABS(AB40)=AI40,AB$1,IF(ABS(AC40)=AI40,AC$1,IF(ABS(AD40)=AI40,AD$1,IF(ABS(AE40)=AI40,AE$1,IF(ABS(AF40)=AI40,AF$1,IF(ABS(AG40)=AI40,AG$1,IF(ABS(AH40)=AI40,AH$1,"")))))))))))))</f>
        <v>Bonus</v>
      </c>
      <c r="AK40" s="0" t="n">
        <f aca="false">IF(AI40&lt;0.005,"",IF(ABS(W40)=AI40,W40,IF(ABS(X40)=AI40,X40,IF(ABS(Y40)=AI40,Y40,IF(ABS(Z40)=AI40,Z40,IF(ABS(AA40)=AI40,AA40,IF(ABS(AB40)=AI40,AB40,IF(ABS(AC40)=AI40,AC40,IF(ABS(AD40)=AI40,AD40,IF(ABS(AE40)=AI40,AE40,IF(ABS(AF40)=AI40,AF40,IF(ABS(AG40)=AI40,AG40,IF(ABS(AH40)=AI40,AH40,"")))))))))))))</f>
        <v>256.07</v>
      </c>
      <c r="AL40" s="0" t="str">
        <f aca="false">IF(R40=1,ABS(L40)-ROW()/100000000,"")</f>
        <v/>
      </c>
    </row>
    <row r="41" customFormat="false" ht="15" hidden="false" customHeight="false" outlineLevel="0" collapsed="false">
      <c r="A41" s="0" t="str">
        <f aca="false">IF('NPV Comparison'!D54="","",'NPV Comparison'!D54)</f>
        <v>P34050</v>
      </c>
      <c r="B41" s="13" t="n">
        <f aca="false">IF('NPV Comparison'!E54="","",'NPV Comparison'!E54)</f>
        <v>1768.22</v>
      </c>
      <c r="C41" s="13" t="n">
        <f aca="false">IF('NPV Comparison'!F54="","",'NPV Comparison'!F54)</f>
        <v>2006.93</v>
      </c>
      <c r="D41" s="0" t="str">
        <f aca="false">IF($A41="","",IFERROR(INDEX(Structure!$E$13:$E$312,MATCH($A41,Structure!$P$13:$P$312,0)),""))</f>
        <v>Kings Road Dental Practice</v>
      </c>
      <c r="E41" s="0" t="n">
        <f aca="false">IF($A41="",0,IF(COUNTIF(Structure!$P$13:$P$312,$A41)=0,0,IF(COUNTIFS(Structure!$P$13:$P$312,$A41,Structure!$N$13:$N$312,"&lt;&gt;Zero Hours")=0,1,0)))</f>
        <v>0</v>
      </c>
      <c r="F41" s="0" t="n">
        <f aca="false">IF($A41="",0,1-E41)</f>
        <v>1</v>
      </c>
      <c r="G41" s="0" t="n">
        <f aca="false">IF($A41="",0,IF(COUNTIF('New Starters'!$D$14:$D$73,$A41)&gt;0,1,0))</f>
        <v>0</v>
      </c>
      <c r="H41" s="0" t="n">
        <f aca="false">IF($A41="",0,IF(COUNTIF(Leavers!$D$12:$D$71,$A41)&gt;0,1,0))</f>
        <v>0</v>
      </c>
      <c r="I41" s="0" t="str">
        <f aca="false">IF($A41="","",IFERROR(INDEX('New Starters'!$K$14:$K$73,MATCH($A41,'New Starters'!$D$14:$D$73,0)),IFERROR(INDEX(Leavers!$K$12:$K$71,MATCH($A41,Leavers!$D$12:$D$71,0)),"")))</f>
        <v/>
      </c>
      <c r="J41" s="0" t="n">
        <f aca="false">IF(AND(G41=1,I41&lt;&gt;"",COUNTIF(Leavers!$K$12:$K$71,I41)&gt;0),1,IF(AND(H41=1,I41&lt;&gt;"",COUNTIF('New Starters'!$K$14:$K$73,I41)&gt;0),1,0))</f>
        <v>0</v>
      </c>
      <c r="K41" s="14" t="n">
        <f aca="false">IF(ISNUMBER(SEARCH("Head Office",D41)),'Control Sheet'!$C$6,'Control Sheet'!$C$5)</f>
        <v>0.2</v>
      </c>
      <c r="L41" s="0" t="n">
        <f aca="false">IF(OR($A41="",AND(B41="",C41="")),"",IF(B41="",C41,IF(C41="",-B41,C41-B41)))</f>
        <v>238.71</v>
      </c>
      <c r="M41" s="0" t="n">
        <f aca="false">IFERROR(L41/B41,"")</f>
        <v>0.135000169662146</v>
      </c>
      <c r="N41" s="0" t="n">
        <f aca="false">IF($A41="",0,IF(OR(B41="",C41="",C41=0,IF(ISNUMBER(M41),ABS(M41)&gt;K41,FALSE())),1,0))</f>
        <v>0</v>
      </c>
      <c r="O41" s="0" t="n">
        <f aca="false">IF(OR($A41="",L41=""),0,IF(AND(N41=1,ABS(L41)&gt;='Control Sheet'!$C$7,F41=1),1,0))</f>
        <v>0</v>
      </c>
      <c r="P41" s="0" t="str">
        <f aca="false">IF($A41="","",IF(F41=0,"Zero Hours",IF(J41=1,"Explained: Paired transfer",IF(AND(G41=1,H41=0,J41=0),"Explained: Starter",IF(AND(H41=1,G41=0,J41=0),"Explained: Leaver",IF(O41=1,"Review required","OK"))))))</f>
        <v>OK</v>
      </c>
      <c r="Q41" s="0" t="n">
        <f aca="false">IF(AND(F41=1,OR(C41="",C41=0),H41=0,J41=0),1,0)</f>
        <v>0</v>
      </c>
      <c r="R41" s="0" t="n">
        <f aca="false">IF(F41=0,0,IF(P41="Review required",1,IF(AND(P41="Explained: Starter",ISNUMBER(C41),C41&gt;=1500),1,0)))</f>
        <v>0</v>
      </c>
      <c r="S41" s="0" t="str">
        <f aca="false">IF(R41=0,"",IF(Q41=1,"High",IF(AND(P41="Explained: Starter",C41&gt;=1500),"High",IF(ABS(L41)&gt;=2000,"High",IF(ABS(L41)&gt;=500,"Medium","Low")))))</f>
        <v/>
      </c>
      <c r="T41" s="0" t="n">
        <f aca="false">SUMIFS('Payment Breakdown Prior'!$S$15:$S$104,'Payment Breakdown Prior'!$AE$15:$AE$104,$A41)</f>
        <v>265.23</v>
      </c>
      <c r="U41" s="0" t="n">
        <f aca="false">SUMIFS('Payment Breakdown Current'!$S$15:$S$104,'Payment Breakdown Current'!$AE$15:$AE$104,$A41)</f>
        <v>583.51</v>
      </c>
      <c r="V41" s="0" t="n">
        <f aca="false">IFERROR((U41-T41)/T41,"")</f>
        <v>1.20001508125024</v>
      </c>
      <c r="W41" s="0" t="n">
        <f aca="false">(SUMIFS('Payment Breakdown Current'!$S$15:$S$104,'Payment Breakdown Current'!$AE$15:$AE$104,$A41))-(SUMIFS('Payment Breakdown Prior'!$S$15:$S$104,'Payment Breakdown Prior'!$AE$15:$AE$104,$A41))</f>
        <v>318.28</v>
      </c>
      <c r="X41" s="0" t="n">
        <f aca="false">(SUMIFS('Payment Breakdown Current'!$T$15:$T$104,'Payment Breakdown Current'!$AE$15:$AE$104,$A41))-(SUMIFS('Payment Breakdown Prior'!$T$15:$T$104,'Payment Breakdown Prior'!$AE$15:$AE$104,$A41))</f>
        <v>0</v>
      </c>
      <c r="Y41" s="0" t="n">
        <f aca="false">(SUMIFS('Payment Breakdown Current'!$U$15:$U$104,'Payment Breakdown Current'!$AE$15:$AE$104,$A41))-(SUMIFS('Payment Breakdown Prior'!$U$15:$U$104,'Payment Breakdown Prior'!$AE$15:$AE$104,$A41))</f>
        <v>0</v>
      </c>
      <c r="Z41" s="0" t="n">
        <f aca="false">(SUMIFS('Payment Breakdown Current'!$V$15:$V$104,'Payment Breakdown Current'!$AE$15:$AE$104,$A41))-(SUMIFS('Payment Breakdown Prior'!$V$15:$V$104,'Payment Breakdown Prior'!$AE$15:$AE$104,$A41))</f>
        <v>0</v>
      </c>
      <c r="AA41" s="0" t="n">
        <f aca="false">(SUMIFS('Payment Breakdown Current'!$W$15:$W$104,'Payment Breakdown Current'!$AE$15:$AE$104,$A41))-(SUMIFS('Payment Breakdown Prior'!$W$15:$W$104,'Payment Breakdown Prior'!$AE$15:$AE$104,$A41))</f>
        <v>0</v>
      </c>
      <c r="AB41" s="0" t="n">
        <f aca="false">(SUMIFS('Payment Breakdown Current'!$X$15:$X$104,'Payment Breakdown Current'!$AE$15:$AE$104,$A41))-(SUMIFS('Payment Breakdown Prior'!$X$15:$X$104,'Payment Breakdown Prior'!$AE$15:$AE$104,$A41))</f>
        <v>0</v>
      </c>
      <c r="AC41" s="0" t="n">
        <f aca="false">(SUMIFS('Payment Breakdown Current'!$Y$15:$Y$104,'Payment Breakdown Current'!$AE$15:$AE$104,$A41))-(SUMIFS('Payment Breakdown Prior'!$Y$15:$Y$104,'Payment Breakdown Prior'!$AE$15:$AE$104,$A41))</f>
        <v>0</v>
      </c>
      <c r="AD41" s="0" t="n">
        <f aca="false">(SUMIFS('Payment Breakdown Current'!$Z$15:$Z$104,'Payment Breakdown Current'!$AE$15:$AE$104,$A41))-(SUMIFS('Payment Breakdown Prior'!$Z$15:$Z$104,'Payment Breakdown Prior'!$AE$15:$AE$104,$A41))</f>
        <v>0</v>
      </c>
      <c r="AE41" s="0" t="n">
        <f aca="false">(SUMIFS('Payment Breakdown Current'!$AA$15:$AA$104,'Payment Breakdown Current'!$AE$15:$AE$104,$A41))-(SUMIFS('Payment Breakdown Prior'!$AA$15:$AA$104,'Payment Breakdown Prior'!$AE$15:$AE$104,$A41))</f>
        <v>0</v>
      </c>
      <c r="AF41" s="0" t="n">
        <f aca="false">(SUMIFS('Payment Breakdown Current'!$AB$15:$AB$104,'Payment Breakdown Current'!$AE$15:$AE$104,$A41))-(SUMIFS('Payment Breakdown Prior'!$AB$15:$AB$104,'Payment Breakdown Prior'!$AE$15:$AE$104,$A41))</f>
        <v>0</v>
      </c>
      <c r="AG41" s="0" t="n">
        <f aca="false">(SUMIFS('Payment Breakdown Current'!$AC$15:$AC$104,'Payment Breakdown Current'!$AE$15:$AE$104,$A41))-(SUMIFS('Payment Breakdown Prior'!$AC$15:$AC$104,'Payment Breakdown Prior'!$AE$15:$AE$104,$A41))</f>
        <v>0</v>
      </c>
      <c r="AH41" s="0" t="n">
        <f aca="false">(SUMIFS('Payment Breakdown Current'!$AD$15:$AD$104,'Payment Breakdown Current'!$AE$15:$AE$104,$A41))-(SUMIFS('Payment Breakdown Prior'!$AD$15:$AD$104,'Payment Breakdown Prior'!$AE$15:$AE$104,$A41))</f>
        <v>0</v>
      </c>
      <c r="AI41" s="0" t="n">
        <f aca="false">MAX(ABS(W41),ABS(X41),ABS(Y41),ABS(Z41),ABS(AA41),ABS(AB41),ABS(AC41),ABS(AD41),ABS(AE41),ABS(AF41),ABS(AG41),ABS(AH41))</f>
        <v>318.28</v>
      </c>
      <c r="AJ41" s="0" t="str">
        <f aca="false">IF(AI41&lt;0.005,"",IF(ABS(W41)=AI41,W$1,IF(ABS(X41)=AI41,X$1,IF(ABS(Y41)=AI41,Y$1,IF(ABS(Z41)=AI41,Z$1,IF(ABS(AA41)=AI41,AA$1,IF(ABS(AB41)=AI41,AB$1,IF(ABS(AC41)=AI41,AC$1,IF(ABS(AD41)=AI41,AD$1,IF(ABS(AE41)=AI41,AE$1,IF(ABS(AF41)=AI41,AF$1,IF(ABS(AG41)=AI41,AG$1,IF(ABS(AH41)=AI41,AH$1,"")))))))))))))</f>
        <v>Basic Salary</v>
      </c>
      <c r="AK41" s="0" t="n">
        <f aca="false">IF(AI41&lt;0.005,"",IF(ABS(W41)=AI41,W41,IF(ABS(X41)=AI41,X41,IF(ABS(Y41)=AI41,Y41,IF(ABS(Z41)=AI41,Z41,IF(ABS(AA41)=AI41,AA41,IF(ABS(AB41)=AI41,AB41,IF(ABS(AC41)=AI41,AC41,IF(ABS(AD41)=AI41,AD41,IF(ABS(AE41)=AI41,AE41,IF(ABS(AF41)=AI41,AF41,IF(ABS(AG41)=AI41,AG41,IF(ABS(AH41)=AI41,AH41,"")))))))))))))</f>
        <v>318.28</v>
      </c>
      <c r="AL41" s="0" t="str">
        <f aca="false">IF(R41=1,ABS(L41)-ROW()/100000000,"")</f>
        <v/>
      </c>
    </row>
    <row r="42" customFormat="false" ht="15" hidden="false" customHeight="false" outlineLevel="0" collapsed="false">
      <c r="A42" s="0" t="str">
        <f aca="false">IF('NPV Comparison'!D55="","",'NPV Comparison'!D55)</f>
        <v>P16630</v>
      </c>
      <c r="B42" s="0" t="str">
        <f aca="false">IF('NPV Comparison'!E55="","",'NPV Comparison'!E55)</f>
        <v/>
      </c>
      <c r="C42" s="13" t="n">
        <f aca="false">IF('NPV Comparison'!F55="","",'NPV Comparison'!F55)</f>
        <v>1806.4</v>
      </c>
      <c r="D42" s="0" t="str">
        <f aca="false">IF($A42="","",IFERROR(INDEX(Structure!$E$13:$E$312,MATCH($A42,Structure!$P$13:$P$312,0)),""))</f>
        <v>Hakim Group Head Office</v>
      </c>
      <c r="E42" s="0" t="n">
        <f aca="false">IF($A42="",0,IF(COUNTIF(Structure!$P$13:$P$312,$A42)=0,0,IF(COUNTIFS(Structure!$P$13:$P$312,$A42,Structure!$N$13:$N$312,"&lt;&gt;Zero Hours")=0,1,0)))</f>
        <v>0</v>
      </c>
      <c r="F42" s="0" t="n">
        <f aca="false">IF($A42="",0,1-E42)</f>
        <v>1</v>
      </c>
      <c r="G42" s="0" t="n">
        <f aca="false">IF($A42="",0,IF(COUNTIF('New Starters'!$D$14:$D$73,$A42)&gt;0,1,0))</f>
        <v>1</v>
      </c>
      <c r="H42" s="0" t="n">
        <f aca="false">IF($A42="",0,IF(COUNTIF(Leavers!$D$12:$D$71,$A42)&gt;0,1,0))</f>
        <v>0</v>
      </c>
      <c r="I42" s="0" t="str">
        <f aca="false">IF($A42="","",IFERROR(INDEX('New Starters'!$K$14:$K$73,MATCH($A42,'New Starters'!$D$14:$D$73,0)),IFERROR(INDEX(Leavers!$K$12:$K$71,MATCH($A42,Leavers!$D$12:$D$71,0)),"")))</f>
        <v>PR16630</v>
      </c>
      <c r="J42" s="0" t="n">
        <f aca="false">IF(AND(G42=1,I42&lt;&gt;"",COUNTIF(Leavers!$K$12:$K$71,I42)&gt;0),1,IF(AND(H42=1,I42&lt;&gt;"",COUNTIF('New Starters'!$K$14:$K$73,I42)&gt;0),1,0))</f>
        <v>0</v>
      </c>
      <c r="K42" s="14" t="n">
        <f aca="false">IF(ISNUMBER(SEARCH("Head Office",D42)),'Control Sheet'!$C$6,'Control Sheet'!$C$5)</f>
        <v>0.05</v>
      </c>
      <c r="L42" s="13" t="n">
        <f aca="false">IF(OR($A42="",AND(B42="",C42="")),"",IF(B42="",C42,IF(C42="",-B42,C42-B42)))</f>
        <v>1806.4</v>
      </c>
      <c r="M42" s="0" t="str">
        <f aca="false">IFERROR(L42/B42,"")</f>
        <v/>
      </c>
      <c r="N42" s="0" t="n">
        <f aca="false">IF($A42="",0,IF(OR(B42="",C42="",C42=0,IF(ISNUMBER(M42),ABS(M42)&gt;K42,FALSE())),1,0))</f>
        <v>1</v>
      </c>
      <c r="O42" s="0" t="n">
        <f aca="false">IF(OR($A42="",L42=""),0,IF(AND(N42=1,ABS(L42)&gt;='Control Sheet'!$C$7,F42=1),1,0))</f>
        <v>1</v>
      </c>
      <c r="P42" s="0" t="str">
        <f aca="false">IF($A42="","",IF(F42=0,"Zero Hours",IF(J42=1,"Explained: Paired transfer",IF(AND(G42=1,H42=0,J42=0),"Explained: Starter",IF(AND(H42=1,G42=0,J42=0),"Explained: Leaver",IF(O42=1,"Review required","OK"))))))</f>
        <v>Explained: Starter</v>
      </c>
      <c r="Q42" s="0" t="n">
        <f aca="false">IF(AND(F42=1,OR(C42="",C42=0),H42=0,J42=0),1,0)</f>
        <v>0</v>
      </c>
      <c r="R42" s="0" t="n">
        <f aca="false">IF(F42=0,0,IF(P42="Review required",1,IF(AND(P42="Explained: Starter",ISNUMBER(C42),C42&gt;=1500),1,0)))</f>
        <v>1</v>
      </c>
      <c r="S42" s="0" t="str">
        <f aca="false">IF(R42=0,"",IF(Q42=1,"High",IF(AND(P42="Explained: Starter",C42&gt;=1500),"High",IF(ABS(L42)&gt;=2000,"High",IF(ABS(L42)&gt;=500,"Medium","Low")))))</f>
        <v>High</v>
      </c>
      <c r="T42" s="0" t="n">
        <f aca="false">SUMIFS('Payment Breakdown Prior'!$S$15:$S$104,'Payment Breakdown Prior'!$AE$15:$AE$104,$A42)</f>
        <v>0</v>
      </c>
      <c r="U42" s="0" t="n">
        <f aca="false">SUMIFS('Payment Breakdown Current'!$S$15:$S$104,'Payment Breakdown Current'!$AE$15:$AE$104,$A42)</f>
        <v>2348.32</v>
      </c>
      <c r="V42" s="0" t="str">
        <f aca="false">IFERROR((U42-T42)/T42,"")</f>
        <v/>
      </c>
      <c r="W42" s="0" t="n">
        <f aca="false">(SUMIFS('Payment Breakdown Current'!$S$15:$S$104,'Payment Breakdown Current'!$AE$15:$AE$104,$A42))-(SUMIFS('Payment Breakdown Prior'!$S$15:$S$104,'Payment Breakdown Prior'!$AE$15:$AE$104,$A42))</f>
        <v>2348.32</v>
      </c>
      <c r="X42" s="0" t="n">
        <f aca="false">(SUMIFS('Payment Breakdown Current'!$T$15:$T$104,'Payment Breakdown Current'!$AE$15:$AE$104,$A42))-(SUMIFS('Payment Breakdown Prior'!$T$15:$T$104,'Payment Breakdown Prior'!$AE$15:$AE$104,$A42))</f>
        <v>0</v>
      </c>
      <c r="Y42" s="0" t="n">
        <f aca="false">(SUMIFS('Payment Breakdown Current'!$U$15:$U$104,'Payment Breakdown Current'!$AE$15:$AE$104,$A42))-(SUMIFS('Payment Breakdown Prior'!$U$15:$U$104,'Payment Breakdown Prior'!$AE$15:$AE$104,$A42))</f>
        <v>0</v>
      </c>
      <c r="Z42" s="0" t="n">
        <f aca="false">(SUMIFS('Payment Breakdown Current'!$V$15:$V$104,'Payment Breakdown Current'!$AE$15:$AE$104,$A42))-(SUMIFS('Payment Breakdown Prior'!$V$15:$V$104,'Payment Breakdown Prior'!$AE$15:$AE$104,$A42))</f>
        <v>0</v>
      </c>
      <c r="AA42" s="0" t="n">
        <f aca="false">(SUMIFS('Payment Breakdown Current'!$W$15:$W$104,'Payment Breakdown Current'!$AE$15:$AE$104,$A42))-(SUMIFS('Payment Breakdown Prior'!$W$15:$W$104,'Payment Breakdown Prior'!$AE$15:$AE$104,$A42))</f>
        <v>0</v>
      </c>
      <c r="AB42" s="0" t="n">
        <f aca="false">(SUMIFS('Payment Breakdown Current'!$X$15:$X$104,'Payment Breakdown Current'!$AE$15:$AE$104,$A42))-(SUMIFS('Payment Breakdown Prior'!$X$15:$X$104,'Payment Breakdown Prior'!$AE$15:$AE$104,$A42))</f>
        <v>0</v>
      </c>
      <c r="AC42" s="0" t="n">
        <f aca="false">(SUMIFS('Payment Breakdown Current'!$Y$15:$Y$104,'Payment Breakdown Current'!$AE$15:$AE$104,$A42))-(SUMIFS('Payment Breakdown Prior'!$Y$15:$Y$104,'Payment Breakdown Prior'!$AE$15:$AE$104,$A42))</f>
        <v>0</v>
      </c>
      <c r="AD42" s="0" t="n">
        <f aca="false">(SUMIFS('Payment Breakdown Current'!$Z$15:$Z$104,'Payment Breakdown Current'!$AE$15:$AE$104,$A42))-(SUMIFS('Payment Breakdown Prior'!$Z$15:$Z$104,'Payment Breakdown Prior'!$AE$15:$AE$104,$A42))</f>
        <v>0</v>
      </c>
      <c r="AE42" s="0" t="n">
        <f aca="false">(SUMIFS('Payment Breakdown Current'!$AA$15:$AA$104,'Payment Breakdown Current'!$AE$15:$AE$104,$A42))-(SUMIFS('Payment Breakdown Prior'!$AA$15:$AA$104,'Payment Breakdown Prior'!$AE$15:$AE$104,$A42))</f>
        <v>0</v>
      </c>
      <c r="AF42" s="0" t="n">
        <f aca="false">(SUMIFS('Payment Breakdown Current'!$AB$15:$AB$104,'Payment Breakdown Current'!$AE$15:$AE$104,$A42))-(SUMIFS('Payment Breakdown Prior'!$AB$15:$AB$104,'Payment Breakdown Prior'!$AE$15:$AE$104,$A42))</f>
        <v>0</v>
      </c>
      <c r="AG42" s="0" t="n">
        <f aca="false">(SUMIFS('Payment Breakdown Current'!$AC$15:$AC$104,'Payment Breakdown Current'!$AE$15:$AE$104,$A42))-(SUMIFS('Payment Breakdown Prior'!$AC$15:$AC$104,'Payment Breakdown Prior'!$AE$15:$AE$104,$A42))</f>
        <v>0</v>
      </c>
      <c r="AH42" s="0" t="n">
        <f aca="false">(SUMIFS('Payment Breakdown Current'!$AD$15:$AD$104,'Payment Breakdown Current'!$AE$15:$AE$104,$A42))-(SUMIFS('Payment Breakdown Prior'!$AD$15:$AD$104,'Payment Breakdown Prior'!$AE$15:$AE$104,$A42))</f>
        <v>0</v>
      </c>
      <c r="AI42" s="0" t="n">
        <f aca="false">MAX(ABS(W42),ABS(X42),ABS(Y42),ABS(Z42),ABS(AA42),ABS(AB42),ABS(AC42),ABS(AD42),ABS(AE42),ABS(AF42),ABS(AG42),ABS(AH42))</f>
        <v>2348.32</v>
      </c>
      <c r="AJ42" s="0" t="str">
        <f aca="false">IF(AI42&lt;0.005,"",IF(ABS(W42)=AI42,W$1,IF(ABS(X42)=AI42,X$1,IF(ABS(Y42)=AI42,Y$1,IF(ABS(Z42)=AI42,Z$1,IF(ABS(AA42)=AI42,AA$1,IF(ABS(AB42)=AI42,AB$1,IF(ABS(AC42)=AI42,AC$1,IF(ABS(AD42)=AI42,AD$1,IF(ABS(AE42)=AI42,AE$1,IF(ABS(AF42)=AI42,AF$1,IF(ABS(AG42)=AI42,AG$1,IF(ABS(AH42)=AI42,AH$1,"")))))))))))))</f>
        <v>Basic Salary</v>
      </c>
      <c r="AK42" s="0" t="n">
        <f aca="false">IF(AI42&lt;0.005,"",IF(ABS(W42)=AI42,W42,IF(ABS(X42)=AI42,X42,IF(ABS(Y42)=AI42,Y42,IF(ABS(Z42)=AI42,Z42,IF(ABS(AA42)=AI42,AA42,IF(ABS(AB42)=AI42,AB42,IF(ABS(AC42)=AI42,AC42,IF(ABS(AD42)=AI42,AD42,IF(ABS(AE42)=AI42,AE42,IF(ABS(AF42)=AI42,AF42,IF(ABS(AG42)=AI42,AG42,IF(ABS(AH42)=AI42,AH42,"")))))))))))))</f>
        <v>2348.32</v>
      </c>
      <c r="AL42" s="0" t="n">
        <f aca="false">IF(R42=1,ABS(L42)-ROW()/100000000,"")</f>
        <v>1806.39999958</v>
      </c>
    </row>
    <row r="43" customFormat="false" ht="15" hidden="false" customHeight="false" outlineLevel="0" collapsed="false">
      <c r="A43" s="0" t="str">
        <f aca="false">IF('NPV Comparison'!D56="","",'NPV Comparison'!D56)</f>
        <v>P22224</v>
      </c>
      <c r="B43" s="0" t="str">
        <f aca="false">IF('NPV Comparison'!E56="","",'NPV Comparison'!E56)</f>
        <v/>
      </c>
      <c r="C43" s="13" t="n">
        <f aca="false">IF('NPV Comparison'!F56="","",'NPV Comparison'!F56)</f>
        <v>1774.79</v>
      </c>
      <c r="D43" s="0" t="str">
        <f aca="false">IF($A43="","",IFERROR(INDEX(Structure!$E$13:$E$312,MATCH($A43,Structure!$P$13:$P$312,0)),""))</f>
        <v>Hakim Group Head Office</v>
      </c>
      <c r="E43" s="0" t="n">
        <f aca="false">IF($A43="",0,IF(COUNTIF(Structure!$P$13:$P$312,$A43)=0,0,IF(COUNTIFS(Structure!$P$13:$P$312,$A43,Structure!$N$13:$N$312,"&lt;&gt;Zero Hours")=0,1,0)))</f>
        <v>0</v>
      </c>
      <c r="F43" s="0" t="n">
        <f aca="false">IF($A43="",0,1-E43)</f>
        <v>1</v>
      </c>
      <c r="G43" s="0" t="n">
        <f aca="false">IF($A43="",0,IF(COUNTIF('New Starters'!$D$14:$D$73,$A43)&gt;0,1,0))</f>
        <v>1</v>
      </c>
      <c r="H43" s="0" t="n">
        <f aca="false">IF($A43="",0,IF(COUNTIF(Leavers!$D$12:$D$71,$A43)&gt;0,1,0))</f>
        <v>0</v>
      </c>
      <c r="I43" s="0" t="str">
        <f aca="false">IF($A43="","",IFERROR(INDEX('New Starters'!$K$14:$K$73,MATCH($A43,'New Starters'!$D$14:$D$73,0)),IFERROR(INDEX(Leavers!$K$12:$K$71,MATCH($A43,Leavers!$D$12:$D$71,0)),"")))</f>
        <v>PR22224</v>
      </c>
      <c r="J43" s="0" t="n">
        <f aca="false">IF(AND(G43=1,I43&lt;&gt;"",COUNTIF(Leavers!$K$12:$K$71,I43)&gt;0),1,IF(AND(H43=1,I43&lt;&gt;"",COUNTIF('New Starters'!$K$14:$K$73,I43)&gt;0),1,0))</f>
        <v>0</v>
      </c>
      <c r="K43" s="14" t="n">
        <f aca="false">IF(ISNUMBER(SEARCH("Head Office",D43)),'Control Sheet'!$C$6,'Control Sheet'!$C$5)</f>
        <v>0.05</v>
      </c>
      <c r="L43" s="13" t="n">
        <f aca="false">IF(OR($A43="",AND(B43="",C43="")),"",IF(B43="",C43,IF(C43="",-B43,C43-B43)))</f>
        <v>1774.79</v>
      </c>
      <c r="M43" s="0" t="str">
        <f aca="false">IFERROR(L43/B43,"")</f>
        <v/>
      </c>
      <c r="N43" s="0" t="n">
        <f aca="false">IF($A43="",0,IF(OR(B43="",C43="",C43=0,IF(ISNUMBER(M43),ABS(M43)&gt;K43,FALSE())),1,0))</f>
        <v>1</v>
      </c>
      <c r="O43" s="0" t="n">
        <f aca="false">IF(OR($A43="",L43=""),0,IF(AND(N43=1,ABS(L43)&gt;='Control Sheet'!$C$7,F43=1),1,0))</f>
        <v>1</v>
      </c>
      <c r="P43" s="0" t="str">
        <f aca="false">IF($A43="","",IF(F43=0,"Zero Hours",IF(J43=1,"Explained: Paired transfer",IF(AND(G43=1,H43=0,J43=0),"Explained: Starter",IF(AND(H43=1,G43=0,J43=0),"Explained: Leaver",IF(O43=1,"Review required","OK"))))))</f>
        <v>Explained: Starter</v>
      </c>
      <c r="Q43" s="0" t="n">
        <f aca="false">IF(AND(F43=1,OR(C43="",C43=0),H43=0,J43=0),1,0)</f>
        <v>0</v>
      </c>
      <c r="R43" s="0" t="n">
        <f aca="false">IF(F43=0,0,IF(P43="Review required",1,IF(AND(P43="Explained: Starter",ISNUMBER(C43),C43&gt;=1500),1,0)))</f>
        <v>1</v>
      </c>
      <c r="S43" s="0" t="str">
        <f aca="false">IF(R43=0,"",IF(Q43=1,"High",IF(AND(P43="Explained: Starter",C43&gt;=1500),"High",IF(ABS(L43)&gt;=2000,"High",IF(ABS(L43)&gt;=500,"Medium","Low")))))</f>
        <v>High</v>
      </c>
      <c r="T43" s="0" t="n">
        <f aca="false">SUMIFS('Payment Breakdown Prior'!$S$15:$S$104,'Payment Breakdown Prior'!$AE$15:$AE$104,$A43)</f>
        <v>0</v>
      </c>
      <c r="U43" s="0" t="n">
        <f aca="false">SUMIFS('Payment Breakdown Current'!$S$15:$S$104,'Payment Breakdown Current'!$AE$15:$AE$104,$A43)</f>
        <v>2307.22</v>
      </c>
      <c r="V43" s="0" t="str">
        <f aca="false">IFERROR((U43-T43)/T43,"")</f>
        <v/>
      </c>
      <c r="W43" s="0" t="n">
        <f aca="false">(SUMIFS('Payment Breakdown Current'!$S$15:$S$104,'Payment Breakdown Current'!$AE$15:$AE$104,$A43))-(SUMIFS('Payment Breakdown Prior'!$S$15:$S$104,'Payment Breakdown Prior'!$AE$15:$AE$104,$A43))</f>
        <v>2307.22</v>
      </c>
      <c r="X43" s="0" t="n">
        <f aca="false">(SUMIFS('Payment Breakdown Current'!$T$15:$T$104,'Payment Breakdown Current'!$AE$15:$AE$104,$A43))-(SUMIFS('Payment Breakdown Prior'!$T$15:$T$104,'Payment Breakdown Prior'!$AE$15:$AE$104,$A43))</f>
        <v>0</v>
      </c>
      <c r="Y43" s="0" t="n">
        <f aca="false">(SUMIFS('Payment Breakdown Current'!$U$15:$U$104,'Payment Breakdown Current'!$AE$15:$AE$104,$A43))-(SUMIFS('Payment Breakdown Prior'!$U$15:$U$104,'Payment Breakdown Prior'!$AE$15:$AE$104,$A43))</f>
        <v>0</v>
      </c>
      <c r="Z43" s="0" t="n">
        <f aca="false">(SUMIFS('Payment Breakdown Current'!$V$15:$V$104,'Payment Breakdown Current'!$AE$15:$AE$104,$A43))-(SUMIFS('Payment Breakdown Prior'!$V$15:$V$104,'Payment Breakdown Prior'!$AE$15:$AE$104,$A43))</f>
        <v>0</v>
      </c>
      <c r="AA43" s="0" t="n">
        <f aca="false">(SUMIFS('Payment Breakdown Current'!$W$15:$W$104,'Payment Breakdown Current'!$AE$15:$AE$104,$A43))-(SUMIFS('Payment Breakdown Prior'!$W$15:$W$104,'Payment Breakdown Prior'!$AE$15:$AE$104,$A43))</f>
        <v>0</v>
      </c>
      <c r="AB43" s="0" t="n">
        <f aca="false">(SUMIFS('Payment Breakdown Current'!$X$15:$X$104,'Payment Breakdown Current'!$AE$15:$AE$104,$A43))-(SUMIFS('Payment Breakdown Prior'!$X$15:$X$104,'Payment Breakdown Prior'!$AE$15:$AE$104,$A43))</f>
        <v>0</v>
      </c>
      <c r="AC43" s="0" t="n">
        <f aca="false">(SUMIFS('Payment Breakdown Current'!$Y$15:$Y$104,'Payment Breakdown Current'!$AE$15:$AE$104,$A43))-(SUMIFS('Payment Breakdown Prior'!$Y$15:$Y$104,'Payment Breakdown Prior'!$AE$15:$AE$104,$A43))</f>
        <v>0</v>
      </c>
      <c r="AD43" s="0" t="n">
        <f aca="false">(SUMIFS('Payment Breakdown Current'!$Z$15:$Z$104,'Payment Breakdown Current'!$AE$15:$AE$104,$A43))-(SUMIFS('Payment Breakdown Prior'!$Z$15:$Z$104,'Payment Breakdown Prior'!$AE$15:$AE$104,$A43))</f>
        <v>0</v>
      </c>
      <c r="AE43" s="0" t="n">
        <f aca="false">(SUMIFS('Payment Breakdown Current'!$AA$15:$AA$104,'Payment Breakdown Current'!$AE$15:$AE$104,$A43))-(SUMIFS('Payment Breakdown Prior'!$AA$15:$AA$104,'Payment Breakdown Prior'!$AE$15:$AE$104,$A43))</f>
        <v>0</v>
      </c>
      <c r="AF43" s="0" t="n">
        <f aca="false">(SUMIFS('Payment Breakdown Current'!$AB$15:$AB$104,'Payment Breakdown Current'!$AE$15:$AE$104,$A43))-(SUMIFS('Payment Breakdown Prior'!$AB$15:$AB$104,'Payment Breakdown Prior'!$AE$15:$AE$104,$A43))</f>
        <v>0</v>
      </c>
      <c r="AG43" s="0" t="n">
        <f aca="false">(SUMIFS('Payment Breakdown Current'!$AC$15:$AC$104,'Payment Breakdown Current'!$AE$15:$AE$104,$A43))-(SUMIFS('Payment Breakdown Prior'!$AC$15:$AC$104,'Payment Breakdown Prior'!$AE$15:$AE$104,$A43))</f>
        <v>0</v>
      </c>
      <c r="AH43" s="0" t="n">
        <f aca="false">(SUMIFS('Payment Breakdown Current'!$AD$15:$AD$104,'Payment Breakdown Current'!$AE$15:$AE$104,$A43))-(SUMIFS('Payment Breakdown Prior'!$AD$15:$AD$104,'Payment Breakdown Prior'!$AE$15:$AE$104,$A43))</f>
        <v>0</v>
      </c>
      <c r="AI43" s="0" t="n">
        <f aca="false">MAX(ABS(W43),ABS(X43),ABS(Y43),ABS(Z43),ABS(AA43),ABS(AB43),ABS(AC43),ABS(AD43),ABS(AE43),ABS(AF43),ABS(AG43),ABS(AH43))</f>
        <v>2307.22</v>
      </c>
      <c r="AJ43" s="0" t="str">
        <f aca="false">IF(AI43&lt;0.005,"",IF(ABS(W43)=AI43,W$1,IF(ABS(X43)=AI43,X$1,IF(ABS(Y43)=AI43,Y$1,IF(ABS(Z43)=AI43,Z$1,IF(ABS(AA43)=AI43,AA$1,IF(ABS(AB43)=AI43,AB$1,IF(ABS(AC43)=AI43,AC$1,IF(ABS(AD43)=AI43,AD$1,IF(ABS(AE43)=AI43,AE$1,IF(ABS(AF43)=AI43,AF$1,IF(ABS(AG43)=AI43,AG$1,IF(ABS(AH43)=AI43,AH$1,"")))))))))))))</f>
        <v>Basic Salary</v>
      </c>
      <c r="AK43" s="0" t="n">
        <f aca="false">IF(AI43&lt;0.005,"",IF(ABS(W43)=AI43,W43,IF(ABS(X43)=AI43,X43,IF(ABS(Y43)=AI43,Y43,IF(ABS(Z43)=AI43,Z43,IF(ABS(AA43)=AI43,AA43,IF(ABS(AB43)=AI43,AB43,IF(ABS(AC43)=AI43,AC43,IF(ABS(AD43)=AI43,AD43,IF(ABS(AE43)=AI43,AE43,IF(ABS(AF43)=AI43,AF43,IF(ABS(AG43)=AI43,AG43,IF(ABS(AH43)=AI43,AH43,"")))))))))))))</f>
        <v>2307.22</v>
      </c>
      <c r="AL43" s="0" t="n">
        <f aca="false">IF(R43=1,ABS(L43)-ROW()/100000000,"")</f>
        <v>1774.78999957</v>
      </c>
    </row>
    <row r="44" customFormat="false" ht="15" hidden="false" customHeight="false" outlineLevel="0" collapsed="false">
      <c r="A44" s="0" t="str">
        <f aca="false">IF('NPV Comparison'!D57="","",'NPV Comparison'!D57)</f>
        <v>P73092</v>
      </c>
      <c r="B44" s="0" t="str">
        <f aca="false">IF('NPV Comparison'!E57="","",'NPV Comparison'!E57)</f>
        <v/>
      </c>
      <c r="C44" s="13" t="n">
        <f aca="false">IF('NPV Comparison'!F57="","",'NPV Comparison'!F57)</f>
        <v>2515.59</v>
      </c>
      <c r="D44" s="0" t="str">
        <f aca="false">IF($A44="","",IFERROR(INDEX(Structure!$E$13:$E$312,MATCH($A44,Structure!$P$13:$P$312,0)),""))</f>
        <v>Kings Road Dental Practice</v>
      </c>
      <c r="E44" s="0" t="n">
        <f aca="false">IF($A44="",0,IF(COUNTIF(Structure!$P$13:$P$312,$A44)=0,0,IF(COUNTIFS(Structure!$P$13:$P$312,$A44,Structure!$N$13:$N$312,"&lt;&gt;Zero Hours")=0,1,0)))</f>
        <v>0</v>
      </c>
      <c r="F44" s="0" t="n">
        <f aca="false">IF($A44="",0,1-E44)</f>
        <v>1</v>
      </c>
      <c r="G44" s="0" t="n">
        <f aca="false">IF($A44="",0,IF(COUNTIF('New Starters'!$D$14:$D$73,$A44)&gt;0,1,0))</f>
        <v>1</v>
      </c>
      <c r="H44" s="0" t="n">
        <f aca="false">IF($A44="",0,IF(COUNTIF(Leavers!$D$12:$D$71,$A44)&gt;0,1,0))</f>
        <v>0</v>
      </c>
      <c r="I44" s="0" t="str">
        <f aca="false">IF($A44="","",IFERROR(INDEX('New Starters'!$K$14:$K$73,MATCH($A44,'New Starters'!$D$14:$D$73,0)),IFERROR(INDEX(Leavers!$K$12:$K$71,MATCH($A44,Leavers!$D$12:$D$71,0)),"")))</f>
        <v>PR73092</v>
      </c>
      <c r="J44" s="0" t="n">
        <f aca="false">IF(AND(G44=1,I44&lt;&gt;"",COUNTIF(Leavers!$K$12:$K$71,I44)&gt;0),1,IF(AND(H44=1,I44&lt;&gt;"",COUNTIF('New Starters'!$K$14:$K$73,I44)&gt;0),1,0))</f>
        <v>0</v>
      </c>
      <c r="K44" s="14" t="n">
        <f aca="false">IF(ISNUMBER(SEARCH("Head Office",D44)),'Control Sheet'!$C$6,'Control Sheet'!$C$5)</f>
        <v>0.2</v>
      </c>
      <c r="L44" s="13" t="n">
        <f aca="false">IF(OR($A44="",AND(B44="",C44="")),"",IF(B44="",C44,IF(C44="",-B44,C44-B44)))</f>
        <v>2515.59</v>
      </c>
      <c r="M44" s="0" t="str">
        <f aca="false">IFERROR(L44/B44,"")</f>
        <v/>
      </c>
      <c r="N44" s="0" t="n">
        <f aca="false">IF($A44="",0,IF(OR(B44="",C44="",C44=0,IF(ISNUMBER(M44),ABS(M44)&gt;K44,FALSE())),1,0))</f>
        <v>1</v>
      </c>
      <c r="O44" s="0" t="n">
        <f aca="false">IF(OR($A44="",L44=""),0,IF(AND(N44=1,ABS(L44)&gt;='Control Sheet'!$C$7,F44=1),1,0))</f>
        <v>1</v>
      </c>
      <c r="P44" s="0" t="str">
        <f aca="false">IF($A44="","",IF(F44=0,"Zero Hours",IF(J44=1,"Explained: Paired transfer",IF(AND(G44=1,H44=0,J44=0),"Explained: Starter",IF(AND(H44=1,G44=0,J44=0),"Explained: Leaver",IF(O44=1,"Review required","OK"))))))</f>
        <v>Explained: Starter</v>
      </c>
      <c r="Q44" s="0" t="n">
        <f aca="false">IF(AND(F44=1,OR(C44="",C44=0),H44=0,J44=0),1,0)</f>
        <v>0</v>
      </c>
      <c r="R44" s="0" t="n">
        <f aca="false">IF(F44=0,0,IF(P44="Review required",1,IF(AND(P44="Explained: Starter",ISNUMBER(C44),C44&gt;=1500),1,0)))</f>
        <v>1</v>
      </c>
      <c r="S44" s="0" t="str">
        <f aca="false">IF(R44=0,"",IF(Q44=1,"High",IF(AND(P44="Explained: Starter",C44&gt;=1500),"High",IF(ABS(L44)&gt;=2000,"High",IF(ABS(L44)&gt;=500,"Medium","Low")))))</f>
        <v>High</v>
      </c>
      <c r="T44" s="0" t="n">
        <f aca="false">SUMIFS('Payment Breakdown Prior'!$S$15:$S$104,'Payment Breakdown Prior'!$AE$15:$AE$104,$A44)</f>
        <v>0</v>
      </c>
      <c r="U44" s="0" t="n">
        <f aca="false">SUMIFS('Payment Breakdown Current'!$S$15:$S$104,'Payment Breakdown Current'!$AE$15:$AE$104,$A44)</f>
        <v>3270.27</v>
      </c>
      <c r="V44" s="0" t="str">
        <f aca="false">IFERROR((U44-T44)/T44,"")</f>
        <v/>
      </c>
      <c r="W44" s="0" t="n">
        <f aca="false">(SUMIFS('Payment Breakdown Current'!$S$15:$S$104,'Payment Breakdown Current'!$AE$15:$AE$104,$A44))-(SUMIFS('Payment Breakdown Prior'!$S$15:$S$104,'Payment Breakdown Prior'!$AE$15:$AE$104,$A44))</f>
        <v>3270.27</v>
      </c>
      <c r="X44" s="0" t="n">
        <f aca="false">(SUMIFS('Payment Breakdown Current'!$T$15:$T$104,'Payment Breakdown Current'!$AE$15:$AE$104,$A44))-(SUMIFS('Payment Breakdown Prior'!$T$15:$T$104,'Payment Breakdown Prior'!$AE$15:$AE$104,$A44))</f>
        <v>0</v>
      </c>
      <c r="Y44" s="0" t="n">
        <f aca="false">(SUMIFS('Payment Breakdown Current'!$U$15:$U$104,'Payment Breakdown Current'!$AE$15:$AE$104,$A44))-(SUMIFS('Payment Breakdown Prior'!$U$15:$U$104,'Payment Breakdown Prior'!$AE$15:$AE$104,$A44))</f>
        <v>0</v>
      </c>
      <c r="Z44" s="0" t="n">
        <f aca="false">(SUMIFS('Payment Breakdown Current'!$V$15:$V$104,'Payment Breakdown Current'!$AE$15:$AE$104,$A44))-(SUMIFS('Payment Breakdown Prior'!$V$15:$V$104,'Payment Breakdown Prior'!$AE$15:$AE$104,$A44))</f>
        <v>0</v>
      </c>
      <c r="AA44" s="0" t="n">
        <f aca="false">(SUMIFS('Payment Breakdown Current'!$W$15:$W$104,'Payment Breakdown Current'!$AE$15:$AE$104,$A44))-(SUMIFS('Payment Breakdown Prior'!$W$15:$W$104,'Payment Breakdown Prior'!$AE$15:$AE$104,$A44))</f>
        <v>0</v>
      </c>
      <c r="AB44" s="0" t="n">
        <f aca="false">(SUMIFS('Payment Breakdown Current'!$X$15:$X$104,'Payment Breakdown Current'!$AE$15:$AE$104,$A44))-(SUMIFS('Payment Breakdown Prior'!$X$15:$X$104,'Payment Breakdown Prior'!$AE$15:$AE$104,$A44))</f>
        <v>0</v>
      </c>
      <c r="AC44" s="0" t="n">
        <f aca="false">(SUMIFS('Payment Breakdown Current'!$Y$15:$Y$104,'Payment Breakdown Current'!$AE$15:$AE$104,$A44))-(SUMIFS('Payment Breakdown Prior'!$Y$15:$Y$104,'Payment Breakdown Prior'!$AE$15:$AE$104,$A44))</f>
        <v>0</v>
      </c>
      <c r="AD44" s="0" t="n">
        <f aca="false">(SUMIFS('Payment Breakdown Current'!$Z$15:$Z$104,'Payment Breakdown Current'!$AE$15:$AE$104,$A44))-(SUMIFS('Payment Breakdown Prior'!$Z$15:$Z$104,'Payment Breakdown Prior'!$AE$15:$AE$104,$A44))</f>
        <v>0</v>
      </c>
      <c r="AE44" s="0" t="n">
        <f aca="false">(SUMIFS('Payment Breakdown Current'!$AA$15:$AA$104,'Payment Breakdown Current'!$AE$15:$AE$104,$A44))-(SUMIFS('Payment Breakdown Prior'!$AA$15:$AA$104,'Payment Breakdown Prior'!$AE$15:$AE$104,$A44))</f>
        <v>0</v>
      </c>
      <c r="AF44" s="0" t="n">
        <f aca="false">(SUMIFS('Payment Breakdown Current'!$AB$15:$AB$104,'Payment Breakdown Current'!$AE$15:$AE$104,$A44))-(SUMIFS('Payment Breakdown Prior'!$AB$15:$AB$104,'Payment Breakdown Prior'!$AE$15:$AE$104,$A44))</f>
        <v>0</v>
      </c>
      <c r="AG44" s="0" t="n">
        <f aca="false">(SUMIFS('Payment Breakdown Current'!$AC$15:$AC$104,'Payment Breakdown Current'!$AE$15:$AE$104,$A44))-(SUMIFS('Payment Breakdown Prior'!$AC$15:$AC$104,'Payment Breakdown Prior'!$AE$15:$AE$104,$A44))</f>
        <v>0</v>
      </c>
      <c r="AH44" s="0" t="n">
        <f aca="false">(SUMIFS('Payment Breakdown Current'!$AD$15:$AD$104,'Payment Breakdown Current'!$AE$15:$AE$104,$A44))-(SUMIFS('Payment Breakdown Prior'!$AD$15:$AD$104,'Payment Breakdown Prior'!$AE$15:$AE$104,$A44))</f>
        <v>0</v>
      </c>
      <c r="AI44" s="0" t="n">
        <f aca="false">MAX(ABS(W44),ABS(X44),ABS(Y44),ABS(Z44),ABS(AA44),ABS(AB44),ABS(AC44),ABS(AD44),ABS(AE44),ABS(AF44),ABS(AG44),ABS(AH44))</f>
        <v>3270.27</v>
      </c>
      <c r="AJ44" s="0" t="str">
        <f aca="false">IF(AI44&lt;0.005,"",IF(ABS(W44)=AI44,W$1,IF(ABS(X44)=AI44,X$1,IF(ABS(Y44)=AI44,Y$1,IF(ABS(Z44)=AI44,Z$1,IF(ABS(AA44)=AI44,AA$1,IF(ABS(AB44)=AI44,AB$1,IF(ABS(AC44)=AI44,AC$1,IF(ABS(AD44)=AI44,AD$1,IF(ABS(AE44)=AI44,AE$1,IF(ABS(AF44)=AI44,AF$1,IF(ABS(AG44)=AI44,AG$1,IF(ABS(AH44)=AI44,AH$1,"")))))))))))))</f>
        <v>Basic Salary</v>
      </c>
      <c r="AK44" s="0" t="n">
        <f aca="false">IF(AI44&lt;0.005,"",IF(ABS(W44)=AI44,W44,IF(ABS(X44)=AI44,X44,IF(ABS(Y44)=AI44,Y44,IF(ABS(Z44)=AI44,Z44,IF(ABS(AA44)=AI44,AA44,IF(ABS(AB44)=AI44,AB44,IF(ABS(AC44)=AI44,AC44,IF(ABS(AD44)=AI44,AD44,IF(ABS(AE44)=AI44,AE44,IF(ABS(AF44)=AI44,AF44,IF(ABS(AG44)=AI44,AG44,IF(ABS(AH44)=AI44,AH44,"")))))))))))))</f>
        <v>3270.27</v>
      </c>
      <c r="AL44" s="0" t="n">
        <f aca="false">IF(R44=1,ABS(L44)-ROW()/100000000,"")</f>
        <v>2515.58999956</v>
      </c>
    </row>
    <row r="45" customFormat="false" ht="15" hidden="false" customHeight="false" outlineLevel="0" collapsed="false">
      <c r="A45" s="0" t="str">
        <f aca="false">IF('NPV Comparison'!D58="","",'NPV Comparison'!D58)</f>
        <v>P31579</v>
      </c>
      <c r="B45" s="0" t="str">
        <f aca="false">IF('NPV Comparison'!E58="","",'NPV Comparison'!E58)</f>
        <v/>
      </c>
      <c r="C45" s="13" t="n">
        <f aca="false">IF('NPV Comparison'!F58="","",'NPV Comparison'!F58)</f>
        <v>921.57</v>
      </c>
      <c r="D45" s="0" t="str">
        <f aca="false">IF($A45="","",IFERROR(INDEX(Structure!$E$13:$E$312,MATCH($A45,Structure!$P$13:$P$312,0)),""))</f>
        <v>Kings Road Dental Practice</v>
      </c>
      <c r="E45" s="0" t="n">
        <f aca="false">IF($A45="",0,IF(COUNTIF(Structure!$P$13:$P$312,$A45)=0,0,IF(COUNTIFS(Structure!$P$13:$P$312,$A45,Structure!$N$13:$N$312,"&lt;&gt;Zero Hours")=0,1,0)))</f>
        <v>0</v>
      </c>
      <c r="F45" s="0" t="n">
        <f aca="false">IF($A45="",0,1-E45)</f>
        <v>1</v>
      </c>
      <c r="G45" s="0" t="n">
        <f aca="false">IF($A45="",0,IF(COUNTIF('New Starters'!$D$14:$D$73,$A45)&gt;0,1,0))</f>
        <v>1</v>
      </c>
      <c r="H45" s="0" t="n">
        <f aca="false">IF($A45="",0,IF(COUNTIF(Leavers!$D$12:$D$71,$A45)&gt;0,1,0))</f>
        <v>0</v>
      </c>
      <c r="I45" s="0" t="str">
        <f aca="false">IF($A45="","",IFERROR(INDEX('New Starters'!$K$14:$K$73,MATCH($A45,'New Starters'!$D$14:$D$73,0)),IFERROR(INDEX(Leavers!$K$12:$K$71,MATCH($A45,Leavers!$D$12:$D$71,0)),"")))</f>
        <v>PR31579</v>
      </c>
      <c r="J45" s="0" t="n">
        <f aca="false">IF(AND(G45=1,I45&lt;&gt;"",COUNTIF(Leavers!$K$12:$K$71,I45)&gt;0),1,IF(AND(H45=1,I45&lt;&gt;"",COUNTIF('New Starters'!$K$14:$K$73,I45)&gt;0),1,0))</f>
        <v>0</v>
      </c>
      <c r="K45" s="14" t="n">
        <f aca="false">IF(ISNUMBER(SEARCH("Head Office",D45)),'Control Sheet'!$C$6,'Control Sheet'!$C$5)</f>
        <v>0.2</v>
      </c>
      <c r="L45" s="13" t="n">
        <f aca="false">IF(OR($A45="",AND(B45="",C45="")),"",IF(B45="",C45,IF(C45="",-B45,C45-B45)))</f>
        <v>921.57</v>
      </c>
      <c r="M45" s="0" t="str">
        <f aca="false">IFERROR(L45/B45,"")</f>
        <v/>
      </c>
      <c r="N45" s="0" t="n">
        <f aca="false">IF($A45="",0,IF(OR(B45="",C45="",C45=0,IF(ISNUMBER(M45),ABS(M45)&gt;K45,FALSE())),1,0))</f>
        <v>1</v>
      </c>
      <c r="O45" s="0" t="n">
        <f aca="false">IF(OR($A45="",L45=""),0,IF(AND(N45=1,ABS(L45)&gt;='Control Sheet'!$C$7,F45=1),1,0))</f>
        <v>1</v>
      </c>
      <c r="P45" s="0" t="str">
        <f aca="false">IF($A45="","",IF(F45=0,"Zero Hours",IF(J45=1,"Explained: Paired transfer",IF(AND(G45=1,H45=0,J45=0),"Explained: Starter",IF(AND(H45=1,G45=0,J45=0),"Explained: Leaver",IF(O45=1,"Review required","OK"))))))</f>
        <v>Explained: Starter</v>
      </c>
      <c r="Q45" s="0" t="n">
        <f aca="false">IF(AND(F45=1,OR(C45="",C45=0),H45=0,J45=0),1,0)</f>
        <v>0</v>
      </c>
      <c r="R45" s="0" t="n">
        <f aca="false">IF(F45=0,0,IF(P45="Review required",1,IF(AND(P45="Explained: Starter",ISNUMBER(C45),C45&gt;=1500),1,0)))</f>
        <v>0</v>
      </c>
      <c r="S45" s="0" t="str">
        <f aca="false">IF(R45=0,"",IF(Q45=1,"High",IF(AND(P45="Explained: Starter",C45&gt;=1500),"High",IF(ABS(L45)&gt;=2000,"High",IF(ABS(L45)&gt;=500,"Medium","Low")))))</f>
        <v/>
      </c>
      <c r="T45" s="0" t="n">
        <f aca="false">SUMIFS('Payment Breakdown Prior'!$S$15:$S$104,'Payment Breakdown Prior'!$AE$15:$AE$104,$A45)</f>
        <v>0</v>
      </c>
      <c r="U45" s="0" t="n">
        <f aca="false">SUMIFS('Payment Breakdown Current'!$S$15:$S$104,'Payment Breakdown Current'!$AE$15:$AE$104,$A45)</f>
        <v>1198.03</v>
      </c>
      <c r="V45" s="0" t="str">
        <f aca="false">IFERROR((U45-T45)/T45,"")</f>
        <v/>
      </c>
      <c r="W45" s="0" t="n">
        <f aca="false">(SUMIFS('Payment Breakdown Current'!$S$15:$S$104,'Payment Breakdown Current'!$AE$15:$AE$104,$A45))-(SUMIFS('Payment Breakdown Prior'!$S$15:$S$104,'Payment Breakdown Prior'!$AE$15:$AE$104,$A45))</f>
        <v>1198.03</v>
      </c>
      <c r="X45" s="0" t="n">
        <f aca="false">(SUMIFS('Payment Breakdown Current'!$T$15:$T$104,'Payment Breakdown Current'!$AE$15:$AE$104,$A45))-(SUMIFS('Payment Breakdown Prior'!$T$15:$T$104,'Payment Breakdown Prior'!$AE$15:$AE$104,$A45))</f>
        <v>0</v>
      </c>
      <c r="Y45" s="0" t="n">
        <f aca="false">(SUMIFS('Payment Breakdown Current'!$U$15:$U$104,'Payment Breakdown Current'!$AE$15:$AE$104,$A45))-(SUMIFS('Payment Breakdown Prior'!$U$15:$U$104,'Payment Breakdown Prior'!$AE$15:$AE$104,$A45))</f>
        <v>0</v>
      </c>
      <c r="Z45" s="0" t="n">
        <f aca="false">(SUMIFS('Payment Breakdown Current'!$V$15:$V$104,'Payment Breakdown Current'!$AE$15:$AE$104,$A45))-(SUMIFS('Payment Breakdown Prior'!$V$15:$V$104,'Payment Breakdown Prior'!$AE$15:$AE$104,$A45))</f>
        <v>0</v>
      </c>
      <c r="AA45" s="0" t="n">
        <f aca="false">(SUMIFS('Payment Breakdown Current'!$W$15:$W$104,'Payment Breakdown Current'!$AE$15:$AE$104,$A45))-(SUMIFS('Payment Breakdown Prior'!$W$15:$W$104,'Payment Breakdown Prior'!$AE$15:$AE$104,$A45))</f>
        <v>0</v>
      </c>
      <c r="AB45" s="0" t="n">
        <f aca="false">(SUMIFS('Payment Breakdown Current'!$X$15:$X$104,'Payment Breakdown Current'!$AE$15:$AE$104,$A45))-(SUMIFS('Payment Breakdown Prior'!$X$15:$X$104,'Payment Breakdown Prior'!$AE$15:$AE$104,$A45))</f>
        <v>0</v>
      </c>
      <c r="AC45" s="0" t="n">
        <f aca="false">(SUMIFS('Payment Breakdown Current'!$Y$15:$Y$104,'Payment Breakdown Current'!$AE$15:$AE$104,$A45))-(SUMIFS('Payment Breakdown Prior'!$Y$15:$Y$104,'Payment Breakdown Prior'!$AE$15:$AE$104,$A45))</f>
        <v>0</v>
      </c>
      <c r="AD45" s="0" t="n">
        <f aca="false">(SUMIFS('Payment Breakdown Current'!$Z$15:$Z$104,'Payment Breakdown Current'!$AE$15:$AE$104,$A45))-(SUMIFS('Payment Breakdown Prior'!$Z$15:$Z$104,'Payment Breakdown Prior'!$AE$15:$AE$104,$A45))</f>
        <v>0</v>
      </c>
      <c r="AE45" s="0" t="n">
        <f aca="false">(SUMIFS('Payment Breakdown Current'!$AA$15:$AA$104,'Payment Breakdown Current'!$AE$15:$AE$104,$A45))-(SUMIFS('Payment Breakdown Prior'!$AA$15:$AA$104,'Payment Breakdown Prior'!$AE$15:$AE$104,$A45))</f>
        <v>0</v>
      </c>
      <c r="AF45" s="0" t="n">
        <f aca="false">(SUMIFS('Payment Breakdown Current'!$AB$15:$AB$104,'Payment Breakdown Current'!$AE$15:$AE$104,$A45))-(SUMIFS('Payment Breakdown Prior'!$AB$15:$AB$104,'Payment Breakdown Prior'!$AE$15:$AE$104,$A45))</f>
        <v>0</v>
      </c>
      <c r="AG45" s="0" t="n">
        <f aca="false">(SUMIFS('Payment Breakdown Current'!$AC$15:$AC$104,'Payment Breakdown Current'!$AE$15:$AE$104,$A45))-(SUMIFS('Payment Breakdown Prior'!$AC$15:$AC$104,'Payment Breakdown Prior'!$AE$15:$AE$104,$A45))</f>
        <v>0</v>
      </c>
      <c r="AH45" s="0" t="n">
        <f aca="false">(SUMIFS('Payment Breakdown Current'!$AD$15:$AD$104,'Payment Breakdown Current'!$AE$15:$AE$104,$A45))-(SUMIFS('Payment Breakdown Prior'!$AD$15:$AD$104,'Payment Breakdown Prior'!$AE$15:$AE$104,$A45))</f>
        <v>0</v>
      </c>
      <c r="AI45" s="0" t="n">
        <f aca="false">MAX(ABS(W45),ABS(X45),ABS(Y45),ABS(Z45),ABS(AA45),ABS(AB45),ABS(AC45),ABS(AD45),ABS(AE45),ABS(AF45),ABS(AG45),ABS(AH45))</f>
        <v>1198.03</v>
      </c>
      <c r="AJ45" s="0" t="str">
        <f aca="false">IF(AI45&lt;0.005,"",IF(ABS(W45)=AI45,W$1,IF(ABS(X45)=AI45,X$1,IF(ABS(Y45)=AI45,Y$1,IF(ABS(Z45)=AI45,Z$1,IF(ABS(AA45)=AI45,AA$1,IF(ABS(AB45)=AI45,AB$1,IF(ABS(AC45)=AI45,AC$1,IF(ABS(AD45)=AI45,AD$1,IF(ABS(AE45)=AI45,AE$1,IF(ABS(AF45)=AI45,AF$1,IF(ABS(AG45)=AI45,AG$1,IF(ABS(AH45)=AI45,AH$1,"")))))))))))))</f>
        <v>Basic Salary</v>
      </c>
      <c r="AK45" s="0" t="n">
        <f aca="false">IF(AI45&lt;0.005,"",IF(ABS(W45)=AI45,W45,IF(ABS(X45)=AI45,X45,IF(ABS(Y45)=AI45,Y45,IF(ABS(Z45)=AI45,Z45,IF(ABS(AA45)=AI45,AA45,IF(ABS(AB45)=AI45,AB45,IF(ABS(AC45)=AI45,AC45,IF(ABS(AD45)=AI45,AD45,IF(ABS(AE45)=AI45,AE45,IF(ABS(AF45)=AI45,AF45,IF(ABS(AG45)=AI45,AG45,IF(ABS(AH45)=AI45,AH45,"")))))))))))))</f>
        <v>1198.03</v>
      </c>
      <c r="AL45" s="0" t="str">
        <f aca="false">IF(R45=1,ABS(L45)-ROW()/100000000,"")</f>
        <v/>
      </c>
    </row>
    <row r="46" customFormat="false" ht="15" hidden="false" customHeight="false" outlineLevel="0" collapsed="false">
      <c r="A46" s="0" t="str">
        <f aca="false">IF('NPV Comparison'!D59="","",'NPV Comparison'!D59)</f>
        <v>P69638</v>
      </c>
      <c r="B46" s="13" t="n">
        <f aca="false">IF('NPV Comparison'!E59="","",'NPV Comparison'!E59)</f>
        <v>1691.72</v>
      </c>
      <c r="C46" s="0" t="str">
        <f aca="false">IF('NPV Comparison'!F59="","",'NPV Comparison'!F59)</f>
        <v/>
      </c>
      <c r="D46" s="0" t="str">
        <f aca="false">IF($A46="","",IFERROR(INDEX(Structure!$E$13:$E$312,MATCH($A46,Structure!$P$13:$P$312,0)),""))</f>
        <v>Oakfield Dental Practice</v>
      </c>
      <c r="E46" s="0" t="n">
        <f aca="false">IF($A46="",0,IF(COUNTIF(Structure!$P$13:$P$312,$A46)=0,0,IF(COUNTIFS(Structure!$P$13:$P$312,$A46,Structure!$N$13:$N$312,"&lt;&gt;Zero Hours")=0,1,0)))</f>
        <v>0</v>
      </c>
      <c r="F46" s="0" t="n">
        <f aca="false">IF($A46="",0,1-E46)</f>
        <v>1</v>
      </c>
      <c r="G46" s="0" t="n">
        <f aca="false">IF($A46="",0,IF(COUNTIF('New Starters'!$D$14:$D$73,$A46)&gt;0,1,0))</f>
        <v>0</v>
      </c>
      <c r="H46" s="0" t="n">
        <f aca="false">IF($A46="",0,IF(COUNTIF(Leavers!$D$12:$D$71,$A46)&gt;0,1,0))</f>
        <v>1</v>
      </c>
      <c r="I46" s="0" t="str">
        <f aca="false">IF($A46="","",IFERROR(INDEX('New Starters'!$K$14:$K$73,MATCH($A46,'New Starters'!$D$14:$D$73,0)),IFERROR(INDEX(Leavers!$K$12:$K$71,MATCH($A46,Leavers!$D$12:$D$71,0)),"")))</f>
        <v>PR69638</v>
      </c>
      <c r="J46" s="0" t="n">
        <f aca="false">IF(AND(G46=1,I46&lt;&gt;"",COUNTIF(Leavers!$K$12:$K$71,I46)&gt;0),1,IF(AND(H46=1,I46&lt;&gt;"",COUNTIF('New Starters'!$K$14:$K$73,I46)&gt;0),1,0))</f>
        <v>0</v>
      </c>
      <c r="K46" s="14" t="n">
        <f aca="false">IF(ISNUMBER(SEARCH("Head Office",D46)),'Control Sheet'!$C$6,'Control Sheet'!$C$5)</f>
        <v>0.2</v>
      </c>
      <c r="L46" s="0" t="n">
        <f aca="false">IF(OR($A46="",AND(B46="",C46="")),"",IF(B46="",C46,IF(C46="",-B46,C46-B46)))</f>
        <v>-1691.72</v>
      </c>
      <c r="M46" s="0" t="n">
        <f aca="false">IFERROR(L46/B46,"")</f>
        <v>-1</v>
      </c>
      <c r="N46" s="0" t="n">
        <f aca="false">IF($A46="",0,IF(OR(B46="",C46="",C46=0,IF(ISNUMBER(M46),ABS(M46)&gt;K46,FALSE())),1,0))</f>
        <v>1</v>
      </c>
      <c r="O46" s="0" t="n">
        <f aca="false">IF(OR($A46="",L46=""),0,IF(AND(N46=1,ABS(L46)&gt;='Control Sheet'!$C$7,F46=1),1,0))</f>
        <v>1</v>
      </c>
      <c r="P46" s="0" t="str">
        <f aca="false">IF($A46="","",IF(F46=0,"Zero Hours",IF(J46=1,"Explained: Paired transfer",IF(AND(G46=1,H46=0,J46=0),"Explained: Starter",IF(AND(H46=1,G46=0,J46=0),"Explained: Leaver",IF(O46=1,"Review required","OK"))))))</f>
        <v>Explained: Leaver</v>
      </c>
      <c r="Q46" s="0" t="n">
        <f aca="false">IF(AND(F46=1,OR(C46="",C46=0),H46=0,J46=0),1,0)</f>
        <v>0</v>
      </c>
      <c r="R46" s="0" t="n">
        <f aca="false">IF(F46=0,0,IF(P46="Review required",1,IF(AND(P46="Explained: Starter",ISNUMBER(C46),C46&gt;=1500),1,0)))</f>
        <v>0</v>
      </c>
      <c r="S46" s="0" t="str">
        <f aca="false">IF(R46=0,"",IF(Q46=1,"High",IF(AND(P46="Explained: Starter",C46&gt;=1500),"High",IF(ABS(L46)&gt;=2000,"High",IF(ABS(L46)&gt;=500,"Medium","Low")))))</f>
        <v/>
      </c>
      <c r="T46" s="0" t="n">
        <f aca="false">SUMIFS('Payment Breakdown Prior'!$S$15:$S$104,'Payment Breakdown Prior'!$AE$15:$AE$104,$A46)</f>
        <v>2199.24</v>
      </c>
      <c r="U46" s="0" t="n">
        <f aca="false">SUMIFS('Payment Breakdown Current'!$S$15:$S$104,'Payment Breakdown Current'!$AE$15:$AE$104,$A46)</f>
        <v>0</v>
      </c>
      <c r="V46" s="0" t="n">
        <f aca="false">IFERROR((U46-T46)/T46,"")</f>
        <v>-1</v>
      </c>
      <c r="W46" s="0" t="n">
        <f aca="false">(SUMIFS('Payment Breakdown Current'!$S$15:$S$104,'Payment Breakdown Current'!$AE$15:$AE$104,$A46))-(SUMIFS('Payment Breakdown Prior'!$S$15:$S$104,'Payment Breakdown Prior'!$AE$15:$AE$104,$A46))</f>
        <v>-2199.24</v>
      </c>
      <c r="X46" s="0" t="n">
        <f aca="false">(SUMIFS('Payment Breakdown Current'!$T$15:$T$104,'Payment Breakdown Current'!$AE$15:$AE$104,$A46))-(SUMIFS('Payment Breakdown Prior'!$T$15:$T$104,'Payment Breakdown Prior'!$AE$15:$AE$104,$A46))</f>
        <v>0</v>
      </c>
      <c r="Y46" s="0" t="n">
        <f aca="false">(SUMIFS('Payment Breakdown Current'!$U$15:$U$104,'Payment Breakdown Current'!$AE$15:$AE$104,$A46))-(SUMIFS('Payment Breakdown Prior'!$U$15:$U$104,'Payment Breakdown Prior'!$AE$15:$AE$104,$A46))</f>
        <v>0</v>
      </c>
      <c r="Z46" s="0" t="n">
        <f aca="false">(SUMIFS('Payment Breakdown Current'!$V$15:$V$104,'Payment Breakdown Current'!$AE$15:$AE$104,$A46))-(SUMIFS('Payment Breakdown Prior'!$V$15:$V$104,'Payment Breakdown Prior'!$AE$15:$AE$104,$A46))</f>
        <v>0</v>
      </c>
      <c r="AA46" s="0" t="n">
        <f aca="false">(SUMIFS('Payment Breakdown Current'!$W$15:$W$104,'Payment Breakdown Current'!$AE$15:$AE$104,$A46))-(SUMIFS('Payment Breakdown Prior'!$W$15:$W$104,'Payment Breakdown Prior'!$AE$15:$AE$104,$A46))</f>
        <v>0</v>
      </c>
      <c r="AB46" s="0" t="n">
        <f aca="false">(SUMIFS('Payment Breakdown Current'!$X$15:$X$104,'Payment Breakdown Current'!$AE$15:$AE$104,$A46))-(SUMIFS('Payment Breakdown Prior'!$X$15:$X$104,'Payment Breakdown Prior'!$AE$15:$AE$104,$A46))</f>
        <v>0</v>
      </c>
      <c r="AC46" s="0" t="n">
        <f aca="false">(SUMIFS('Payment Breakdown Current'!$Y$15:$Y$104,'Payment Breakdown Current'!$AE$15:$AE$104,$A46))-(SUMIFS('Payment Breakdown Prior'!$Y$15:$Y$104,'Payment Breakdown Prior'!$AE$15:$AE$104,$A46))</f>
        <v>0</v>
      </c>
      <c r="AD46" s="0" t="n">
        <f aca="false">(SUMIFS('Payment Breakdown Current'!$Z$15:$Z$104,'Payment Breakdown Current'!$AE$15:$AE$104,$A46))-(SUMIFS('Payment Breakdown Prior'!$Z$15:$Z$104,'Payment Breakdown Prior'!$AE$15:$AE$104,$A46))</f>
        <v>0</v>
      </c>
      <c r="AE46" s="0" t="n">
        <f aca="false">(SUMIFS('Payment Breakdown Current'!$AA$15:$AA$104,'Payment Breakdown Current'!$AE$15:$AE$104,$A46))-(SUMIFS('Payment Breakdown Prior'!$AA$15:$AA$104,'Payment Breakdown Prior'!$AE$15:$AE$104,$A46))</f>
        <v>0</v>
      </c>
      <c r="AF46" s="0" t="n">
        <f aca="false">(SUMIFS('Payment Breakdown Current'!$AB$15:$AB$104,'Payment Breakdown Current'!$AE$15:$AE$104,$A46))-(SUMIFS('Payment Breakdown Prior'!$AB$15:$AB$104,'Payment Breakdown Prior'!$AE$15:$AE$104,$A46))</f>
        <v>0</v>
      </c>
      <c r="AG46" s="0" t="n">
        <f aca="false">(SUMIFS('Payment Breakdown Current'!$AC$15:$AC$104,'Payment Breakdown Current'!$AE$15:$AE$104,$A46))-(SUMIFS('Payment Breakdown Prior'!$AC$15:$AC$104,'Payment Breakdown Prior'!$AE$15:$AE$104,$A46))</f>
        <v>0</v>
      </c>
      <c r="AH46" s="0" t="n">
        <f aca="false">(SUMIFS('Payment Breakdown Current'!$AD$15:$AD$104,'Payment Breakdown Current'!$AE$15:$AE$104,$A46))-(SUMIFS('Payment Breakdown Prior'!$AD$15:$AD$104,'Payment Breakdown Prior'!$AE$15:$AE$104,$A46))</f>
        <v>0</v>
      </c>
      <c r="AI46" s="0" t="n">
        <f aca="false">MAX(ABS(W46),ABS(X46),ABS(Y46),ABS(Z46),ABS(AA46),ABS(AB46),ABS(AC46),ABS(AD46),ABS(AE46),ABS(AF46),ABS(AG46),ABS(AH46))</f>
        <v>2199.24</v>
      </c>
      <c r="AJ46" s="0" t="str">
        <f aca="false">IF(AI46&lt;0.005,"",IF(ABS(W46)=AI46,W$1,IF(ABS(X46)=AI46,X$1,IF(ABS(Y46)=AI46,Y$1,IF(ABS(Z46)=AI46,Z$1,IF(ABS(AA46)=AI46,AA$1,IF(ABS(AB46)=AI46,AB$1,IF(ABS(AC46)=AI46,AC$1,IF(ABS(AD46)=AI46,AD$1,IF(ABS(AE46)=AI46,AE$1,IF(ABS(AF46)=AI46,AF$1,IF(ABS(AG46)=AI46,AG$1,IF(ABS(AH46)=AI46,AH$1,"")))))))))))))</f>
        <v>Basic Salary</v>
      </c>
      <c r="AK46" s="0" t="n">
        <f aca="false">IF(AI46&lt;0.005,"",IF(ABS(W46)=AI46,W46,IF(ABS(X46)=AI46,X46,IF(ABS(Y46)=AI46,Y46,IF(ABS(Z46)=AI46,Z46,IF(ABS(AA46)=AI46,AA46,IF(ABS(AB46)=AI46,AB46,IF(ABS(AC46)=AI46,AC46,IF(ABS(AD46)=AI46,AD46,IF(ABS(AE46)=AI46,AE46,IF(ABS(AF46)=AI46,AF46,IF(ABS(AG46)=AI46,AG46,IF(ABS(AH46)=AI46,AH46,"")))))))))))))</f>
        <v>-2199.24</v>
      </c>
      <c r="AL46" s="0" t="str">
        <f aca="false">IF(R46=1,ABS(L46)-ROW()/100000000,"")</f>
        <v/>
      </c>
    </row>
    <row r="47" customFormat="false" ht="15" hidden="false" customHeight="false" outlineLevel="0" collapsed="false">
      <c r="A47" s="0" t="str">
        <f aca="false">IF('NPV Comparison'!D60="","",'NPV Comparison'!D60)</f>
        <v>P48890</v>
      </c>
      <c r="B47" s="13" t="n">
        <f aca="false">IF('NPV Comparison'!E60="","",'NPV Comparison'!E60)</f>
        <v>1570.28</v>
      </c>
      <c r="C47" s="0" t="str">
        <f aca="false">IF('NPV Comparison'!F60="","",'NPV Comparison'!F60)</f>
        <v/>
      </c>
      <c r="D47" s="0" t="str">
        <f aca="false">IF($A47="","",IFERROR(INDEX(Structure!$E$13:$E$312,MATCH($A47,Structure!$P$13:$P$312,0)),""))</f>
        <v>Elm Park Dental Practice</v>
      </c>
      <c r="E47" s="0" t="n">
        <f aca="false">IF($A47="",0,IF(COUNTIF(Structure!$P$13:$P$312,$A47)=0,0,IF(COUNTIFS(Structure!$P$13:$P$312,$A47,Structure!$N$13:$N$312,"&lt;&gt;Zero Hours")=0,1,0)))</f>
        <v>0</v>
      </c>
      <c r="F47" s="0" t="n">
        <f aca="false">IF($A47="",0,1-E47)</f>
        <v>1</v>
      </c>
      <c r="G47" s="0" t="n">
        <f aca="false">IF($A47="",0,IF(COUNTIF('New Starters'!$D$14:$D$73,$A47)&gt;0,1,0))</f>
        <v>0</v>
      </c>
      <c r="H47" s="0" t="n">
        <f aca="false">IF($A47="",0,IF(COUNTIF(Leavers!$D$12:$D$71,$A47)&gt;0,1,0))</f>
        <v>1</v>
      </c>
      <c r="I47" s="0" t="str">
        <f aca="false">IF($A47="","",IFERROR(INDEX('New Starters'!$K$14:$K$73,MATCH($A47,'New Starters'!$D$14:$D$73,0)),IFERROR(INDEX(Leavers!$K$12:$K$71,MATCH($A47,Leavers!$D$12:$D$71,0)),"")))</f>
        <v>PR48890</v>
      </c>
      <c r="J47" s="0" t="n">
        <f aca="false">IF(AND(G47=1,I47&lt;&gt;"",COUNTIF(Leavers!$K$12:$K$71,I47)&gt;0),1,IF(AND(H47=1,I47&lt;&gt;"",COUNTIF('New Starters'!$K$14:$K$73,I47)&gt;0),1,0))</f>
        <v>0</v>
      </c>
      <c r="K47" s="14" t="n">
        <f aca="false">IF(ISNUMBER(SEARCH("Head Office",D47)),'Control Sheet'!$C$6,'Control Sheet'!$C$5)</f>
        <v>0.2</v>
      </c>
      <c r="L47" s="0" t="n">
        <f aca="false">IF(OR($A47="",AND(B47="",C47="")),"",IF(B47="",C47,IF(C47="",-B47,C47-B47)))</f>
        <v>-1570.28</v>
      </c>
      <c r="M47" s="0" t="n">
        <f aca="false">IFERROR(L47/B47,"")</f>
        <v>-1</v>
      </c>
      <c r="N47" s="0" t="n">
        <f aca="false">IF($A47="",0,IF(OR(B47="",C47="",C47=0,IF(ISNUMBER(M47),ABS(M47)&gt;K47,FALSE())),1,0))</f>
        <v>1</v>
      </c>
      <c r="O47" s="0" t="n">
        <f aca="false">IF(OR($A47="",L47=""),0,IF(AND(N47=1,ABS(L47)&gt;='Control Sheet'!$C$7,F47=1),1,0))</f>
        <v>1</v>
      </c>
      <c r="P47" s="0" t="str">
        <f aca="false">IF($A47="","",IF(F47=0,"Zero Hours",IF(J47=1,"Explained: Paired transfer",IF(AND(G47=1,H47=0,J47=0),"Explained: Starter",IF(AND(H47=1,G47=0,J47=0),"Explained: Leaver",IF(O47=1,"Review required","OK"))))))</f>
        <v>Explained: Leaver</v>
      </c>
      <c r="Q47" s="0" t="n">
        <f aca="false">IF(AND(F47=1,OR(C47="",C47=0),H47=0,J47=0),1,0)</f>
        <v>0</v>
      </c>
      <c r="R47" s="0" t="n">
        <f aca="false">IF(F47=0,0,IF(P47="Review required",1,IF(AND(P47="Explained: Starter",ISNUMBER(C47),C47&gt;=1500),1,0)))</f>
        <v>0</v>
      </c>
      <c r="S47" s="0" t="str">
        <f aca="false">IF(R47=0,"",IF(Q47=1,"High",IF(AND(P47="Explained: Starter",C47&gt;=1500),"High",IF(ABS(L47)&gt;=2000,"High",IF(ABS(L47)&gt;=500,"Medium","Low")))))</f>
        <v/>
      </c>
      <c r="T47" s="0" t="n">
        <f aca="false">SUMIFS('Payment Breakdown Prior'!$S$15:$S$104,'Payment Breakdown Prior'!$AE$15:$AE$104,$A47)</f>
        <v>2041.36</v>
      </c>
      <c r="U47" s="0" t="n">
        <f aca="false">SUMIFS('Payment Breakdown Current'!$S$15:$S$104,'Payment Breakdown Current'!$AE$15:$AE$104,$A47)</f>
        <v>0</v>
      </c>
      <c r="V47" s="0" t="n">
        <f aca="false">IFERROR((U47-T47)/T47,"")</f>
        <v>-1</v>
      </c>
      <c r="W47" s="0" t="n">
        <f aca="false">(SUMIFS('Payment Breakdown Current'!$S$15:$S$104,'Payment Breakdown Current'!$AE$15:$AE$104,$A47))-(SUMIFS('Payment Breakdown Prior'!$S$15:$S$104,'Payment Breakdown Prior'!$AE$15:$AE$104,$A47))</f>
        <v>-2041.36</v>
      </c>
      <c r="X47" s="0" t="n">
        <f aca="false">(SUMIFS('Payment Breakdown Current'!$T$15:$T$104,'Payment Breakdown Current'!$AE$15:$AE$104,$A47))-(SUMIFS('Payment Breakdown Prior'!$T$15:$T$104,'Payment Breakdown Prior'!$AE$15:$AE$104,$A47))</f>
        <v>0</v>
      </c>
      <c r="Y47" s="0" t="n">
        <f aca="false">(SUMIFS('Payment Breakdown Current'!$U$15:$U$104,'Payment Breakdown Current'!$AE$15:$AE$104,$A47))-(SUMIFS('Payment Breakdown Prior'!$U$15:$U$104,'Payment Breakdown Prior'!$AE$15:$AE$104,$A47))</f>
        <v>0</v>
      </c>
      <c r="Z47" s="0" t="n">
        <f aca="false">(SUMIFS('Payment Breakdown Current'!$V$15:$V$104,'Payment Breakdown Current'!$AE$15:$AE$104,$A47))-(SUMIFS('Payment Breakdown Prior'!$V$15:$V$104,'Payment Breakdown Prior'!$AE$15:$AE$104,$A47))</f>
        <v>0</v>
      </c>
      <c r="AA47" s="0" t="n">
        <f aca="false">(SUMIFS('Payment Breakdown Current'!$W$15:$W$104,'Payment Breakdown Current'!$AE$15:$AE$104,$A47))-(SUMIFS('Payment Breakdown Prior'!$W$15:$W$104,'Payment Breakdown Prior'!$AE$15:$AE$104,$A47))</f>
        <v>0</v>
      </c>
      <c r="AB47" s="0" t="n">
        <f aca="false">(SUMIFS('Payment Breakdown Current'!$X$15:$X$104,'Payment Breakdown Current'!$AE$15:$AE$104,$A47))-(SUMIFS('Payment Breakdown Prior'!$X$15:$X$104,'Payment Breakdown Prior'!$AE$15:$AE$104,$A47))</f>
        <v>0</v>
      </c>
      <c r="AC47" s="0" t="n">
        <f aca="false">(SUMIFS('Payment Breakdown Current'!$Y$15:$Y$104,'Payment Breakdown Current'!$AE$15:$AE$104,$A47))-(SUMIFS('Payment Breakdown Prior'!$Y$15:$Y$104,'Payment Breakdown Prior'!$AE$15:$AE$104,$A47))</f>
        <v>0</v>
      </c>
      <c r="AD47" s="0" t="n">
        <f aca="false">(SUMIFS('Payment Breakdown Current'!$Z$15:$Z$104,'Payment Breakdown Current'!$AE$15:$AE$104,$A47))-(SUMIFS('Payment Breakdown Prior'!$Z$15:$Z$104,'Payment Breakdown Prior'!$AE$15:$AE$104,$A47))</f>
        <v>0</v>
      </c>
      <c r="AE47" s="0" t="n">
        <f aca="false">(SUMIFS('Payment Breakdown Current'!$AA$15:$AA$104,'Payment Breakdown Current'!$AE$15:$AE$104,$A47))-(SUMIFS('Payment Breakdown Prior'!$AA$15:$AA$104,'Payment Breakdown Prior'!$AE$15:$AE$104,$A47))</f>
        <v>0</v>
      </c>
      <c r="AF47" s="0" t="n">
        <f aca="false">(SUMIFS('Payment Breakdown Current'!$AB$15:$AB$104,'Payment Breakdown Current'!$AE$15:$AE$104,$A47))-(SUMIFS('Payment Breakdown Prior'!$AB$15:$AB$104,'Payment Breakdown Prior'!$AE$15:$AE$104,$A47))</f>
        <v>0</v>
      </c>
      <c r="AG47" s="0" t="n">
        <f aca="false">(SUMIFS('Payment Breakdown Current'!$AC$15:$AC$104,'Payment Breakdown Current'!$AE$15:$AE$104,$A47))-(SUMIFS('Payment Breakdown Prior'!$AC$15:$AC$104,'Payment Breakdown Prior'!$AE$15:$AE$104,$A47))</f>
        <v>0</v>
      </c>
      <c r="AH47" s="0" t="n">
        <f aca="false">(SUMIFS('Payment Breakdown Current'!$AD$15:$AD$104,'Payment Breakdown Current'!$AE$15:$AE$104,$A47))-(SUMIFS('Payment Breakdown Prior'!$AD$15:$AD$104,'Payment Breakdown Prior'!$AE$15:$AE$104,$A47))</f>
        <v>0</v>
      </c>
      <c r="AI47" s="0" t="n">
        <f aca="false">MAX(ABS(W47),ABS(X47),ABS(Y47),ABS(Z47),ABS(AA47),ABS(AB47),ABS(AC47),ABS(AD47),ABS(AE47),ABS(AF47),ABS(AG47),ABS(AH47))</f>
        <v>2041.36</v>
      </c>
      <c r="AJ47" s="0" t="str">
        <f aca="false">IF(AI47&lt;0.005,"",IF(ABS(W47)=AI47,W$1,IF(ABS(X47)=AI47,X$1,IF(ABS(Y47)=AI47,Y$1,IF(ABS(Z47)=AI47,Z$1,IF(ABS(AA47)=AI47,AA$1,IF(ABS(AB47)=AI47,AB$1,IF(ABS(AC47)=AI47,AC$1,IF(ABS(AD47)=AI47,AD$1,IF(ABS(AE47)=AI47,AE$1,IF(ABS(AF47)=AI47,AF$1,IF(ABS(AG47)=AI47,AG$1,IF(ABS(AH47)=AI47,AH$1,"")))))))))))))</f>
        <v>Basic Salary</v>
      </c>
      <c r="AK47" s="0" t="n">
        <f aca="false">IF(AI47&lt;0.005,"",IF(ABS(W47)=AI47,W47,IF(ABS(X47)=AI47,X47,IF(ABS(Y47)=AI47,Y47,IF(ABS(Z47)=AI47,Z47,IF(ABS(AA47)=AI47,AA47,IF(ABS(AB47)=AI47,AB47,IF(ABS(AC47)=AI47,AC47,IF(ABS(AD47)=AI47,AD47,IF(ABS(AE47)=AI47,AE47,IF(ABS(AF47)=AI47,AF47,IF(ABS(AG47)=AI47,AG47,IF(ABS(AH47)=AI47,AH47,"")))))))))))))</f>
        <v>-2041.36</v>
      </c>
      <c r="AL47" s="0" t="str">
        <f aca="false">IF(R47=1,ABS(L47)-ROW()/100000000,"")</f>
        <v/>
      </c>
    </row>
    <row r="48" customFormat="false" ht="15" hidden="false" customHeight="false" outlineLevel="0" collapsed="false">
      <c r="A48" s="0" t="str">
        <f aca="false">IF('NPV Comparison'!D61="","",'NPV Comparison'!D61)</f>
        <v>P17492</v>
      </c>
      <c r="B48" s="13" t="n">
        <f aca="false">IF('NPV Comparison'!E61="","",'NPV Comparison'!E61)</f>
        <v>2222.77</v>
      </c>
      <c r="C48" s="0" t="str">
        <f aca="false">IF('NPV Comparison'!F61="","",'NPV Comparison'!F61)</f>
        <v/>
      </c>
      <c r="D48" s="0" t="str">
        <f aca="false">IF($A48="","",IFERROR(INDEX(Structure!$E$13:$E$312,MATCH($A48,Structure!$P$13:$P$312,0)),""))</f>
        <v>Kings Road Dental Practice</v>
      </c>
      <c r="E48" s="0" t="n">
        <f aca="false">IF($A48="",0,IF(COUNTIF(Structure!$P$13:$P$312,$A48)=0,0,IF(COUNTIFS(Structure!$P$13:$P$312,$A48,Structure!$N$13:$N$312,"&lt;&gt;Zero Hours")=0,1,0)))</f>
        <v>0</v>
      </c>
      <c r="F48" s="0" t="n">
        <f aca="false">IF($A48="",0,1-E48)</f>
        <v>1</v>
      </c>
      <c r="G48" s="0" t="n">
        <f aca="false">IF($A48="",0,IF(COUNTIF('New Starters'!$D$14:$D$73,$A48)&gt;0,1,0))</f>
        <v>0</v>
      </c>
      <c r="H48" s="0" t="n">
        <f aca="false">IF($A48="",0,IF(COUNTIF(Leavers!$D$12:$D$71,$A48)&gt;0,1,0))</f>
        <v>1</v>
      </c>
      <c r="I48" s="0" t="str">
        <f aca="false">IF($A48="","",IFERROR(INDEX('New Starters'!$K$14:$K$73,MATCH($A48,'New Starters'!$D$14:$D$73,0)),IFERROR(INDEX(Leavers!$K$12:$K$71,MATCH($A48,Leavers!$D$12:$D$71,0)),"")))</f>
        <v>PR17492</v>
      </c>
      <c r="J48" s="0" t="n">
        <f aca="false">IF(AND(G48=1,I48&lt;&gt;"",COUNTIF(Leavers!$K$12:$K$71,I48)&gt;0),1,IF(AND(H48=1,I48&lt;&gt;"",COUNTIF('New Starters'!$K$14:$K$73,I48)&gt;0),1,0))</f>
        <v>0</v>
      </c>
      <c r="K48" s="14" t="n">
        <f aca="false">IF(ISNUMBER(SEARCH("Head Office",D48)),'Control Sheet'!$C$6,'Control Sheet'!$C$5)</f>
        <v>0.2</v>
      </c>
      <c r="L48" s="0" t="n">
        <f aca="false">IF(OR($A48="",AND(B48="",C48="")),"",IF(B48="",C48,IF(C48="",-B48,C48-B48)))</f>
        <v>-2222.77</v>
      </c>
      <c r="M48" s="0" t="n">
        <f aca="false">IFERROR(L48/B48,"")</f>
        <v>-1</v>
      </c>
      <c r="N48" s="0" t="n">
        <f aca="false">IF($A48="",0,IF(OR(B48="",C48="",C48=0,IF(ISNUMBER(M48),ABS(M48)&gt;K48,FALSE())),1,0))</f>
        <v>1</v>
      </c>
      <c r="O48" s="0" t="n">
        <f aca="false">IF(OR($A48="",L48=""),0,IF(AND(N48=1,ABS(L48)&gt;='Control Sheet'!$C$7,F48=1),1,0))</f>
        <v>1</v>
      </c>
      <c r="P48" s="0" t="str">
        <f aca="false">IF($A48="","",IF(F48=0,"Zero Hours",IF(J48=1,"Explained: Paired transfer",IF(AND(G48=1,H48=0,J48=0),"Explained: Starter",IF(AND(H48=1,G48=0,J48=0),"Explained: Leaver",IF(O48=1,"Review required","OK"))))))</f>
        <v>Explained: Leaver</v>
      </c>
      <c r="Q48" s="0" t="n">
        <f aca="false">IF(AND(F48=1,OR(C48="",C48=0),H48=0,J48=0),1,0)</f>
        <v>0</v>
      </c>
      <c r="R48" s="0" t="n">
        <f aca="false">IF(F48=0,0,IF(P48="Review required",1,IF(AND(P48="Explained: Starter",ISNUMBER(C48),C48&gt;=1500),1,0)))</f>
        <v>0</v>
      </c>
      <c r="S48" s="0" t="str">
        <f aca="false">IF(R48=0,"",IF(Q48=1,"High",IF(AND(P48="Explained: Starter",C48&gt;=1500),"High",IF(ABS(L48)&gt;=2000,"High",IF(ABS(L48)&gt;=500,"Medium","Low")))))</f>
        <v/>
      </c>
      <c r="T48" s="0" t="n">
        <f aca="false">SUMIFS('Payment Breakdown Prior'!$S$15:$S$104,'Payment Breakdown Prior'!$AE$15:$AE$104,$A48)</f>
        <v>2889.61</v>
      </c>
      <c r="U48" s="0" t="n">
        <f aca="false">SUMIFS('Payment Breakdown Current'!$S$15:$S$104,'Payment Breakdown Current'!$AE$15:$AE$104,$A48)</f>
        <v>0</v>
      </c>
      <c r="V48" s="0" t="n">
        <f aca="false">IFERROR((U48-T48)/T48,"")</f>
        <v>-1</v>
      </c>
      <c r="W48" s="0" t="n">
        <f aca="false">(SUMIFS('Payment Breakdown Current'!$S$15:$S$104,'Payment Breakdown Current'!$AE$15:$AE$104,$A48))-(SUMIFS('Payment Breakdown Prior'!$S$15:$S$104,'Payment Breakdown Prior'!$AE$15:$AE$104,$A48))</f>
        <v>-2889.61</v>
      </c>
      <c r="X48" s="0" t="n">
        <f aca="false">(SUMIFS('Payment Breakdown Current'!$T$15:$T$104,'Payment Breakdown Current'!$AE$15:$AE$104,$A48))-(SUMIFS('Payment Breakdown Prior'!$T$15:$T$104,'Payment Breakdown Prior'!$AE$15:$AE$104,$A48))</f>
        <v>0</v>
      </c>
      <c r="Y48" s="0" t="n">
        <f aca="false">(SUMIFS('Payment Breakdown Current'!$U$15:$U$104,'Payment Breakdown Current'!$AE$15:$AE$104,$A48))-(SUMIFS('Payment Breakdown Prior'!$U$15:$U$104,'Payment Breakdown Prior'!$AE$15:$AE$104,$A48))</f>
        <v>0</v>
      </c>
      <c r="Z48" s="0" t="n">
        <f aca="false">(SUMIFS('Payment Breakdown Current'!$V$15:$V$104,'Payment Breakdown Current'!$AE$15:$AE$104,$A48))-(SUMIFS('Payment Breakdown Prior'!$V$15:$V$104,'Payment Breakdown Prior'!$AE$15:$AE$104,$A48))</f>
        <v>0</v>
      </c>
      <c r="AA48" s="0" t="n">
        <f aca="false">(SUMIFS('Payment Breakdown Current'!$W$15:$W$104,'Payment Breakdown Current'!$AE$15:$AE$104,$A48))-(SUMIFS('Payment Breakdown Prior'!$W$15:$W$104,'Payment Breakdown Prior'!$AE$15:$AE$104,$A48))</f>
        <v>0</v>
      </c>
      <c r="AB48" s="0" t="n">
        <f aca="false">(SUMIFS('Payment Breakdown Current'!$X$15:$X$104,'Payment Breakdown Current'!$AE$15:$AE$104,$A48))-(SUMIFS('Payment Breakdown Prior'!$X$15:$X$104,'Payment Breakdown Prior'!$AE$15:$AE$104,$A48))</f>
        <v>0</v>
      </c>
      <c r="AC48" s="0" t="n">
        <f aca="false">(SUMIFS('Payment Breakdown Current'!$Y$15:$Y$104,'Payment Breakdown Current'!$AE$15:$AE$104,$A48))-(SUMIFS('Payment Breakdown Prior'!$Y$15:$Y$104,'Payment Breakdown Prior'!$AE$15:$AE$104,$A48))</f>
        <v>0</v>
      </c>
      <c r="AD48" s="0" t="n">
        <f aca="false">(SUMIFS('Payment Breakdown Current'!$Z$15:$Z$104,'Payment Breakdown Current'!$AE$15:$AE$104,$A48))-(SUMIFS('Payment Breakdown Prior'!$Z$15:$Z$104,'Payment Breakdown Prior'!$AE$15:$AE$104,$A48))</f>
        <v>0</v>
      </c>
      <c r="AE48" s="0" t="n">
        <f aca="false">(SUMIFS('Payment Breakdown Current'!$AA$15:$AA$104,'Payment Breakdown Current'!$AE$15:$AE$104,$A48))-(SUMIFS('Payment Breakdown Prior'!$AA$15:$AA$104,'Payment Breakdown Prior'!$AE$15:$AE$104,$A48))</f>
        <v>0</v>
      </c>
      <c r="AF48" s="0" t="n">
        <f aca="false">(SUMIFS('Payment Breakdown Current'!$AB$15:$AB$104,'Payment Breakdown Current'!$AE$15:$AE$104,$A48))-(SUMIFS('Payment Breakdown Prior'!$AB$15:$AB$104,'Payment Breakdown Prior'!$AE$15:$AE$104,$A48))</f>
        <v>0</v>
      </c>
      <c r="AG48" s="0" t="n">
        <f aca="false">(SUMIFS('Payment Breakdown Current'!$AC$15:$AC$104,'Payment Breakdown Current'!$AE$15:$AE$104,$A48))-(SUMIFS('Payment Breakdown Prior'!$AC$15:$AC$104,'Payment Breakdown Prior'!$AE$15:$AE$104,$A48))</f>
        <v>0</v>
      </c>
      <c r="AH48" s="0" t="n">
        <f aca="false">(SUMIFS('Payment Breakdown Current'!$AD$15:$AD$104,'Payment Breakdown Current'!$AE$15:$AE$104,$A48))-(SUMIFS('Payment Breakdown Prior'!$AD$15:$AD$104,'Payment Breakdown Prior'!$AE$15:$AE$104,$A48))</f>
        <v>0</v>
      </c>
      <c r="AI48" s="0" t="n">
        <f aca="false">MAX(ABS(W48),ABS(X48),ABS(Y48),ABS(Z48),ABS(AA48),ABS(AB48),ABS(AC48),ABS(AD48),ABS(AE48),ABS(AF48),ABS(AG48),ABS(AH48))</f>
        <v>2889.61</v>
      </c>
      <c r="AJ48" s="0" t="str">
        <f aca="false">IF(AI48&lt;0.005,"",IF(ABS(W48)=AI48,W$1,IF(ABS(X48)=AI48,X$1,IF(ABS(Y48)=AI48,Y$1,IF(ABS(Z48)=AI48,Z$1,IF(ABS(AA48)=AI48,AA$1,IF(ABS(AB48)=AI48,AB$1,IF(ABS(AC48)=AI48,AC$1,IF(ABS(AD48)=AI48,AD$1,IF(ABS(AE48)=AI48,AE$1,IF(ABS(AF48)=AI48,AF$1,IF(ABS(AG48)=AI48,AG$1,IF(ABS(AH48)=AI48,AH$1,"")))))))))))))</f>
        <v>Basic Salary</v>
      </c>
      <c r="AK48" s="0" t="n">
        <f aca="false">IF(AI48&lt;0.005,"",IF(ABS(W48)=AI48,W48,IF(ABS(X48)=AI48,X48,IF(ABS(Y48)=AI48,Y48,IF(ABS(Z48)=AI48,Z48,IF(ABS(AA48)=AI48,AA48,IF(ABS(AB48)=AI48,AB48,IF(ABS(AC48)=AI48,AC48,IF(ABS(AD48)=AI48,AD48,IF(ABS(AE48)=AI48,AE48,IF(ABS(AF48)=AI48,AF48,IF(ABS(AG48)=AI48,AG48,IF(ABS(AH48)=AI48,AH48,"")))))))))))))</f>
        <v>-2889.61</v>
      </c>
      <c r="AL48" s="0" t="str">
        <f aca="false">IF(R48=1,ABS(L48)-ROW()/100000000,"")</f>
        <v/>
      </c>
    </row>
    <row r="49" customFormat="false" ht="15" hidden="false" customHeight="false" outlineLevel="0" collapsed="false">
      <c r="A49" s="0" t="str">
        <f aca="false">IF('NPV Comparison'!D62="","",'NPV Comparison'!D62)</f>
        <v>P79615</v>
      </c>
      <c r="B49" s="13" t="n">
        <f aca="false">IF('NPV Comparison'!E62="","",'NPV Comparison'!E62)</f>
        <v>2411.33</v>
      </c>
      <c r="C49" s="0" t="str">
        <f aca="false">IF('NPV Comparison'!F62="","",'NPV Comparison'!F62)</f>
        <v/>
      </c>
      <c r="D49" s="0" t="str">
        <f aca="false">IF($A49="","",IFERROR(INDEX(Structure!$E$13:$E$312,MATCH($A49,Structure!$P$13:$P$312,0)),""))</f>
        <v>Riverside Dental Practice</v>
      </c>
      <c r="E49" s="0" t="n">
        <f aca="false">IF($A49="",0,IF(COUNTIF(Structure!$P$13:$P$312,$A49)=0,0,IF(COUNTIFS(Structure!$P$13:$P$312,$A49,Structure!$N$13:$N$312,"&lt;&gt;Zero Hours")=0,1,0)))</f>
        <v>0</v>
      </c>
      <c r="F49" s="0" t="n">
        <f aca="false">IF($A49="",0,1-E49)</f>
        <v>1</v>
      </c>
      <c r="G49" s="0" t="n">
        <f aca="false">IF($A49="",0,IF(COUNTIF('New Starters'!$D$14:$D$73,$A49)&gt;0,1,0))</f>
        <v>0</v>
      </c>
      <c r="H49" s="0" t="n">
        <f aca="false">IF($A49="",0,IF(COUNTIF(Leavers!$D$12:$D$71,$A49)&gt;0,1,0))</f>
        <v>1</v>
      </c>
      <c r="I49" s="0" t="str">
        <f aca="false">IF($A49="","",IFERROR(INDEX('New Starters'!$K$14:$K$73,MATCH($A49,'New Starters'!$D$14:$D$73,0)),IFERROR(INDEX(Leavers!$K$12:$K$71,MATCH($A49,Leavers!$D$12:$D$71,0)),"")))</f>
        <v>PR79615</v>
      </c>
      <c r="J49" s="0" t="n">
        <f aca="false">IF(AND(G49=1,I49&lt;&gt;"",COUNTIF(Leavers!$K$12:$K$71,I49)&gt;0),1,IF(AND(H49=1,I49&lt;&gt;"",COUNTIF('New Starters'!$K$14:$K$73,I49)&gt;0),1,0))</f>
        <v>0</v>
      </c>
      <c r="K49" s="14" t="n">
        <f aca="false">IF(ISNUMBER(SEARCH("Head Office",D49)),'Control Sheet'!$C$6,'Control Sheet'!$C$5)</f>
        <v>0.2</v>
      </c>
      <c r="L49" s="0" t="n">
        <f aca="false">IF(OR($A49="",AND(B49="",C49="")),"",IF(B49="",C49,IF(C49="",-B49,C49-B49)))</f>
        <v>-2411.33</v>
      </c>
      <c r="M49" s="0" t="n">
        <f aca="false">IFERROR(L49/B49,"")</f>
        <v>-1</v>
      </c>
      <c r="N49" s="0" t="n">
        <f aca="false">IF($A49="",0,IF(OR(B49="",C49="",C49=0,IF(ISNUMBER(M49),ABS(M49)&gt;K49,FALSE())),1,0))</f>
        <v>1</v>
      </c>
      <c r="O49" s="0" t="n">
        <f aca="false">IF(OR($A49="",L49=""),0,IF(AND(N49=1,ABS(L49)&gt;='Control Sheet'!$C$7,F49=1),1,0))</f>
        <v>1</v>
      </c>
      <c r="P49" s="0" t="str">
        <f aca="false">IF($A49="","",IF(F49=0,"Zero Hours",IF(J49=1,"Explained: Paired transfer",IF(AND(G49=1,H49=0,J49=0),"Explained: Starter",IF(AND(H49=1,G49=0,J49=0),"Explained: Leaver",IF(O49=1,"Review required","OK"))))))</f>
        <v>Explained: Leaver</v>
      </c>
      <c r="Q49" s="0" t="n">
        <f aca="false">IF(AND(F49=1,OR(C49="",C49=0),H49=0,J49=0),1,0)</f>
        <v>0</v>
      </c>
      <c r="R49" s="0" t="n">
        <f aca="false">IF(F49=0,0,IF(P49="Review required",1,IF(AND(P49="Explained: Starter",ISNUMBER(C49),C49&gt;=1500),1,0)))</f>
        <v>0</v>
      </c>
      <c r="S49" s="0" t="str">
        <f aca="false">IF(R49=0,"",IF(Q49=1,"High",IF(AND(P49="Explained: Starter",C49&gt;=1500),"High",IF(ABS(L49)&gt;=2000,"High",IF(ABS(L49)&gt;=500,"Medium","Low")))))</f>
        <v/>
      </c>
      <c r="T49" s="0" t="n">
        <f aca="false">SUMIFS('Payment Breakdown Prior'!$S$15:$S$104,'Payment Breakdown Prior'!$AE$15:$AE$104,$A49)</f>
        <v>3134.72</v>
      </c>
      <c r="U49" s="0" t="n">
        <f aca="false">SUMIFS('Payment Breakdown Current'!$S$15:$S$104,'Payment Breakdown Current'!$AE$15:$AE$104,$A49)</f>
        <v>0</v>
      </c>
      <c r="V49" s="0" t="n">
        <f aca="false">IFERROR((U49-T49)/T49,"")</f>
        <v>-1</v>
      </c>
      <c r="W49" s="0" t="n">
        <f aca="false">(SUMIFS('Payment Breakdown Current'!$S$15:$S$104,'Payment Breakdown Current'!$AE$15:$AE$104,$A49))-(SUMIFS('Payment Breakdown Prior'!$S$15:$S$104,'Payment Breakdown Prior'!$AE$15:$AE$104,$A49))</f>
        <v>-3134.72</v>
      </c>
      <c r="X49" s="0" t="n">
        <f aca="false">(SUMIFS('Payment Breakdown Current'!$T$15:$T$104,'Payment Breakdown Current'!$AE$15:$AE$104,$A49))-(SUMIFS('Payment Breakdown Prior'!$T$15:$T$104,'Payment Breakdown Prior'!$AE$15:$AE$104,$A49))</f>
        <v>0</v>
      </c>
      <c r="Y49" s="0" t="n">
        <f aca="false">(SUMIFS('Payment Breakdown Current'!$U$15:$U$104,'Payment Breakdown Current'!$AE$15:$AE$104,$A49))-(SUMIFS('Payment Breakdown Prior'!$U$15:$U$104,'Payment Breakdown Prior'!$AE$15:$AE$104,$A49))</f>
        <v>0</v>
      </c>
      <c r="Z49" s="0" t="n">
        <f aca="false">(SUMIFS('Payment Breakdown Current'!$V$15:$V$104,'Payment Breakdown Current'!$AE$15:$AE$104,$A49))-(SUMIFS('Payment Breakdown Prior'!$V$15:$V$104,'Payment Breakdown Prior'!$AE$15:$AE$104,$A49))</f>
        <v>0</v>
      </c>
      <c r="AA49" s="0" t="n">
        <f aca="false">(SUMIFS('Payment Breakdown Current'!$W$15:$W$104,'Payment Breakdown Current'!$AE$15:$AE$104,$A49))-(SUMIFS('Payment Breakdown Prior'!$W$15:$W$104,'Payment Breakdown Prior'!$AE$15:$AE$104,$A49))</f>
        <v>0</v>
      </c>
      <c r="AB49" s="0" t="n">
        <f aca="false">(SUMIFS('Payment Breakdown Current'!$X$15:$X$104,'Payment Breakdown Current'!$AE$15:$AE$104,$A49))-(SUMIFS('Payment Breakdown Prior'!$X$15:$X$104,'Payment Breakdown Prior'!$AE$15:$AE$104,$A49))</f>
        <v>0</v>
      </c>
      <c r="AC49" s="0" t="n">
        <f aca="false">(SUMIFS('Payment Breakdown Current'!$Y$15:$Y$104,'Payment Breakdown Current'!$AE$15:$AE$104,$A49))-(SUMIFS('Payment Breakdown Prior'!$Y$15:$Y$104,'Payment Breakdown Prior'!$AE$15:$AE$104,$A49))</f>
        <v>0</v>
      </c>
      <c r="AD49" s="0" t="n">
        <f aca="false">(SUMIFS('Payment Breakdown Current'!$Z$15:$Z$104,'Payment Breakdown Current'!$AE$15:$AE$104,$A49))-(SUMIFS('Payment Breakdown Prior'!$Z$15:$Z$104,'Payment Breakdown Prior'!$AE$15:$AE$104,$A49))</f>
        <v>0</v>
      </c>
      <c r="AE49" s="0" t="n">
        <f aca="false">(SUMIFS('Payment Breakdown Current'!$AA$15:$AA$104,'Payment Breakdown Current'!$AE$15:$AE$104,$A49))-(SUMIFS('Payment Breakdown Prior'!$AA$15:$AA$104,'Payment Breakdown Prior'!$AE$15:$AE$104,$A49))</f>
        <v>0</v>
      </c>
      <c r="AF49" s="0" t="n">
        <f aca="false">(SUMIFS('Payment Breakdown Current'!$AB$15:$AB$104,'Payment Breakdown Current'!$AE$15:$AE$104,$A49))-(SUMIFS('Payment Breakdown Prior'!$AB$15:$AB$104,'Payment Breakdown Prior'!$AE$15:$AE$104,$A49))</f>
        <v>0</v>
      </c>
      <c r="AG49" s="0" t="n">
        <f aca="false">(SUMIFS('Payment Breakdown Current'!$AC$15:$AC$104,'Payment Breakdown Current'!$AE$15:$AE$104,$A49))-(SUMIFS('Payment Breakdown Prior'!$AC$15:$AC$104,'Payment Breakdown Prior'!$AE$15:$AE$104,$A49))</f>
        <v>0</v>
      </c>
      <c r="AH49" s="0" t="n">
        <f aca="false">(SUMIFS('Payment Breakdown Current'!$AD$15:$AD$104,'Payment Breakdown Current'!$AE$15:$AE$104,$A49))-(SUMIFS('Payment Breakdown Prior'!$AD$15:$AD$104,'Payment Breakdown Prior'!$AE$15:$AE$104,$A49))</f>
        <v>0</v>
      </c>
      <c r="AI49" s="0" t="n">
        <f aca="false">MAX(ABS(W49),ABS(X49),ABS(Y49),ABS(Z49),ABS(AA49),ABS(AB49),ABS(AC49),ABS(AD49),ABS(AE49),ABS(AF49),ABS(AG49),ABS(AH49))</f>
        <v>3134.72</v>
      </c>
      <c r="AJ49" s="0" t="str">
        <f aca="false">IF(AI49&lt;0.005,"",IF(ABS(W49)=AI49,W$1,IF(ABS(X49)=AI49,X$1,IF(ABS(Y49)=AI49,Y$1,IF(ABS(Z49)=AI49,Z$1,IF(ABS(AA49)=AI49,AA$1,IF(ABS(AB49)=AI49,AB$1,IF(ABS(AC49)=AI49,AC$1,IF(ABS(AD49)=AI49,AD$1,IF(ABS(AE49)=AI49,AE$1,IF(ABS(AF49)=AI49,AF$1,IF(ABS(AG49)=AI49,AG$1,IF(ABS(AH49)=AI49,AH$1,"")))))))))))))</f>
        <v>Basic Salary</v>
      </c>
      <c r="AK49" s="0" t="n">
        <f aca="false">IF(AI49&lt;0.005,"",IF(ABS(W49)=AI49,W49,IF(ABS(X49)=AI49,X49,IF(ABS(Y49)=AI49,Y49,IF(ABS(Z49)=AI49,Z49,IF(ABS(AA49)=AI49,AA49,IF(ABS(AB49)=AI49,AB49,IF(ABS(AC49)=AI49,AC49,IF(ABS(AD49)=AI49,AD49,IF(ABS(AE49)=AI49,AE49,IF(ABS(AF49)=AI49,AF49,IF(ABS(AG49)=AI49,AG49,IF(ABS(AH49)=AI49,AH49,"")))))))))))))</f>
        <v>-3134.72</v>
      </c>
      <c r="AL49" s="0" t="str">
        <f aca="false">IF(R49=1,ABS(L49)-ROW()/100000000,"")</f>
        <v/>
      </c>
    </row>
    <row r="50" customFormat="false" ht="15" hidden="false" customHeight="false" outlineLevel="0" collapsed="false">
      <c r="A50" s="0" t="str">
        <f aca="false">IF('NPV Comparison'!D63="","",'NPV Comparison'!D63)</f>
        <v>P34356</v>
      </c>
      <c r="B50" s="13" t="n">
        <f aca="false">IF('NPV Comparison'!E63="","",'NPV Comparison'!E63)</f>
        <v>181.28</v>
      </c>
      <c r="C50" s="13" t="n">
        <f aca="false">IF('NPV Comparison'!F63="","",'NPV Comparison'!F63)</f>
        <v>210.61</v>
      </c>
      <c r="D50" s="0" t="str">
        <f aca="false">IF($A50="","",IFERROR(INDEX(Structure!$E$13:$E$312,MATCH($A50,Structure!$P$13:$P$312,0)),""))</f>
        <v>Kings Road Dental Practice</v>
      </c>
      <c r="E50" s="0" t="n">
        <f aca="false">IF($A50="",0,IF(COUNTIF(Structure!$P$13:$P$312,$A50)=0,0,IF(COUNTIFS(Structure!$P$13:$P$312,$A50,Structure!$N$13:$N$312,"&lt;&gt;Zero Hours")=0,1,0)))</f>
        <v>1</v>
      </c>
      <c r="F50" s="0" t="n">
        <f aca="false">IF($A50="",0,1-E50)</f>
        <v>0</v>
      </c>
      <c r="G50" s="0" t="n">
        <f aca="false">IF($A50="",0,IF(COUNTIF('New Starters'!$D$14:$D$73,$A50)&gt;0,1,0))</f>
        <v>0</v>
      </c>
      <c r="H50" s="0" t="n">
        <f aca="false">IF($A50="",0,IF(COUNTIF(Leavers!$D$12:$D$71,$A50)&gt;0,1,0))</f>
        <v>0</v>
      </c>
      <c r="I50" s="0" t="str">
        <f aca="false">IF($A50="","",IFERROR(INDEX('New Starters'!$K$14:$K$73,MATCH($A50,'New Starters'!$D$14:$D$73,0)),IFERROR(INDEX(Leavers!$K$12:$K$71,MATCH($A50,Leavers!$D$12:$D$71,0)),"")))</f>
        <v/>
      </c>
      <c r="J50" s="0" t="n">
        <f aca="false">IF(AND(G50=1,I50&lt;&gt;"",COUNTIF(Leavers!$K$12:$K$71,I50)&gt;0),1,IF(AND(H50=1,I50&lt;&gt;"",COUNTIF('New Starters'!$K$14:$K$73,I50)&gt;0),1,0))</f>
        <v>0</v>
      </c>
      <c r="K50" s="14" t="n">
        <f aca="false">IF(ISNUMBER(SEARCH("Head Office",D50)),'Control Sheet'!$C$6,'Control Sheet'!$C$5)</f>
        <v>0.2</v>
      </c>
      <c r="L50" s="0" t="n">
        <f aca="false">IF(OR($A50="",AND(B50="",C50="")),"",IF(B50="",C50,IF(C50="",-B50,C50-B50)))</f>
        <v>29.33</v>
      </c>
      <c r="M50" s="0" t="n">
        <f aca="false">IFERROR(L50/B50,"")</f>
        <v>0.161793909973522</v>
      </c>
      <c r="N50" s="0" t="n">
        <f aca="false">IF($A50="",0,IF(OR(B50="",C50="",C50=0,IF(ISNUMBER(M50),ABS(M50)&gt;K50,FALSE())),1,0))</f>
        <v>0</v>
      </c>
      <c r="O50" s="0" t="n">
        <f aca="false">IF(OR($A50="",L50=""),0,IF(AND(N50=1,ABS(L50)&gt;='Control Sheet'!$C$7,F50=1),1,0))</f>
        <v>0</v>
      </c>
      <c r="P50" s="0" t="str">
        <f aca="false">IF($A50="","",IF(F50=0,"Zero Hours",IF(J50=1,"Explained: Paired transfer",IF(AND(G50=1,H50=0,J50=0),"Explained: Starter",IF(AND(H50=1,G50=0,J50=0),"Explained: Leaver",IF(O50=1,"Review required","OK"))))))</f>
        <v>Zero Hours</v>
      </c>
      <c r="Q50" s="0" t="n">
        <f aca="false">IF(AND(F50=1,OR(C50="",C50=0),H50=0,J50=0),1,0)</f>
        <v>0</v>
      </c>
      <c r="R50" s="0" t="n">
        <f aca="false">IF(F50=0,0,IF(P50="Review required",1,IF(AND(P50="Explained: Starter",ISNUMBER(C50),C50&gt;=1500),1,0)))</f>
        <v>0</v>
      </c>
      <c r="S50" s="0" t="str">
        <f aca="false">IF(R50=0,"",IF(Q50=1,"High",IF(AND(P50="Explained: Starter",C50&gt;=1500),"High",IF(ABS(L50)&gt;=2000,"High",IF(ABS(L50)&gt;=500,"Medium","Low")))))</f>
        <v/>
      </c>
      <c r="T50" s="0" t="n">
        <f aca="false">SUMIFS('Payment Breakdown Prior'!$S$15:$S$104,'Payment Breakdown Prior'!$AE$15:$AE$104,$A50)</f>
        <v>181.28</v>
      </c>
      <c r="U50" s="0" t="n">
        <f aca="false">SUMIFS('Payment Breakdown Current'!$S$15:$S$104,'Payment Breakdown Current'!$AE$15:$AE$104,$A50)</f>
        <v>210.61</v>
      </c>
      <c r="V50" s="0" t="n">
        <f aca="false">IFERROR((U50-T50)/T50,"")</f>
        <v>0.161793909973522</v>
      </c>
      <c r="W50" s="0" t="n">
        <f aca="false">(SUMIFS('Payment Breakdown Current'!$S$15:$S$104,'Payment Breakdown Current'!$AE$15:$AE$104,$A50))-(SUMIFS('Payment Breakdown Prior'!$S$15:$S$104,'Payment Breakdown Prior'!$AE$15:$AE$104,$A50))</f>
        <v>29.33</v>
      </c>
      <c r="X50" s="0" t="n">
        <f aca="false">(SUMIFS('Payment Breakdown Current'!$T$15:$T$104,'Payment Breakdown Current'!$AE$15:$AE$104,$A50))-(SUMIFS('Payment Breakdown Prior'!$T$15:$T$104,'Payment Breakdown Prior'!$AE$15:$AE$104,$A50))</f>
        <v>0</v>
      </c>
      <c r="Y50" s="0" t="n">
        <f aca="false">(SUMIFS('Payment Breakdown Current'!$U$15:$U$104,'Payment Breakdown Current'!$AE$15:$AE$104,$A50))-(SUMIFS('Payment Breakdown Prior'!$U$15:$U$104,'Payment Breakdown Prior'!$AE$15:$AE$104,$A50))</f>
        <v>0</v>
      </c>
      <c r="Z50" s="0" t="n">
        <f aca="false">(SUMIFS('Payment Breakdown Current'!$V$15:$V$104,'Payment Breakdown Current'!$AE$15:$AE$104,$A50))-(SUMIFS('Payment Breakdown Prior'!$V$15:$V$104,'Payment Breakdown Prior'!$AE$15:$AE$104,$A50))</f>
        <v>0</v>
      </c>
      <c r="AA50" s="0" t="n">
        <f aca="false">(SUMIFS('Payment Breakdown Current'!$W$15:$W$104,'Payment Breakdown Current'!$AE$15:$AE$104,$A50))-(SUMIFS('Payment Breakdown Prior'!$W$15:$W$104,'Payment Breakdown Prior'!$AE$15:$AE$104,$A50))</f>
        <v>0</v>
      </c>
      <c r="AB50" s="0" t="n">
        <f aca="false">(SUMIFS('Payment Breakdown Current'!$X$15:$X$104,'Payment Breakdown Current'!$AE$15:$AE$104,$A50))-(SUMIFS('Payment Breakdown Prior'!$X$15:$X$104,'Payment Breakdown Prior'!$AE$15:$AE$104,$A50))</f>
        <v>0</v>
      </c>
      <c r="AC50" s="0" t="n">
        <f aca="false">(SUMIFS('Payment Breakdown Current'!$Y$15:$Y$104,'Payment Breakdown Current'!$AE$15:$AE$104,$A50))-(SUMIFS('Payment Breakdown Prior'!$Y$15:$Y$104,'Payment Breakdown Prior'!$AE$15:$AE$104,$A50))</f>
        <v>0</v>
      </c>
      <c r="AD50" s="0" t="n">
        <f aca="false">(SUMIFS('Payment Breakdown Current'!$Z$15:$Z$104,'Payment Breakdown Current'!$AE$15:$AE$104,$A50))-(SUMIFS('Payment Breakdown Prior'!$Z$15:$Z$104,'Payment Breakdown Prior'!$AE$15:$AE$104,$A50))</f>
        <v>0</v>
      </c>
      <c r="AE50" s="0" t="n">
        <f aca="false">(SUMIFS('Payment Breakdown Current'!$AA$15:$AA$104,'Payment Breakdown Current'!$AE$15:$AE$104,$A50))-(SUMIFS('Payment Breakdown Prior'!$AA$15:$AA$104,'Payment Breakdown Prior'!$AE$15:$AE$104,$A50))</f>
        <v>0</v>
      </c>
      <c r="AF50" s="0" t="n">
        <f aca="false">(SUMIFS('Payment Breakdown Current'!$AB$15:$AB$104,'Payment Breakdown Current'!$AE$15:$AE$104,$A50))-(SUMIFS('Payment Breakdown Prior'!$AB$15:$AB$104,'Payment Breakdown Prior'!$AE$15:$AE$104,$A50))</f>
        <v>0</v>
      </c>
      <c r="AG50" s="0" t="n">
        <f aca="false">(SUMIFS('Payment Breakdown Current'!$AC$15:$AC$104,'Payment Breakdown Current'!$AE$15:$AE$104,$A50))-(SUMIFS('Payment Breakdown Prior'!$AC$15:$AC$104,'Payment Breakdown Prior'!$AE$15:$AE$104,$A50))</f>
        <v>0</v>
      </c>
      <c r="AH50" s="0" t="n">
        <f aca="false">(SUMIFS('Payment Breakdown Current'!$AD$15:$AD$104,'Payment Breakdown Current'!$AE$15:$AE$104,$A50))-(SUMIFS('Payment Breakdown Prior'!$AD$15:$AD$104,'Payment Breakdown Prior'!$AE$15:$AE$104,$A50))</f>
        <v>0</v>
      </c>
      <c r="AI50" s="0" t="n">
        <f aca="false">MAX(ABS(W50),ABS(X50),ABS(Y50),ABS(Z50),ABS(AA50),ABS(AB50),ABS(AC50),ABS(AD50),ABS(AE50),ABS(AF50),ABS(AG50),ABS(AH50))</f>
        <v>29.33</v>
      </c>
      <c r="AJ50" s="0" t="str">
        <f aca="false">IF(AI50&lt;0.005,"",IF(ABS(W50)=AI50,W$1,IF(ABS(X50)=AI50,X$1,IF(ABS(Y50)=AI50,Y$1,IF(ABS(Z50)=AI50,Z$1,IF(ABS(AA50)=AI50,AA$1,IF(ABS(AB50)=AI50,AB$1,IF(ABS(AC50)=AI50,AC$1,IF(ABS(AD50)=AI50,AD$1,IF(ABS(AE50)=AI50,AE$1,IF(ABS(AF50)=AI50,AF$1,IF(ABS(AG50)=AI50,AG$1,IF(ABS(AH50)=AI50,AH$1,"")))))))))))))</f>
        <v>Basic Salary</v>
      </c>
      <c r="AK50" s="0" t="n">
        <f aca="false">IF(AI50&lt;0.005,"",IF(ABS(W50)=AI50,W50,IF(ABS(X50)=AI50,X50,IF(ABS(Y50)=AI50,Y50,IF(ABS(Z50)=AI50,Z50,IF(ABS(AA50)=AI50,AA50,IF(ABS(AB50)=AI50,AB50,IF(ABS(AC50)=AI50,AC50,IF(ABS(AD50)=AI50,AD50,IF(ABS(AE50)=AI50,AE50,IF(ABS(AF50)=AI50,AF50,IF(ABS(AG50)=AI50,AG50,IF(ABS(AH50)=AI50,AH50,"")))))))))))))</f>
        <v>29.33</v>
      </c>
      <c r="AL50" s="0" t="str">
        <f aca="false">IF(R50=1,ABS(L50)-ROW()/100000000,"")</f>
        <v/>
      </c>
    </row>
    <row r="51" customFormat="false" ht="15" hidden="false" customHeight="false" outlineLevel="0" collapsed="false">
      <c r="A51" s="0" t="str">
        <f aca="false">IF('NPV Comparison'!D64="","",'NPV Comparison'!D64)</f>
        <v>P40828</v>
      </c>
      <c r="B51" s="13" t="n">
        <f aca="false">IF('NPV Comparison'!E64="","",'NPV Comparison'!E64)</f>
        <v>477.27</v>
      </c>
      <c r="C51" s="13" t="n">
        <f aca="false">IF('NPV Comparison'!F64="","",'NPV Comparison'!F64)</f>
        <v>674.3</v>
      </c>
      <c r="D51" s="0" t="str">
        <f aca="false">IF($A51="","",IFERROR(INDEX(Structure!$E$13:$E$312,MATCH($A51,Structure!$P$13:$P$312,0)),""))</f>
        <v>Riverside Dental Practice</v>
      </c>
      <c r="E51" s="0" t="n">
        <f aca="false">IF($A51="",0,IF(COUNTIF(Structure!$P$13:$P$312,$A51)=0,0,IF(COUNTIFS(Structure!$P$13:$P$312,$A51,Structure!$N$13:$N$312,"&lt;&gt;Zero Hours")=0,1,0)))</f>
        <v>1</v>
      </c>
      <c r="F51" s="0" t="n">
        <f aca="false">IF($A51="",0,1-E51)</f>
        <v>0</v>
      </c>
      <c r="G51" s="0" t="n">
        <f aca="false">IF($A51="",0,IF(COUNTIF('New Starters'!$D$14:$D$73,$A51)&gt;0,1,0))</f>
        <v>0</v>
      </c>
      <c r="H51" s="0" t="n">
        <f aca="false">IF($A51="",0,IF(COUNTIF(Leavers!$D$12:$D$71,$A51)&gt;0,1,0))</f>
        <v>0</v>
      </c>
      <c r="I51" s="0" t="str">
        <f aca="false">IF($A51="","",IFERROR(INDEX('New Starters'!$K$14:$K$73,MATCH($A51,'New Starters'!$D$14:$D$73,0)),IFERROR(INDEX(Leavers!$K$12:$K$71,MATCH($A51,Leavers!$D$12:$D$71,0)),"")))</f>
        <v/>
      </c>
      <c r="J51" s="0" t="n">
        <f aca="false">IF(AND(G51=1,I51&lt;&gt;"",COUNTIF(Leavers!$K$12:$K$71,I51)&gt;0),1,IF(AND(H51=1,I51&lt;&gt;"",COUNTIF('New Starters'!$K$14:$K$73,I51)&gt;0),1,0))</f>
        <v>0</v>
      </c>
      <c r="K51" s="14" t="n">
        <f aca="false">IF(ISNUMBER(SEARCH("Head Office",D51)),'Control Sheet'!$C$6,'Control Sheet'!$C$5)</f>
        <v>0.2</v>
      </c>
      <c r="L51" s="0" t="n">
        <f aca="false">IF(OR($A51="",AND(B51="",C51="")),"",IF(B51="",C51,IF(C51="",-B51,C51-B51)))</f>
        <v>197.03</v>
      </c>
      <c r="M51" s="0" t="n">
        <f aca="false">IFERROR(L51/B51,"")</f>
        <v>0.412827120916881</v>
      </c>
      <c r="N51" s="0" t="n">
        <f aca="false">IF($A51="",0,IF(OR(B51="",C51="",C51=0,IF(ISNUMBER(M51),ABS(M51)&gt;K51,FALSE())),1,0))</f>
        <v>1</v>
      </c>
      <c r="O51" s="0" t="n">
        <f aca="false">IF(OR($A51="",L51=""),0,IF(AND(N51=1,ABS(L51)&gt;='Control Sheet'!$C$7,F51=1),1,0))</f>
        <v>0</v>
      </c>
      <c r="P51" s="0" t="str">
        <f aca="false">IF($A51="","",IF(F51=0,"Zero Hours",IF(J51=1,"Explained: Paired transfer",IF(AND(G51=1,H51=0,J51=0),"Explained: Starter",IF(AND(H51=1,G51=0,J51=0),"Explained: Leaver",IF(O51=1,"Review required","OK"))))))</f>
        <v>Zero Hours</v>
      </c>
      <c r="Q51" s="0" t="n">
        <f aca="false">IF(AND(F51=1,OR(C51="",C51=0),H51=0,J51=0),1,0)</f>
        <v>0</v>
      </c>
      <c r="R51" s="0" t="n">
        <f aca="false">IF(F51=0,0,IF(P51="Review required",1,IF(AND(P51="Explained: Starter",ISNUMBER(C51),C51&gt;=1500),1,0)))</f>
        <v>0</v>
      </c>
      <c r="S51" s="0" t="str">
        <f aca="false">IF(R51=0,"",IF(Q51=1,"High",IF(AND(P51="Explained: Starter",C51&gt;=1500),"High",IF(ABS(L51)&gt;=2000,"High",IF(ABS(L51)&gt;=500,"Medium","Low")))))</f>
        <v/>
      </c>
      <c r="T51" s="0" t="n">
        <f aca="false">SUMIFS('Payment Breakdown Prior'!$S$15:$S$104,'Payment Breakdown Prior'!$AE$15:$AE$104,$A51)</f>
        <v>477.27</v>
      </c>
      <c r="U51" s="0" t="n">
        <f aca="false">SUMIFS('Payment Breakdown Current'!$S$15:$S$104,'Payment Breakdown Current'!$AE$15:$AE$104,$A51)</f>
        <v>674.3</v>
      </c>
      <c r="V51" s="0" t="n">
        <f aca="false">IFERROR((U51-T51)/T51,"")</f>
        <v>0.412827120916881</v>
      </c>
      <c r="W51" s="0" t="n">
        <f aca="false">(SUMIFS('Payment Breakdown Current'!$S$15:$S$104,'Payment Breakdown Current'!$AE$15:$AE$104,$A51))-(SUMIFS('Payment Breakdown Prior'!$S$15:$S$104,'Payment Breakdown Prior'!$AE$15:$AE$104,$A51))</f>
        <v>197.03</v>
      </c>
      <c r="X51" s="0" t="n">
        <f aca="false">(SUMIFS('Payment Breakdown Current'!$T$15:$T$104,'Payment Breakdown Current'!$AE$15:$AE$104,$A51))-(SUMIFS('Payment Breakdown Prior'!$T$15:$T$104,'Payment Breakdown Prior'!$AE$15:$AE$104,$A51))</f>
        <v>0</v>
      </c>
      <c r="Y51" s="0" t="n">
        <f aca="false">(SUMIFS('Payment Breakdown Current'!$U$15:$U$104,'Payment Breakdown Current'!$AE$15:$AE$104,$A51))-(SUMIFS('Payment Breakdown Prior'!$U$15:$U$104,'Payment Breakdown Prior'!$AE$15:$AE$104,$A51))</f>
        <v>0</v>
      </c>
      <c r="Z51" s="0" t="n">
        <f aca="false">(SUMIFS('Payment Breakdown Current'!$V$15:$V$104,'Payment Breakdown Current'!$AE$15:$AE$104,$A51))-(SUMIFS('Payment Breakdown Prior'!$V$15:$V$104,'Payment Breakdown Prior'!$AE$15:$AE$104,$A51))</f>
        <v>0</v>
      </c>
      <c r="AA51" s="0" t="n">
        <f aca="false">(SUMIFS('Payment Breakdown Current'!$W$15:$W$104,'Payment Breakdown Current'!$AE$15:$AE$104,$A51))-(SUMIFS('Payment Breakdown Prior'!$W$15:$W$104,'Payment Breakdown Prior'!$AE$15:$AE$104,$A51))</f>
        <v>0</v>
      </c>
      <c r="AB51" s="0" t="n">
        <f aca="false">(SUMIFS('Payment Breakdown Current'!$X$15:$X$104,'Payment Breakdown Current'!$AE$15:$AE$104,$A51))-(SUMIFS('Payment Breakdown Prior'!$X$15:$X$104,'Payment Breakdown Prior'!$AE$15:$AE$104,$A51))</f>
        <v>0</v>
      </c>
      <c r="AC51" s="0" t="n">
        <f aca="false">(SUMIFS('Payment Breakdown Current'!$Y$15:$Y$104,'Payment Breakdown Current'!$AE$15:$AE$104,$A51))-(SUMIFS('Payment Breakdown Prior'!$Y$15:$Y$104,'Payment Breakdown Prior'!$AE$15:$AE$104,$A51))</f>
        <v>0</v>
      </c>
      <c r="AD51" s="0" t="n">
        <f aca="false">(SUMIFS('Payment Breakdown Current'!$Z$15:$Z$104,'Payment Breakdown Current'!$AE$15:$AE$104,$A51))-(SUMIFS('Payment Breakdown Prior'!$Z$15:$Z$104,'Payment Breakdown Prior'!$AE$15:$AE$104,$A51))</f>
        <v>0</v>
      </c>
      <c r="AE51" s="0" t="n">
        <f aca="false">(SUMIFS('Payment Breakdown Current'!$AA$15:$AA$104,'Payment Breakdown Current'!$AE$15:$AE$104,$A51))-(SUMIFS('Payment Breakdown Prior'!$AA$15:$AA$104,'Payment Breakdown Prior'!$AE$15:$AE$104,$A51))</f>
        <v>0</v>
      </c>
      <c r="AF51" s="0" t="n">
        <f aca="false">(SUMIFS('Payment Breakdown Current'!$AB$15:$AB$104,'Payment Breakdown Current'!$AE$15:$AE$104,$A51))-(SUMIFS('Payment Breakdown Prior'!$AB$15:$AB$104,'Payment Breakdown Prior'!$AE$15:$AE$104,$A51))</f>
        <v>0</v>
      </c>
      <c r="AG51" s="0" t="n">
        <f aca="false">(SUMIFS('Payment Breakdown Current'!$AC$15:$AC$104,'Payment Breakdown Current'!$AE$15:$AE$104,$A51))-(SUMIFS('Payment Breakdown Prior'!$AC$15:$AC$104,'Payment Breakdown Prior'!$AE$15:$AE$104,$A51))</f>
        <v>0</v>
      </c>
      <c r="AH51" s="0" t="n">
        <f aca="false">(SUMIFS('Payment Breakdown Current'!$AD$15:$AD$104,'Payment Breakdown Current'!$AE$15:$AE$104,$A51))-(SUMIFS('Payment Breakdown Prior'!$AD$15:$AD$104,'Payment Breakdown Prior'!$AE$15:$AE$104,$A51))</f>
        <v>0</v>
      </c>
      <c r="AI51" s="0" t="n">
        <f aca="false">MAX(ABS(W51),ABS(X51),ABS(Y51),ABS(Z51),ABS(AA51),ABS(AB51),ABS(AC51),ABS(AD51),ABS(AE51),ABS(AF51),ABS(AG51),ABS(AH51))</f>
        <v>197.03</v>
      </c>
      <c r="AJ51" s="0" t="str">
        <f aca="false">IF(AI51&lt;0.005,"",IF(ABS(W51)=AI51,W$1,IF(ABS(X51)=AI51,X$1,IF(ABS(Y51)=AI51,Y$1,IF(ABS(Z51)=AI51,Z$1,IF(ABS(AA51)=AI51,AA$1,IF(ABS(AB51)=AI51,AB$1,IF(ABS(AC51)=AI51,AC$1,IF(ABS(AD51)=AI51,AD$1,IF(ABS(AE51)=AI51,AE$1,IF(ABS(AF51)=AI51,AF$1,IF(ABS(AG51)=AI51,AG$1,IF(ABS(AH51)=AI51,AH$1,"")))))))))))))</f>
        <v>Basic Salary</v>
      </c>
      <c r="AK51" s="0" t="n">
        <f aca="false">IF(AI51&lt;0.005,"",IF(ABS(W51)=AI51,W51,IF(ABS(X51)=AI51,X51,IF(ABS(Y51)=AI51,Y51,IF(ABS(Z51)=AI51,Z51,IF(ABS(AA51)=AI51,AA51,IF(ABS(AB51)=AI51,AB51,IF(ABS(AC51)=AI51,AC51,IF(ABS(AD51)=AI51,AD51,IF(ABS(AE51)=AI51,AE51,IF(ABS(AF51)=AI51,AF51,IF(ABS(AG51)=AI51,AG51,IF(ABS(AH51)=AI51,AH51,"")))))))))))))</f>
        <v>197.03</v>
      </c>
      <c r="AL51" s="0" t="str">
        <f aca="false">IF(R51=1,ABS(L51)-ROW()/100000000,"")</f>
        <v/>
      </c>
    </row>
    <row r="52" customFormat="false" ht="15" hidden="false" customHeight="false" outlineLevel="0" collapsed="false">
      <c r="A52" s="0" t="str">
        <f aca="false">IF('NPV Comparison'!D65="","",'NPV Comparison'!D65)</f>
        <v>P42271</v>
      </c>
      <c r="B52" s="13" t="n">
        <f aca="false">IF('NPV Comparison'!E65="","",'NPV Comparison'!E65)</f>
        <v>215.94</v>
      </c>
      <c r="C52" s="13" t="n">
        <f aca="false">IF('NPV Comparison'!F65="","",'NPV Comparison'!F65)</f>
        <v>374.74</v>
      </c>
      <c r="D52" s="0" t="str">
        <f aca="false">IF($A52="","",IFERROR(INDEX(Structure!$E$13:$E$312,MATCH($A52,Structure!$P$13:$P$312,0)),""))</f>
        <v>Oakfield Dental Practice</v>
      </c>
      <c r="E52" s="0" t="n">
        <f aca="false">IF($A52="",0,IF(COUNTIF(Structure!$P$13:$P$312,$A52)=0,0,IF(COUNTIFS(Structure!$P$13:$P$312,$A52,Structure!$N$13:$N$312,"&lt;&gt;Zero Hours")=0,1,0)))</f>
        <v>1</v>
      </c>
      <c r="F52" s="0" t="n">
        <f aca="false">IF($A52="",0,1-E52)</f>
        <v>0</v>
      </c>
      <c r="G52" s="0" t="n">
        <f aca="false">IF($A52="",0,IF(COUNTIF('New Starters'!$D$14:$D$73,$A52)&gt;0,1,0))</f>
        <v>0</v>
      </c>
      <c r="H52" s="0" t="n">
        <f aca="false">IF($A52="",0,IF(COUNTIF(Leavers!$D$12:$D$71,$A52)&gt;0,1,0))</f>
        <v>0</v>
      </c>
      <c r="I52" s="0" t="str">
        <f aca="false">IF($A52="","",IFERROR(INDEX('New Starters'!$K$14:$K$73,MATCH($A52,'New Starters'!$D$14:$D$73,0)),IFERROR(INDEX(Leavers!$K$12:$K$71,MATCH($A52,Leavers!$D$12:$D$71,0)),"")))</f>
        <v/>
      </c>
      <c r="J52" s="0" t="n">
        <f aca="false">IF(AND(G52=1,I52&lt;&gt;"",COUNTIF(Leavers!$K$12:$K$71,I52)&gt;0),1,IF(AND(H52=1,I52&lt;&gt;"",COUNTIF('New Starters'!$K$14:$K$73,I52)&gt;0),1,0))</f>
        <v>0</v>
      </c>
      <c r="K52" s="14" t="n">
        <f aca="false">IF(ISNUMBER(SEARCH("Head Office",D52)),'Control Sheet'!$C$6,'Control Sheet'!$C$5)</f>
        <v>0.2</v>
      </c>
      <c r="L52" s="0" t="n">
        <f aca="false">IF(OR($A52="",AND(B52="",C52="")),"",IF(B52="",C52,IF(C52="",-B52,C52-B52)))</f>
        <v>158.8</v>
      </c>
      <c r="M52" s="0" t="n">
        <f aca="false">IFERROR(L52/B52,"")</f>
        <v>0.735389460035195</v>
      </c>
      <c r="N52" s="0" t="n">
        <f aca="false">IF($A52="",0,IF(OR(B52="",C52="",C52=0,IF(ISNUMBER(M52),ABS(M52)&gt;K52,FALSE())),1,0))</f>
        <v>1</v>
      </c>
      <c r="O52" s="0" t="n">
        <f aca="false">IF(OR($A52="",L52=""),0,IF(AND(N52=1,ABS(L52)&gt;='Control Sheet'!$C$7,F52=1),1,0))</f>
        <v>0</v>
      </c>
      <c r="P52" s="0" t="str">
        <f aca="false">IF($A52="","",IF(F52=0,"Zero Hours",IF(J52=1,"Explained: Paired transfer",IF(AND(G52=1,H52=0,J52=0),"Explained: Starter",IF(AND(H52=1,G52=0,J52=0),"Explained: Leaver",IF(O52=1,"Review required","OK"))))))</f>
        <v>Zero Hours</v>
      </c>
      <c r="Q52" s="0" t="n">
        <f aca="false">IF(AND(F52=1,OR(C52="",C52=0),H52=0,J52=0),1,0)</f>
        <v>0</v>
      </c>
      <c r="R52" s="0" t="n">
        <f aca="false">IF(F52=0,0,IF(P52="Review required",1,IF(AND(P52="Explained: Starter",ISNUMBER(C52),C52&gt;=1500),1,0)))</f>
        <v>0</v>
      </c>
      <c r="S52" s="0" t="str">
        <f aca="false">IF(R52=0,"",IF(Q52=1,"High",IF(AND(P52="Explained: Starter",C52&gt;=1500),"High",IF(ABS(L52)&gt;=2000,"High",IF(ABS(L52)&gt;=500,"Medium","Low")))))</f>
        <v/>
      </c>
      <c r="T52" s="0" t="n">
        <f aca="false">SUMIFS('Payment Breakdown Prior'!$S$15:$S$104,'Payment Breakdown Prior'!$AE$15:$AE$104,$A52)</f>
        <v>215.94</v>
      </c>
      <c r="U52" s="0" t="n">
        <f aca="false">SUMIFS('Payment Breakdown Current'!$S$15:$S$104,'Payment Breakdown Current'!$AE$15:$AE$104,$A52)</f>
        <v>374.74</v>
      </c>
      <c r="V52" s="0" t="n">
        <f aca="false">IFERROR((U52-T52)/T52,"")</f>
        <v>0.735389460035195</v>
      </c>
      <c r="W52" s="0" t="n">
        <f aca="false">(SUMIFS('Payment Breakdown Current'!$S$15:$S$104,'Payment Breakdown Current'!$AE$15:$AE$104,$A52))-(SUMIFS('Payment Breakdown Prior'!$S$15:$S$104,'Payment Breakdown Prior'!$AE$15:$AE$104,$A52))</f>
        <v>158.8</v>
      </c>
      <c r="X52" s="0" t="n">
        <f aca="false">(SUMIFS('Payment Breakdown Current'!$T$15:$T$104,'Payment Breakdown Current'!$AE$15:$AE$104,$A52))-(SUMIFS('Payment Breakdown Prior'!$T$15:$T$104,'Payment Breakdown Prior'!$AE$15:$AE$104,$A52))</f>
        <v>0</v>
      </c>
      <c r="Y52" s="0" t="n">
        <f aca="false">(SUMIFS('Payment Breakdown Current'!$U$15:$U$104,'Payment Breakdown Current'!$AE$15:$AE$104,$A52))-(SUMIFS('Payment Breakdown Prior'!$U$15:$U$104,'Payment Breakdown Prior'!$AE$15:$AE$104,$A52))</f>
        <v>0</v>
      </c>
      <c r="Z52" s="0" t="n">
        <f aca="false">(SUMIFS('Payment Breakdown Current'!$V$15:$V$104,'Payment Breakdown Current'!$AE$15:$AE$104,$A52))-(SUMIFS('Payment Breakdown Prior'!$V$15:$V$104,'Payment Breakdown Prior'!$AE$15:$AE$104,$A52))</f>
        <v>0</v>
      </c>
      <c r="AA52" s="0" t="n">
        <f aca="false">(SUMIFS('Payment Breakdown Current'!$W$15:$W$104,'Payment Breakdown Current'!$AE$15:$AE$104,$A52))-(SUMIFS('Payment Breakdown Prior'!$W$15:$W$104,'Payment Breakdown Prior'!$AE$15:$AE$104,$A52))</f>
        <v>0</v>
      </c>
      <c r="AB52" s="0" t="n">
        <f aca="false">(SUMIFS('Payment Breakdown Current'!$X$15:$X$104,'Payment Breakdown Current'!$AE$15:$AE$104,$A52))-(SUMIFS('Payment Breakdown Prior'!$X$15:$X$104,'Payment Breakdown Prior'!$AE$15:$AE$104,$A52))</f>
        <v>0</v>
      </c>
      <c r="AC52" s="0" t="n">
        <f aca="false">(SUMIFS('Payment Breakdown Current'!$Y$15:$Y$104,'Payment Breakdown Current'!$AE$15:$AE$104,$A52))-(SUMIFS('Payment Breakdown Prior'!$Y$15:$Y$104,'Payment Breakdown Prior'!$AE$15:$AE$104,$A52))</f>
        <v>0</v>
      </c>
      <c r="AD52" s="0" t="n">
        <f aca="false">(SUMIFS('Payment Breakdown Current'!$Z$15:$Z$104,'Payment Breakdown Current'!$AE$15:$AE$104,$A52))-(SUMIFS('Payment Breakdown Prior'!$Z$15:$Z$104,'Payment Breakdown Prior'!$AE$15:$AE$104,$A52))</f>
        <v>0</v>
      </c>
      <c r="AE52" s="0" t="n">
        <f aca="false">(SUMIFS('Payment Breakdown Current'!$AA$15:$AA$104,'Payment Breakdown Current'!$AE$15:$AE$104,$A52))-(SUMIFS('Payment Breakdown Prior'!$AA$15:$AA$104,'Payment Breakdown Prior'!$AE$15:$AE$104,$A52))</f>
        <v>0</v>
      </c>
      <c r="AF52" s="0" t="n">
        <f aca="false">(SUMIFS('Payment Breakdown Current'!$AB$15:$AB$104,'Payment Breakdown Current'!$AE$15:$AE$104,$A52))-(SUMIFS('Payment Breakdown Prior'!$AB$15:$AB$104,'Payment Breakdown Prior'!$AE$15:$AE$104,$A52))</f>
        <v>0</v>
      </c>
      <c r="AG52" s="0" t="n">
        <f aca="false">(SUMIFS('Payment Breakdown Current'!$AC$15:$AC$104,'Payment Breakdown Current'!$AE$15:$AE$104,$A52))-(SUMIFS('Payment Breakdown Prior'!$AC$15:$AC$104,'Payment Breakdown Prior'!$AE$15:$AE$104,$A52))</f>
        <v>0</v>
      </c>
      <c r="AH52" s="0" t="n">
        <f aca="false">(SUMIFS('Payment Breakdown Current'!$AD$15:$AD$104,'Payment Breakdown Current'!$AE$15:$AE$104,$A52))-(SUMIFS('Payment Breakdown Prior'!$AD$15:$AD$104,'Payment Breakdown Prior'!$AE$15:$AE$104,$A52))</f>
        <v>0</v>
      </c>
      <c r="AI52" s="0" t="n">
        <f aca="false">MAX(ABS(W52),ABS(X52),ABS(Y52),ABS(Z52),ABS(AA52),ABS(AB52),ABS(AC52),ABS(AD52),ABS(AE52),ABS(AF52),ABS(AG52),ABS(AH52))</f>
        <v>158.8</v>
      </c>
      <c r="AJ52" s="0" t="str">
        <f aca="false">IF(AI52&lt;0.005,"",IF(ABS(W52)=AI52,W$1,IF(ABS(X52)=AI52,X$1,IF(ABS(Y52)=AI52,Y$1,IF(ABS(Z52)=AI52,Z$1,IF(ABS(AA52)=AI52,AA$1,IF(ABS(AB52)=AI52,AB$1,IF(ABS(AC52)=AI52,AC$1,IF(ABS(AD52)=AI52,AD$1,IF(ABS(AE52)=AI52,AE$1,IF(ABS(AF52)=AI52,AF$1,IF(ABS(AG52)=AI52,AG$1,IF(ABS(AH52)=AI52,AH$1,"")))))))))))))</f>
        <v>Basic Salary</v>
      </c>
      <c r="AK52" s="0" t="n">
        <f aca="false">IF(AI52&lt;0.005,"",IF(ABS(W52)=AI52,W52,IF(ABS(X52)=AI52,X52,IF(ABS(Y52)=AI52,Y52,IF(ABS(Z52)=AI52,Z52,IF(ABS(AA52)=AI52,AA52,IF(ABS(AB52)=AI52,AB52,IF(ABS(AC52)=AI52,AC52,IF(ABS(AD52)=AI52,AD52,IF(ABS(AE52)=AI52,AE52,IF(ABS(AF52)=AI52,AF52,IF(ABS(AG52)=AI52,AG52,IF(ABS(AH52)=AI52,AH52,"")))))))))))))</f>
        <v>158.8</v>
      </c>
      <c r="AL52" s="0" t="str">
        <f aca="false">IF(R52=1,ABS(L52)-ROW()/100000000,"")</f>
        <v/>
      </c>
    </row>
    <row r="53" customFormat="false" ht="15" hidden="false" customHeight="false" outlineLevel="0" collapsed="false">
      <c r="A53" s="0" t="str">
        <f aca="false">IF('NPV Comparison'!D66="","",'NPV Comparison'!D66)</f>
        <v>P86503</v>
      </c>
      <c r="B53" s="13" t="n">
        <f aca="false">IF('NPV Comparison'!E66="","",'NPV Comparison'!E66)</f>
        <v>490.66</v>
      </c>
      <c r="C53" s="13" t="n">
        <f aca="false">IF('NPV Comparison'!F66="","",'NPV Comparison'!F66)</f>
        <v>504.81</v>
      </c>
      <c r="D53" s="0" t="str">
        <f aca="false">IF($A53="","",IFERROR(INDEX(Structure!$E$13:$E$312,MATCH($A53,Structure!$P$13:$P$312,0)),""))</f>
        <v>Riverside Dental Practice</v>
      </c>
      <c r="E53" s="0" t="n">
        <f aca="false">IF($A53="",0,IF(COUNTIF(Structure!$P$13:$P$312,$A53)=0,0,IF(COUNTIFS(Structure!$P$13:$P$312,$A53,Structure!$N$13:$N$312,"&lt;&gt;Zero Hours")=0,1,0)))</f>
        <v>1</v>
      </c>
      <c r="F53" s="0" t="n">
        <f aca="false">IF($A53="",0,1-E53)</f>
        <v>0</v>
      </c>
      <c r="G53" s="0" t="n">
        <f aca="false">IF($A53="",0,IF(COUNTIF('New Starters'!$D$14:$D$73,$A53)&gt;0,1,0))</f>
        <v>0</v>
      </c>
      <c r="H53" s="0" t="n">
        <f aca="false">IF($A53="",0,IF(COUNTIF(Leavers!$D$12:$D$71,$A53)&gt;0,1,0))</f>
        <v>0</v>
      </c>
      <c r="I53" s="0" t="str">
        <f aca="false">IF($A53="","",IFERROR(INDEX('New Starters'!$K$14:$K$73,MATCH($A53,'New Starters'!$D$14:$D$73,0)),IFERROR(INDEX(Leavers!$K$12:$K$71,MATCH($A53,Leavers!$D$12:$D$71,0)),"")))</f>
        <v/>
      </c>
      <c r="J53" s="0" t="n">
        <f aca="false">IF(AND(G53=1,I53&lt;&gt;"",COUNTIF(Leavers!$K$12:$K$71,I53)&gt;0),1,IF(AND(H53=1,I53&lt;&gt;"",COUNTIF('New Starters'!$K$14:$K$73,I53)&gt;0),1,0))</f>
        <v>0</v>
      </c>
      <c r="K53" s="14" t="n">
        <f aca="false">IF(ISNUMBER(SEARCH("Head Office",D53)),'Control Sheet'!$C$6,'Control Sheet'!$C$5)</f>
        <v>0.2</v>
      </c>
      <c r="L53" s="0" t="n">
        <f aca="false">IF(OR($A53="",AND(B53="",C53="")),"",IF(B53="",C53,IF(C53="",-B53,C53-B53)))</f>
        <v>14.15</v>
      </c>
      <c r="M53" s="0" t="n">
        <f aca="false">IFERROR(L53/B53,"")</f>
        <v>0.0288387070476501</v>
      </c>
      <c r="N53" s="0" t="n">
        <f aca="false">IF($A53="",0,IF(OR(B53="",C53="",C53=0,IF(ISNUMBER(M53),ABS(M53)&gt;K53,FALSE())),1,0))</f>
        <v>0</v>
      </c>
      <c r="O53" s="0" t="n">
        <f aca="false">IF(OR($A53="",L53=""),0,IF(AND(N53=1,ABS(L53)&gt;='Control Sheet'!$C$7,F53=1),1,0))</f>
        <v>0</v>
      </c>
      <c r="P53" s="0" t="str">
        <f aca="false">IF($A53="","",IF(F53=0,"Zero Hours",IF(J53=1,"Explained: Paired transfer",IF(AND(G53=1,H53=0,J53=0),"Explained: Starter",IF(AND(H53=1,G53=0,J53=0),"Explained: Leaver",IF(O53=1,"Review required","OK"))))))</f>
        <v>Zero Hours</v>
      </c>
      <c r="Q53" s="0" t="n">
        <f aca="false">IF(AND(F53=1,OR(C53="",C53=0),H53=0,J53=0),1,0)</f>
        <v>0</v>
      </c>
      <c r="R53" s="0" t="n">
        <f aca="false">IF(F53=0,0,IF(P53="Review required",1,IF(AND(P53="Explained: Starter",ISNUMBER(C53),C53&gt;=1500),1,0)))</f>
        <v>0</v>
      </c>
      <c r="S53" s="0" t="str">
        <f aca="false">IF(R53=0,"",IF(Q53=1,"High",IF(AND(P53="Explained: Starter",C53&gt;=1500),"High",IF(ABS(L53)&gt;=2000,"High",IF(ABS(L53)&gt;=500,"Medium","Low")))))</f>
        <v/>
      </c>
      <c r="T53" s="0" t="n">
        <f aca="false">SUMIFS('Payment Breakdown Prior'!$S$15:$S$104,'Payment Breakdown Prior'!$AE$15:$AE$104,$A53)</f>
        <v>490.66</v>
      </c>
      <c r="U53" s="0" t="n">
        <f aca="false">SUMIFS('Payment Breakdown Current'!$S$15:$S$104,'Payment Breakdown Current'!$AE$15:$AE$104,$A53)</f>
        <v>504.81</v>
      </c>
      <c r="V53" s="0" t="n">
        <f aca="false">IFERROR((U53-T53)/T53,"")</f>
        <v>0.0288387070476501</v>
      </c>
      <c r="W53" s="0" t="n">
        <f aca="false">(SUMIFS('Payment Breakdown Current'!$S$15:$S$104,'Payment Breakdown Current'!$AE$15:$AE$104,$A53))-(SUMIFS('Payment Breakdown Prior'!$S$15:$S$104,'Payment Breakdown Prior'!$AE$15:$AE$104,$A53))</f>
        <v>14.15</v>
      </c>
      <c r="X53" s="0" t="n">
        <f aca="false">(SUMIFS('Payment Breakdown Current'!$T$15:$T$104,'Payment Breakdown Current'!$AE$15:$AE$104,$A53))-(SUMIFS('Payment Breakdown Prior'!$T$15:$T$104,'Payment Breakdown Prior'!$AE$15:$AE$104,$A53))</f>
        <v>0</v>
      </c>
      <c r="Y53" s="0" t="n">
        <f aca="false">(SUMIFS('Payment Breakdown Current'!$U$15:$U$104,'Payment Breakdown Current'!$AE$15:$AE$104,$A53))-(SUMIFS('Payment Breakdown Prior'!$U$15:$U$104,'Payment Breakdown Prior'!$AE$15:$AE$104,$A53))</f>
        <v>0</v>
      </c>
      <c r="Z53" s="0" t="n">
        <f aca="false">(SUMIFS('Payment Breakdown Current'!$V$15:$V$104,'Payment Breakdown Current'!$AE$15:$AE$104,$A53))-(SUMIFS('Payment Breakdown Prior'!$V$15:$V$104,'Payment Breakdown Prior'!$AE$15:$AE$104,$A53))</f>
        <v>0</v>
      </c>
      <c r="AA53" s="0" t="n">
        <f aca="false">(SUMIFS('Payment Breakdown Current'!$W$15:$W$104,'Payment Breakdown Current'!$AE$15:$AE$104,$A53))-(SUMIFS('Payment Breakdown Prior'!$W$15:$W$104,'Payment Breakdown Prior'!$AE$15:$AE$104,$A53))</f>
        <v>0</v>
      </c>
      <c r="AB53" s="0" t="n">
        <f aca="false">(SUMIFS('Payment Breakdown Current'!$X$15:$X$104,'Payment Breakdown Current'!$AE$15:$AE$104,$A53))-(SUMIFS('Payment Breakdown Prior'!$X$15:$X$104,'Payment Breakdown Prior'!$AE$15:$AE$104,$A53))</f>
        <v>0</v>
      </c>
      <c r="AC53" s="0" t="n">
        <f aca="false">(SUMIFS('Payment Breakdown Current'!$Y$15:$Y$104,'Payment Breakdown Current'!$AE$15:$AE$104,$A53))-(SUMIFS('Payment Breakdown Prior'!$Y$15:$Y$104,'Payment Breakdown Prior'!$AE$15:$AE$104,$A53))</f>
        <v>0</v>
      </c>
      <c r="AD53" s="0" t="n">
        <f aca="false">(SUMIFS('Payment Breakdown Current'!$Z$15:$Z$104,'Payment Breakdown Current'!$AE$15:$AE$104,$A53))-(SUMIFS('Payment Breakdown Prior'!$Z$15:$Z$104,'Payment Breakdown Prior'!$AE$15:$AE$104,$A53))</f>
        <v>0</v>
      </c>
      <c r="AE53" s="0" t="n">
        <f aca="false">(SUMIFS('Payment Breakdown Current'!$AA$15:$AA$104,'Payment Breakdown Current'!$AE$15:$AE$104,$A53))-(SUMIFS('Payment Breakdown Prior'!$AA$15:$AA$104,'Payment Breakdown Prior'!$AE$15:$AE$104,$A53))</f>
        <v>0</v>
      </c>
      <c r="AF53" s="0" t="n">
        <f aca="false">(SUMIFS('Payment Breakdown Current'!$AB$15:$AB$104,'Payment Breakdown Current'!$AE$15:$AE$104,$A53))-(SUMIFS('Payment Breakdown Prior'!$AB$15:$AB$104,'Payment Breakdown Prior'!$AE$15:$AE$104,$A53))</f>
        <v>0</v>
      </c>
      <c r="AG53" s="0" t="n">
        <f aca="false">(SUMIFS('Payment Breakdown Current'!$AC$15:$AC$104,'Payment Breakdown Current'!$AE$15:$AE$104,$A53))-(SUMIFS('Payment Breakdown Prior'!$AC$15:$AC$104,'Payment Breakdown Prior'!$AE$15:$AE$104,$A53))</f>
        <v>0</v>
      </c>
      <c r="AH53" s="0" t="n">
        <f aca="false">(SUMIFS('Payment Breakdown Current'!$AD$15:$AD$104,'Payment Breakdown Current'!$AE$15:$AE$104,$A53))-(SUMIFS('Payment Breakdown Prior'!$AD$15:$AD$104,'Payment Breakdown Prior'!$AE$15:$AE$104,$A53))</f>
        <v>0</v>
      </c>
      <c r="AI53" s="0" t="n">
        <f aca="false">MAX(ABS(W53),ABS(X53),ABS(Y53),ABS(Z53),ABS(AA53),ABS(AB53),ABS(AC53),ABS(AD53),ABS(AE53),ABS(AF53),ABS(AG53),ABS(AH53))</f>
        <v>14.15</v>
      </c>
      <c r="AJ53" s="0" t="str">
        <f aca="false">IF(AI53&lt;0.005,"",IF(ABS(W53)=AI53,W$1,IF(ABS(X53)=AI53,X$1,IF(ABS(Y53)=AI53,Y$1,IF(ABS(Z53)=AI53,Z$1,IF(ABS(AA53)=AI53,AA$1,IF(ABS(AB53)=AI53,AB$1,IF(ABS(AC53)=AI53,AC$1,IF(ABS(AD53)=AI53,AD$1,IF(ABS(AE53)=AI53,AE$1,IF(ABS(AF53)=AI53,AF$1,IF(ABS(AG53)=AI53,AG$1,IF(ABS(AH53)=AI53,AH$1,"")))))))))))))</f>
        <v>Basic Salary</v>
      </c>
      <c r="AK53" s="0" t="n">
        <f aca="false">IF(AI53&lt;0.005,"",IF(ABS(W53)=AI53,W53,IF(ABS(X53)=AI53,X53,IF(ABS(Y53)=AI53,Y53,IF(ABS(Z53)=AI53,Z53,IF(ABS(AA53)=AI53,AA53,IF(ABS(AB53)=AI53,AB53,IF(ABS(AC53)=AI53,AC53,IF(ABS(AD53)=AI53,AD53,IF(ABS(AE53)=AI53,AE53,IF(ABS(AF53)=AI53,AF53,IF(ABS(AG53)=AI53,AG53,IF(ABS(AH53)=AI53,AH53,"")))))))))))))</f>
        <v>14.15</v>
      </c>
      <c r="AL53" s="0" t="str">
        <f aca="false">IF(R53=1,ABS(L53)-ROW()/100000000,"")</f>
        <v/>
      </c>
    </row>
    <row r="54" customFormat="false" ht="15" hidden="false" customHeight="false" outlineLevel="0" collapsed="false">
      <c r="A54" s="0" t="str">
        <f aca="false">IF('NPV Comparison'!D67="","",'NPV Comparison'!D67)</f>
        <v>P44814</v>
      </c>
      <c r="B54" s="13" t="n">
        <f aca="false">IF('NPV Comparison'!E67="","",'NPV Comparison'!E67)</f>
        <v>2335.78</v>
      </c>
      <c r="C54" s="13" t="n">
        <f aca="false">IF('NPV Comparison'!F67="","",'NPV Comparison'!F67)</f>
        <v>2314.39</v>
      </c>
      <c r="D54" s="0" t="str">
        <f aca="false">IF($A54="","",IFERROR(INDEX(Structure!$E$13:$E$312,MATCH($A54,Structure!$P$13:$P$312,0)),""))</f>
        <v>Elm Park Dental Practice</v>
      </c>
      <c r="E54" s="0" t="n">
        <f aca="false">IF($A54="",0,IF(COUNTIF(Structure!$P$13:$P$312,$A54)=0,0,IF(COUNTIFS(Structure!$P$13:$P$312,$A54,Structure!$N$13:$N$312,"&lt;&gt;Zero Hours")=0,1,0)))</f>
        <v>0</v>
      </c>
      <c r="F54" s="0" t="n">
        <f aca="false">IF($A54="",0,1-E54)</f>
        <v>1</v>
      </c>
      <c r="G54" s="0" t="n">
        <f aca="false">IF($A54="",0,IF(COUNTIF('New Starters'!$D$14:$D$73,$A54)&gt;0,1,0))</f>
        <v>0</v>
      </c>
      <c r="H54" s="0" t="n">
        <f aca="false">IF($A54="",0,IF(COUNTIF(Leavers!$D$12:$D$71,$A54)&gt;0,1,0))</f>
        <v>0</v>
      </c>
      <c r="I54" s="0" t="str">
        <f aca="false">IF($A54="","",IFERROR(INDEX('New Starters'!$K$14:$K$73,MATCH($A54,'New Starters'!$D$14:$D$73,0)),IFERROR(INDEX(Leavers!$K$12:$K$71,MATCH($A54,Leavers!$D$12:$D$71,0)),"")))</f>
        <v/>
      </c>
      <c r="J54" s="0" t="n">
        <f aca="false">IF(AND(G54=1,I54&lt;&gt;"",COUNTIF(Leavers!$K$12:$K$71,I54)&gt;0),1,IF(AND(H54=1,I54&lt;&gt;"",COUNTIF('New Starters'!$K$14:$K$73,I54)&gt;0),1,0))</f>
        <v>0</v>
      </c>
      <c r="K54" s="14" t="n">
        <f aca="false">IF(ISNUMBER(SEARCH("Head Office",D54)),'Control Sheet'!$C$6,'Control Sheet'!$C$5)</f>
        <v>0.2</v>
      </c>
      <c r="L54" s="0" t="n">
        <f aca="false">IF(OR($A54="",AND(B54="",C54="")),"",IF(B54="",C54,IF(C54="",-B54,C54-B54)))</f>
        <v>-21.3900000000003</v>
      </c>
      <c r="M54" s="0" t="n">
        <f aca="false">IFERROR(L54/B54,"")</f>
        <v>-0.00915754052179586</v>
      </c>
      <c r="N54" s="0" t="n">
        <f aca="false">IF($A54="",0,IF(OR(B54="",C54="",C54=0,IF(ISNUMBER(M54),ABS(M54)&gt;K54,FALSE())),1,0))</f>
        <v>0</v>
      </c>
      <c r="O54" s="0" t="n">
        <f aca="false">IF(OR($A54="",L54=""),0,IF(AND(N54=1,ABS(L54)&gt;='Control Sheet'!$C$7,F54=1),1,0))</f>
        <v>0</v>
      </c>
      <c r="P54" s="0" t="str">
        <f aca="false">IF($A54="","",IF(F54=0,"Zero Hours",IF(J54=1,"Explained: Paired transfer",IF(AND(G54=1,H54=0,J54=0),"Explained: Starter",IF(AND(H54=1,G54=0,J54=0),"Explained: Leaver",IF(O54=1,"Review required","OK"))))))</f>
        <v>OK</v>
      </c>
      <c r="Q54" s="0" t="n">
        <f aca="false">IF(AND(F54=1,OR(C54="",C54=0),H54=0,J54=0),1,0)</f>
        <v>0</v>
      </c>
      <c r="R54" s="0" t="n">
        <f aca="false">IF(F54=0,0,IF(P54="Review required",1,IF(AND(P54="Explained: Starter",ISNUMBER(C54),C54&gt;=1500),1,0)))</f>
        <v>0</v>
      </c>
      <c r="S54" s="0" t="str">
        <f aca="false">IF(R54=0,"",IF(Q54=1,"High",IF(AND(P54="Explained: Starter",C54&gt;=1500),"High",IF(ABS(L54)&gt;=2000,"High",IF(ABS(L54)&gt;=500,"Medium","Low")))))</f>
        <v/>
      </c>
      <c r="T54" s="0" t="n">
        <f aca="false">SUMIFS('Payment Breakdown Prior'!$S$15:$S$104,'Payment Breakdown Prior'!$AE$15:$AE$104,$A54)</f>
        <v>3036.52</v>
      </c>
      <c r="U54" s="0" t="n">
        <f aca="false">SUMIFS('Payment Breakdown Current'!$S$15:$S$104,'Payment Breakdown Current'!$AE$15:$AE$104,$A54)</f>
        <v>3008.71</v>
      </c>
      <c r="V54" s="0" t="n">
        <f aca="false">IFERROR((U54-T54)/T54,"")</f>
        <v>-0.00915851040006321</v>
      </c>
      <c r="W54" s="0" t="n">
        <f aca="false">(SUMIFS('Payment Breakdown Current'!$S$15:$S$104,'Payment Breakdown Current'!$AE$15:$AE$104,$A54))-(SUMIFS('Payment Breakdown Prior'!$S$15:$S$104,'Payment Breakdown Prior'!$AE$15:$AE$104,$A54))</f>
        <v>-27.8099999999999</v>
      </c>
      <c r="X54" s="0" t="n">
        <f aca="false">(SUMIFS('Payment Breakdown Current'!$T$15:$T$104,'Payment Breakdown Current'!$AE$15:$AE$104,$A54))-(SUMIFS('Payment Breakdown Prior'!$T$15:$T$104,'Payment Breakdown Prior'!$AE$15:$AE$104,$A54))</f>
        <v>0</v>
      </c>
      <c r="Y54" s="0" t="n">
        <f aca="false">(SUMIFS('Payment Breakdown Current'!$U$15:$U$104,'Payment Breakdown Current'!$AE$15:$AE$104,$A54))-(SUMIFS('Payment Breakdown Prior'!$U$15:$U$104,'Payment Breakdown Prior'!$AE$15:$AE$104,$A54))</f>
        <v>0</v>
      </c>
      <c r="Z54" s="0" t="n">
        <f aca="false">(SUMIFS('Payment Breakdown Current'!$V$15:$V$104,'Payment Breakdown Current'!$AE$15:$AE$104,$A54))-(SUMIFS('Payment Breakdown Prior'!$V$15:$V$104,'Payment Breakdown Prior'!$AE$15:$AE$104,$A54))</f>
        <v>0</v>
      </c>
      <c r="AA54" s="0" t="n">
        <f aca="false">(SUMIFS('Payment Breakdown Current'!$W$15:$W$104,'Payment Breakdown Current'!$AE$15:$AE$104,$A54))-(SUMIFS('Payment Breakdown Prior'!$W$15:$W$104,'Payment Breakdown Prior'!$AE$15:$AE$104,$A54))</f>
        <v>0</v>
      </c>
      <c r="AB54" s="0" t="n">
        <f aca="false">(SUMIFS('Payment Breakdown Current'!$X$15:$X$104,'Payment Breakdown Current'!$AE$15:$AE$104,$A54))-(SUMIFS('Payment Breakdown Prior'!$X$15:$X$104,'Payment Breakdown Prior'!$AE$15:$AE$104,$A54))</f>
        <v>0</v>
      </c>
      <c r="AC54" s="0" t="n">
        <f aca="false">(SUMIFS('Payment Breakdown Current'!$Y$15:$Y$104,'Payment Breakdown Current'!$AE$15:$AE$104,$A54))-(SUMIFS('Payment Breakdown Prior'!$Y$15:$Y$104,'Payment Breakdown Prior'!$AE$15:$AE$104,$A54))</f>
        <v>0</v>
      </c>
      <c r="AD54" s="0" t="n">
        <f aca="false">(SUMIFS('Payment Breakdown Current'!$Z$15:$Z$104,'Payment Breakdown Current'!$AE$15:$AE$104,$A54))-(SUMIFS('Payment Breakdown Prior'!$Z$15:$Z$104,'Payment Breakdown Prior'!$AE$15:$AE$104,$A54))</f>
        <v>0</v>
      </c>
      <c r="AE54" s="0" t="n">
        <f aca="false">(SUMIFS('Payment Breakdown Current'!$AA$15:$AA$104,'Payment Breakdown Current'!$AE$15:$AE$104,$A54))-(SUMIFS('Payment Breakdown Prior'!$AA$15:$AA$104,'Payment Breakdown Prior'!$AE$15:$AE$104,$A54))</f>
        <v>0</v>
      </c>
      <c r="AF54" s="0" t="n">
        <f aca="false">(SUMIFS('Payment Breakdown Current'!$AB$15:$AB$104,'Payment Breakdown Current'!$AE$15:$AE$104,$A54))-(SUMIFS('Payment Breakdown Prior'!$AB$15:$AB$104,'Payment Breakdown Prior'!$AE$15:$AE$104,$A54))</f>
        <v>0</v>
      </c>
      <c r="AG54" s="0" t="n">
        <f aca="false">(SUMIFS('Payment Breakdown Current'!$AC$15:$AC$104,'Payment Breakdown Current'!$AE$15:$AE$104,$A54))-(SUMIFS('Payment Breakdown Prior'!$AC$15:$AC$104,'Payment Breakdown Prior'!$AE$15:$AE$104,$A54))</f>
        <v>0</v>
      </c>
      <c r="AH54" s="0" t="n">
        <f aca="false">(SUMIFS('Payment Breakdown Current'!$AD$15:$AD$104,'Payment Breakdown Current'!$AE$15:$AE$104,$A54))-(SUMIFS('Payment Breakdown Prior'!$AD$15:$AD$104,'Payment Breakdown Prior'!$AE$15:$AE$104,$A54))</f>
        <v>0</v>
      </c>
      <c r="AI54" s="0" t="n">
        <f aca="false">MAX(ABS(W54),ABS(X54),ABS(Y54),ABS(Z54),ABS(AA54),ABS(AB54),ABS(AC54),ABS(AD54),ABS(AE54),ABS(AF54),ABS(AG54),ABS(AH54))</f>
        <v>27.8099999999999</v>
      </c>
      <c r="AJ54" s="0" t="str">
        <f aca="false">IF(AI54&lt;0.005,"",IF(ABS(W54)=AI54,W$1,IF(ABS(X54)=AI54,X$1,IF(ABS(Y54)=AI54,Y$1,IF(ABS(Z54)=AI54,Z$1,IF(ABS(AA54)=AI54,AA$1,IF(ABS(AB54)=AI54,AB$1,IF(ABS(AC54)=AI54,AC$1,IF(ABS(AD54)=AI54,AD$1,IF(ABS(AE54)=AI54,AE$1,IF(ABS(AF54)=AI54,AF$1,IF(ABS(AG54)=AI54,AG$1,IF(ABS(AH54)=AI54,AH$1,"")))))))))))))</f>
        <v>Basic Salary</v>
      </c>
      <c r="AK54" s="0" t="n">
        <f aca="false">IF(AI54&lt;0.005,"",IF(ABS(W54)=AI54,W54,IF(ABS(X54)=AI54,X54,IF(ABS(Y54)=AI54,Y54,IF(ABS(Z54)=AI54,Z54,IF(ABS(AA54)=AI54,AA54,IF(ABS(AB54)=AI54,AB54,IF(ABS(AC54)=AI54,AC54,IF(ABS(AD54)=AI54,AD54,IF(ABS(AE54)=AI54,AE54,IF(ABS(AF54)=AI54,AF54,IF(ABS(AG54)=AI54,AG54,IF(ABS(AH54)=AI54,AH54,"")))))))))))))</f>
        <v>-27.8099999999999</v>
      </c>
      <c r="AL54" s="0" t="str">
        <f aca="false">IF(R54=1,ABS(L54)-ROW()/100000000,"")</f>
        <v/>
      </c>
    </row>
    <row r="55" customFormat="false" ht="15" hidden="false" customHeight="false" outlineLevel="0" collapsed="false">
      <c r="A55" s="0" t="str">
        <f aca="false">IF('NPV Comparison'!D68="","",'NPV Comparison'!D68)</f>
        <v>P19508</v>
      </c>
      <c r="B55" s="13" t="n">
        <f aca="false">IF('NPV Comparison'!E68="","",'NPV Comparison'!E68)</f>
        <v>2165.78</v>
      </c>
      <c r="C55" s="13" t="n">
        <f aca="false">IF('NPV Comparison'!F68="","",'NPV Comparison'!F68)</f>
        <v>2319.06</v>
      </c>
      <c r="D55" s="0" t="str">
        <f aca="false">IF($A55="","",IFERROR(INDEX(Structure!$E$13:$E$312,MATCH($A55,Structure!$P$13:$P$312,0)),""))</f>
        <v>Oakfield Dental Practice</v>
      </c>
      <c r="E55" s="0" t="n">
        <f aca="false">IF($A55="",0,IF(COUNTIF(Structure!$P$13:$P$312,$A55)=0,0,IF(COUNTIFS(Structure!$P$13:$P$312,$A55,Structure!$N$13:$N$312,"&lt;&gt;Zero Hours")=0,1,0)))</f>
        <v>0</v>
      </c>
      <c r="F55" s="0" t="n">
        <f aca="false">IF($A55="",0,1-E55)</f>
        <v>1</v>
      </c>
      <c r="G55" s="0" t="n">
        <f aca="false">IF($A55="",0,IF(COUNTIF('New Starters'!$D$14:$D$73,$A55)&gt;0,1,0))</f>
        <v>0</v>
      </c>
      <c r="H55" s="0" t="n">
        <f aca="false">IF($A55="",0,IF(COUNTIF(Leavers!$D$12:$D$71,$A55)&gt;0,1,0))</f>
        <v>0</v>
      </c>
      <c r="I55" s="0" t="str">
        <f aca="false">IF($A55="","",IFERROR(INDEX('New Starters'!$K$14:$K$73,MATCH($A55,'New Starters'!$D$14:$D$73,0)),IFERROR(INDEX(Leavers!$K$12:$K$71,MATCH($A55,Leavers!$D$12:$D$71,0)),"")))</f>
        <v/>
      </c>
      <c r="J55" s="0" t="n">
        <f aca="false">IF(AND(G55=1,I55&lt;&gt;"",COUNTIF(Leavers!$K$12:$K$71,I55)&gt;0),1,IF(AND(H55=1,I55&lt;&gt;"",COUNTIF('New Starters'!$K$14:$K$73,I55)&gt;0),1,0))</f>
        <v>0</v>
      </c>
      <c r="K55" s="14" t="n">
        <f aca="false">IF(ISNUMBER(SEARCH("Head Office",D55)),'Control Sheet'!$C$6,'Control Sheet'!$C$5)</f>
        <v>0.2</v>
      </c>
      <c r="L55" s="0" t="n">
        <f aca="false">IF(OR($A55="",AND(B55="",C55="")),"",IF(B55="",C55,IF(C55="",-B55,C55-B55)))</f>
        <v>153.28</v>
      </c>
      <c r="M55" s="0" t="n">
        <f aca="false">IFERROR(L55/B55,"")</f>
        <v>0.0707735781104266</v>
      </c>
      <c r="N55" s="0" t="n">
        <f aca="false">IF($A55="",0,IF(OR(B55="",C55="",C55=0,IF(ISNUMBER(M55),ABS(M55)&gt;K55,FALSE())),1,0))</f>
        <v>0</v>
      </c>
      <c r="O55" s="0" t="n">
        <f aca="false">IF(OR($A55="",L55=""),0,IF(AND(N55=1,ABS(L55)&gt;='Control Sheet'!$C$7,F55=1),1,0))</f>
        <v>0</v>
      </c>
      <c r="P55" s="0" t="str">
        <f aca="false">IF($A55="","",IF(F55=0,"Zero Hours",IF(J55=1,"Explained: Paired transfer",IF(AND(G55=1,H55=0,J55=0),"Explained: Starter",IF(AND(H55=1,G55=0,J55=0),"Explained: Leaver",IF(O55=1,"Review required","OK"))))))</f>
        <v>OK</v>
      </c>
      <c r="Q55" s="0" t="n">
        <f aca="false">IF(AND(F55=1,OR(C55="",C55=0),H55=0,J55=0),1,0)</f>
        <v>0</v>
      </c>
      <c r="R55" s="0" t="n">
        <f aca="false">IF(F55=0,0,IF(P55="Review required",1,IF(AND(P55="Explained: Starter",ISNUMBER(C55),C55&gt;=1500),1,0)))</f>
        <v>0</v>
      </c>
      <c r="S55" s="0" t="str">
        <f aca="false">IF(R55=0,"",IF(Q55=1,"High",IF(AND(P55="Explained: Starter",C55&gt;=1500),"High",IF(ABS(L55)&gt;=2000,"High",IF(ABS(L55)&gt;=500,"Medium","Low")))))</f>
        <v/>
      </c>
      <c r="T55" s="0" t="n">
        <f aca="false">SUMIFS('Payment Breakdown Prior'!$S$15:$S$104,'Payment Breakdown Prior'!$AE$15:$AE$104,$A55)</f>
        <v>2815.51</v>
      </c>
      <c r="U55" s="0" t="n">
        <f aca="false">SUMIFS('Payment Breakdown Current'!$S$15:$S$104,'Payment Breakdown Current'!$AE$15:$AE$104,$A55)</f>
        <v>3014.78</v>
      </c>
      <c r="V55" s="0" t="n">
        <f aca="false">IFERROR((U55-T55)/T55,"")</f>
        <v>0.0707758097112068</v>
      </c>
      <c r="W55" s="0" t="n">
        <f aca="false">(SUMIFS('Payment Breakdown Current'!$S$15:$S$104,'Payment Breakdown Current'!$AE$15:$AE$104,$A55))-(SUMIFS('Payment Breakdown Prior'!$S$15:$S$104,'Payment Breakdown Prior'!$AE$15:$AE$104,$A55))</f>
        <v>199.27</v>
      </c>
      <c r="X55" s="0" t="n">
        <f aca="false">(SUMIFS('Payment Breakdown Current'!$T$15:$T$104,'Payment Breakdown Current'!$AE$15:$AE$104,$A55))-(SUMIFS('Payment Breakdown Prior'!$T$15:$T$104,'Payment Breakdown Prior'!$AE$15:$AE$104,$A55))</f>
        <v>0</v>
      </c>
      <c r="Y55" s="0" t="n">
        <f aca="false">(SUMIFS('Payment Breakdown Current'!$U$15:$U$104,'Payment Breakdown Current'!$AE$15:$AE$104,$A55))-(SUMIFS('Payment Breakdown Prior'!$U$15:$U$104,'Payment Breakdown Prior'!$AE$15:$AE$104,$A55))</f>
        <v>0</v>
      </c>
      <c r="Z55" s="0" t="n">
        <f aca="false">(SUMIFS('Payment Breakdown Current'!$V$15:$V$104,'Payment Breakdown Current'!$AE$15:$AE$104,$A55))-(SUMIFS('Payment Breakdown Prior'!$V$15:$V$104,'Payment Breakdown Prior'!$AE$15:$AE$104,$A55))</f>
        <v>0</v>
      </c>
      <c r="AA55" s="0" t="n">
        <f aca="false">(SUMIFS('Payment Breakdown Current'!$W$15:$W$104,'Payment Breakdown Current'!$AE$15:$AE$104,$A55))-(SUMIFS('Payment Breakdown Prior'!$W$15:$W$104,'Payment Breakdown Prior'!$AE$15:$AE$104,$A55))</f>
        <v>0</v>
      </c>
      <c r="AB55" s="0" t="n">
        <f aca="false">(SUMIFS('Payment Breakdown Current'!$X$15:$X$104,'Payment Breakdown Current'!$AE$15:$AE$104,$A55))-(SUMIFS('Payment Breakdown Prior'!$X$15:$X$104,'Payment Breakdown Prior'!$AE$15:$AE$104,$A55))</f>
        <v>0</v>
      </c>
      <c r="AC55" s="0" t="n">
        <f aca="false">(SUMIFS('Payment Breakdown Current'!$Y$15:$Y$104,'Payment Breakdown Current'!$AE$15:$AE$104,$A55))-(SUMIFS('Payment Breakdown Prior'!$Y$15:$Y$104,'Payment Breakdown Prior'!$AE$15:$AE$104,$A55))</f>
        <v>0</v>
      </c>
      <c r="AD55" s="0" t="n">
        <f aca="false">(SUMIFS('Payment Breakdown Current'!$Z$15:$Z$104,'Payment Breakdown Current'!$AE$15:$AE$104,$A55))-(SUMIFS('Payment Breakdown Prior'!$Z$15:$Z$104,'Payment Breakdown Prior'!$AE$15:$AE$104,$A55))</f>
        <v>0</v>
      </c>
      <c r="AE55" s="0" t="n">
        <f aca="false">(SUMIFS('Payment Breakdown Current'!$AA$15:$AA$104,'Payment Breakdown Current'!$AE$15:$AE$104,$A55))-(SUMIFS('Payment Breakdown Prior'!$AA$15:$AA$104,'Payment Breakdown Prior'!$AE$15:$AE$104,$A55))</f>
        <v>0</v>
      </c>
      <c r="AF55" s="0" t="n">
        <f aca="false">(SUMIFS('Payment Breakdown Current'!$AB$15:$AB$104,'Payment Breakdown Current'!$AE$15:$AE$104,$A55))-(SUMIFS('Payment Breakdown Prior'!$AB$15:$AB$104,'Payment Breakdown Prior'!$AE$15:$AE$104,$A55))</f>
        <v>0</v>
      </c>
      <c r="AG55" s="0" t="n">
        <f aca="false">(SUMIFS('Payment Breakdown Current'!$AC$15:$AC$104,'Payment Breakdown Current'!$AE$15:$AE$104,$A55))-(SUMIFS('Payment Breakdown Prior'!$AC$15:$AC$104,'Payment Breakdown Prior'!$AE$15:$AE$104,$A55))</f>
        <v>0</v>
      </c>
      <c r="AH55" s="0" t="n">
        <f aca="false">(SUMIFS('Payment Breakdown Current'!$AD$15:$AD$104,'Payment Breakdown Current'!$AE$15:$AE$104,$A55))-(SUMIFS('Payment Breakdown Prior'!$AD$15:$AD$104,'Payment Breakdown Prior'!$AE$15:$AE$104,$A55))</f>
        <v>0</v>
      </c>
      <c r="AI55" s="0" t="n">
        <f aca="false">MAX(ABS(W55),ABS(X55),ABS(Y55),ABS(Z55),ABS(AA55),ABS(AB55),ABS(AC55),ABS(AD55),ABS(AE55),ABS(AF55),ABS(AG55),ABS(AH55))</f>
        <v>199.27</v>
      </c>
      <c r="AJ55" s="0" t="str">
        <f aca="false">IF(AI55&lt;0.005,"",IF(ABS(W55)=AI55,W$1,IF(ABS(X55)=AI55,X$1,IF(ABS(Y55)=AI55,Y$1,IF(ABS(Z55)=AI55,Z$1,IF(ABS(AA55)=AI55,AA$1,IF(ABS(AB55)=AI55,AB$1,IF(ABS(AC55)=AI55,AC$1,IF(ABS(AD55)=AI55,AD$1,IF(ABS(AE55)=AI55,AE$1,IF(ABS(AF55)=AI55,AF$1,IF(ABS(AG55)=AI55,AG$1,IF(ABS(AH55)=AI55,AH$1,"")))))))))))))</f>
        <v>Basic Salary</v>
      </c>
      <c r="AK55" s="0" t="n">
        <f aca="false">IF(AI55&lt;0.005,"",IF(ABS(W55)=AI55,W55,IF(ABS(X55)=AI55,X55,IF(ABS(Y55)=AI55,Y55,IF(ABS(Z55)=AI55,Z55,IF(ABS(AA55)=AI55,AA55,IF(ABS(AB55)=AI55,AB55,IF(ABS(AC55)=AI55,AC55,IF(ABS(AD55)=AI55,AD55,IF(ABS(AE55)=AI55,AE55,IF(ABS(AF55)=AI55,AF55,IF(ABS(AG55)=AI55,AG55,IF(ABS(AH55)=AI55,AH55,"")))))))))))))</f>
        <v>199.27</v>
      </c>
      <c r="AL55" s="0" t="str">
        <f aca="false">IF(R55=1,ABS(L55)-ROW()/100000000,"")</f>
        <v/>
      </c>
    </row>
    <row r="56" customFormat="false" ht="15" hidden="false" customHeight="false" outlineLevel="0" collapsed="false">
      <c r="A56" s="0" t="str">
        <f aca="false">IF('NPV Comparison'!D69="","",'NPV Comparison'!D69)</f>
        <v>P19602</v>
      </c>
      <c r="B56" s="13" t="n">
        <f aca="false">IF('NPV Comparison'!E69="","",'NPV Comparison'!E69)</f>
        <v>2596.88</v>
      </c>
      <c r="C56" s="0" t="str">
        <f aca="false">IF('NPV Comparison'!F69="","",'NPV Comparison'!F69)</f>
        <v/>
      </c>
      <c r="D56" s="0" t="str">
        <f aca="false">IF($A56="","",IFERROR(INDEX(Structure!$E$13:$E$312,MATCH($A56,Structure!$P$13:$P$312,0)),""))</f>
        <v>Riverside Dental Practice</v>
      </c>
      <c r="E56" s="0" t="n">
        <f aca="false">IF($A56="",0,IF(COUNTIF(Structure!$P$13:$P$312,$A56)=0,0,IF(COUNTIFS(Structure!$P$13:$P$312,$A56,Structure!$N$13:$N$312,"&lt;&gt;Zero Hours")=0,1,0)))</f>
        <v>0</v>
      </c>
      <c r="F56" s="0" t="n">
        <f aca="false">IF($A56="",0,1-E56)</f>
        <v>1</v>
      </c>
      <c r="G56" s="0" t="n">
        <f aca="false">IF($A56="",0,IF(COUNTIF('New Starters'!$D$14:$D$73,$A56)&gt;0,1,0))</f>
        <v>0</v>
      </c>
      <c r="H56" s="0" t="n">
        <f aca="false">IF($A56="",0,IF(COUNTIF(Leavers!$D$12:$D$71,$A56)&gt;0,1,0))</f>
        <v>1</v>
      </c>
      <c r="I56" s="0" t="str">
        <f aca="false">IF($A56="","",IFERROR(INDEX('New Starters'!$K$14:$K$73,MATCH($A56,'New Starters'!$D$14:$D$73,0)),IFERROR(INDEX(Leavers!$K$12:$K$71,MATCH($A56,Leavers!$D$12:$D$71,0)),"")))</f>
        <v>PRTRF1000</v>
      </c>
      <c r="J56" s="0" t="n">
        <f aca="false">IF(AND(G56=1,I56&lt;&gt;"",COUNTIF(Leavers!$K$12:$K$71,I56)&gt;0),1,IF(AND(H56=1,I56&lt;&gt;"",COUNTIF('New Starters'!$K$14:$K$73,I56)&gt;0),1,0))</f>
        <v>1</v>
      </c>
      <c r="K56" s="14" t="n">
        <f aca="false">IF(ISNUMBER(SEARCH("Head Office",D56)),'Control Sheet'!$C$6,'Control Sheet'!$C$5)</f>
        <v>0.2</v>
      </c>
      <c r="L56" s="0" t="n">
        <f aca="false">IF(OR($A56="",AND(B56="",C56="")),"",IF(B56="",C56,IF(C56="",-B56,C56-B56)))</f>
        <v>-2596.88</v>
      </c>
      <c r="M56" s="0" t="n">
        <f aca="false">IFERROR(L56/B56,"")</f>
        <v>-1</v>
      </c>
      <c r="N56" s="0" t="n">
        <f aca="false">IF($A56="",0,IF(OR(B56="",C56="",C56=0,IF(ISNUMBER(M56),ABS(M56)&gt;K56,FALSE())),1,0))</f>
        <v>1</v>
      </c>
      <c r="O56" s="0" t="n">
        <f aca="false">IF(OR($A56="",L56=""),0,IF(AND(N56=1,ABS(L56)&gt;='Control Sheet'!$C$7,F56=1),1,0))</f>
        <v>1</v>
      </c>
      <c r="P56" s="0" t="str">
        <f aca="false">IF($A56="","",IF(F56=0,"Zero Hours",IF(J56=1,"Explained: Paired transfer",IF(AND(G56=1,H56=0,J56=0),"Explained: Starter",IF(AND(H56=1,G56=0,J56=0),"Explained: Leaver",IF(O56=1,"Review required","OK"))))))</f>
        <v>Explained: Paired transfer</v>
      </c>
      <c r="Q56" s="0" t="n">
        <f aca="false">IF(AND(F56=1,OR(C56="",C56=0),H56=0,J56=0),1,0)</f>
        <v>0</v>
      </c>
      <c r="R56" s="0" t="n">
        <f aca="false">IF(F56=0,0,IF(P56="Review required",1,IF(AND(P56="Explained: Starter",ISNUMBER(C56),C56&gt;=1500),1,0)))</f>
        <v>0</v>
      </c>
      <c r="S56" s="0" t="str">
        <f aca="false">IF(R56=0,"",IF(Q56=1,"High",IF(AND(P56="Explained: Starter",C56&gt;=1500),"High",IF(ABS(L56)&gt;=2000,"High",IF(ABS(L56)&gt;=500,"Medium","Low")))))</f>
        <v/>
      </c>
      <c r="T56" s="0" t="n">
        <f aca="false">SUMIFS('Payment Breakdown Prior'!$S$15:$S$104,'Payment Breakdown Prior'!$AE$15:$AE$104,$A56)</f>
        <v>3375.94</v>
      </c>
      <c r="U56" s="0" t="n">
        <f aca="false">SUMIFS('Payment Breakdown Current'!$S$15:$S$104,'Payment Breakdown Current'!$AE$15:$AE$104,$A56)</f>
        <v>0</v>
      </c>
      <c r="V56" s="0" t="n">
        <f aca="false">IFERROR((U56-T56)/T56,"")</f>
        <v>-1</v>
      </c>
      <c r="W56" s="0" t="n">
        <f aca="false">(SUMIFS('Payment Breakdown Current'!$S$15:$S$104,'Payment Breakdown Current'!$AE$15:$AE$104,$A56))-(SUMIFS('Payment Breakdown Prior'!$S$15:$S$104,'Payment Breakdown Prior'!$AE$15:$AE$104,$A56))</f>
        <v>-3375.94</v>
      </c>
      <c r="X56" s="0" t="n">
        <f aca="false">(SUMIFS('Payment Breakdown Current'!$T$15:$T$104,'Payment Breakdown Current'!$AE$15:$AE$104,$A56))-(SUMIFS('Payment Breakdown Prior'!$T$15:$T$104,'Payment Breakdown Prior'!$AE$15:$AE$104,$A56))</f>
        <v>0</v>
      </c>
      <c r="Y56" s="0" t="n">
        <f aca="false">(SUMIFS('Payment Breakdown Current'!$U$15:$U$104,'Payment Breakdown Current'!$AE$15:$AE$104,$A56))-(SUMIFS('Payment Breakdown Prior'!$U$15:$U$104,'Payment Breakdown Prior'!$AE$15:$AE$104,$A56))</f>
        <v>0</v>
      </c>
      <c r="Z56" s="0" t="n">
        <f aca="false">(SUMIFS('Payment Breakdown Current'!$V$15:$V$104,'Payment Breakdown Current'!$AE$15:$AE$104,$A56))-(SUMIFS('Payment Breakdown Prior'!$V$15:$V$104,'Payment Breakdown Prior'!$AE$15:$AE$104,$A56))</f>
        <v>0</v>
      </c>
      <c r="AA56" s="0" t="n">
        <f aca="false">(SUMIFS('Payment Breakdown Current'!$W$15:$W$104,'Payment Breakdown Current'!$AE$15:$AE$104,$A56))-(SUMIFS('Payment Breakdown Prior'!$W$15:$W$104,'Payment Breakdown Prior'!$AE$15:$AE$104,$A56))</f>
        <v>0</v>
      </c>
      <c r="AB56" s="0" t="n">
        <f aca="false">(SUMIFS('Payment Breakdown Current'!$X$15:$X$104,'Payment Breakdown Current'!$AE$15:$AE$104,$A56))-(SUMIFS('Payment Breakdown Prior'!$X$15:$X$104,'Payment Breakdown Prior'!$AE$15:$AE$104,$A56))</f>
        <v>0</v>
      </c>
      <c r="AC56" s="0" t="n">
        <f aca="false">(SUMIFS('Payment Breakdown Current'!$Y$15:$Y$104,'Payment Breakdown Current'!$AE$15:$AE$104,$A56))-(SUMIFS('Payment Breakdown Prior'!$Y$15:$Y$104,'Payment Breakdown Prior'!$AE$15:$AE$104,$A56))</f>
        <v>0</v>
      </c>
      <c r="AD56" s="0" t="n">
        <f aca="false">(SUMIFS('Payment Breakdown Current'!$Z$15:$Z$104,'Payment Breakdown Current'!$AE$15:$AE$104,$A56))-(SUMIFS('Payment Breakdown Prior'!$Z$15:$Z$104,'Payment Breakdown Prior'!$AE$15:$AE$104,$A56))</f>
        <v>0</v>
      </c>
      <c r="AE56" s="0" t="n">
        <f aca="false">(SUMIFS('Payment Breakdown Current'!$AA$15:$AA$104,'Payment Breakdown Current'!$AE$15:$AE$104,$A56))-(SUMIFS('Payment Breakdown Prior'!$AA$15:$AA$104,'Payment Breakdown Prior'!$AE$15:$AE$104,$A56))</f>
        <v>0</v>
      </c>
      <c r="AF56" s="0" t="n">
        <f aca="false">(SUMIFS('Payment Breakdown Current'!$AB$15:$AB$104,'Payment Breakdown Current'!$AE$15:$AE$104,$A56))-(SUMIFS('Payment Breakdown Prior'!$AB$15:$AB$104,'Payment Breakdown Prior'!$AE$15:$AE$104,$A56))</f>
        <v>0</v>
      </c>
      <c r="AG56" s="0" t="n">
        <f aca="false">(SUMIFS('Payment Breakdown Current'!$AC$15:$AC$104,'Payment Breakdown Current'!$AE$15:$AE$104,$A56))-(SUMIFS('Payment Breakdown Prior'!$AC$15:$AC$104,'Payment Breakdown Prior'!$AE$15:$AE$104,$A56))</f>
        <v>0</v>
      </c>
      <c r="AH56" s="0" t="n">
        <f aca="false">(SUMIFS('Payment Breakdown Current'!$AD$15:$AD$104,'Payment Breakdown Current'!$AE$15:$AE$104,$A56))-(SUMIFS('Payment Breakdown Prior'!$AD$15:$AD$104,'Payment Breakdown Prior'!$AE$15:$AE$104,$A56))</f>
        <v>0</v>
      </c>
      <c r="AI56" s="0" t="n">
        <f aca="false">MAX(ABS(W56),ABS(X56),ABS(Y56),ABS(Z56),ABS(AA56),ABS(AB56),ABS(AC56),ABS(AD56),ABS(AE56),ABS(AF56),ABS(AG56),ABS(AH56))</f>
        <v>3375.94</v>
      </c>
      <c r="AJ56" s="0" t="str">
        <f aca="false">IF(AI56&lt;0.005,"",IF(ABS(W56)=AI56,W$1,IF(ABS(X56)=AI56,X$1,IF(ABS(Y56)=AI56,Y$1,IF(ABS(Z56)=AI56,Z$1,IF(ABS(AA56)=AI56,AA$1,IF(ABS(AB56)=AI56,AB$1,IF(ABS(AC56)=AI56,AC$1,IF(ABS(AD56)=AI56,AD$1,IF(ABS(AE56)=AI56,AE$1,IF(ABS(AF56)=AI56,AF$1,IF(ABS(AG56)=AI56,AG$1,IF(ABS(AH56)=AI56,AH$1,"")))))))))))))</f>
        <v>Basic Salary</v>
      </c>
      <c r="AK56" s="0" t="n">
        <f aca="false">IF(AI56&lt;0.005,"",IF(ABS(W56)=AI56,W56,IF(ABS(X56)=AI56,X56,IF(ABS(Y56)=AI56,Y56,IF(ABS(Z56)=AI56,Z56,IF(ABS(AA56)=AI56,AA56,IF(ABS(AB56)=AI56,AB56,IF(ABS(AC56)=AI56,AC56,IF(ABS(AD56)=AI56,AD56,IF(ABS(AE56)=AI56,AE56,IF(ABS(AF56)=AI56,AF56,IF(ABS(AG56)=AI56,AG56,IF(ABS(AH56)=AI56,AH56,"")))))))))))))</f>
        <v>-3375.94</v>
      </c>
      <c r="AL56" s="0" t="str">
        <f aca="false">IF(R56=1,ABS(L56)-ROW()/100000000,"")</f>
        <v/>
      </c>
    </row>
    <row r="57" customFormat="false" ht="15" hidden="false" customHeight="false" outlineLevel="0" collapsed="false">
      <c r="A57" s="0" t="str">
        <f aca="false">IF('NPV Comparison'!D70="","",'NPV Comparison'!D70)</f>
        <v>P80468</v>
      </c>
      <c r="B57" s="0" t="str">
        <f aca="false">IF('NPV Comparison'!E70="","",'NPV Comparison'!E70)</f>
        <v/>
      </c>
      <c r="C57" s="13" t="n">
        <f aca="false">IF('NPV Comparison'!F70="","",'NPV Comparison'!F70)</f>
        <v>2596.88</v>
      </c>
      <c r="D57" s="0" t="str">
        <f aca="false">IF($A57="","",IFERROR(INDEX(Structure!$E$13:$E$312,MATCH($A57,Structure!$P$13:$P$312,0)),""))</f>
        <v>Oakfield Dental Practice</v>
      </c>
      <c r="E57" s="0" t="n">
        <f aca="false">IF($A57="",0,IF(COUNTIF(Structure!$P$13:$P$312,$A57)=0,0,IF(COUNTIFS(Structure!$P$13:$P$312,$A57,Structure!$N$13:$N$312,"&lt;&gt;Zero Hours")=0,1,0)))</f>
        <v>0</v>
      </c>
      <c r="F57" s="0" t="n">
        <f aca="false">IF($A57="",0,1-E57)</f>
        <v>1</v>
      </c>
      <c r="G57" s="0" t="n">
        <f aca="false">IF($A57="",0,IF(COUNTIF('New Starters'!$D$14:$D$73,$A57)&gt;0,1,0))</f>
        <v>1</v>
      </c>
      <c r="H57" s="0" t="n">
        <f aca="false">IF($A57="",0,IF(COUNTIF(Leavers!$D$12:$D$71,$A57)&gt;0,1,0))</f>
        <v>0</v>
      </c>
      <c r="I57" s="0" t="str">
        <f aca="false">IF($A57="","",IFERROR(INDEX('New Starters'!$K$14:$K$73,MATCH($A57,'New Starters'!$D$14:$D$73,0)),IFERROR(INDEX(Leavers!$K$12:$K$71,MATCH($A57,Leavers!$D$12:$D$71,0)),"")))</f>
        <v>PRTRF1000</v>
      </c>
      <c r="J57" s="0" t="n">
        <f aca="false">IF(AND(G57=1,I57&lt;&gt;"",COUNTIF(Leavers!$K$12:$K$71,I57)&gt;0),1,IF(AND(H57=1,I57&lt;&gt;"",COUNTIF('New Starters'!$K$14:$K$73,I57)&gt;0),1,0))</f>
        <v>1</v>
      </c>
      <c r="K57" s="14" t="n">
        <f aca="false">IF(ISNUMBER(SEARCH("Head Office",D57)),'Control Sheet'!$C$6,'Control Sheet'!$C$5)</f>
        <v>0.2</v>
      </c>
      <c r="L57" s="13" t="n">
        <f aca="false">IF(OR($A57="",AND(B57="",C57="")),"",IF(B57="",C57,IF(C57="",-B57,C57-B57)))</f>
        <v>2596.88</v>
      </c>
      <c r="M57" s="0" t="str">
        <f aca="false">IFERROR(L57/B57,"")</f>
        <v/>
      </c>
      <c r="N57" s="0" t="n">
        <f aca="false">IF($A57="",0,IF(OR(B57="",C57="",C57=0,IF(ISNUMBER(M57),ABS(M57)&gt;K57,FALSE())),1,0))</f>
        <v>1</v>
      </c>
      <c r="O57" s="0" t="n">
        <f aca="false">IF(OR($A57="",L57=""),0,IF(AND(N57=1,ABS(L57)&gt;='Control Sheet'!$C$7,F57=1),1,0))</f>
        <v>1</v>
      </c>
      <c r="P57" s="0" t="str">
        <f aca="false">IF($A57="","",IF(F57=0,"Zero Hours",IF(J57=1,"Explained: Paired transfer",IF(AND(G57=1,H57=0,J57=0),"Explained: Starter",IF(AND(H57=1,G57=0,J57=0),"Explained: Leaver",IF(O57=1,"Review required","OK"))))))</f>
        <v>Explained: Paired transfer</v>
      </c>
      <c r="Q57" s="0" t="n">
        <f aca="false">IF(AND(F57=1,OR(C57="",C57=0),H57=0,J57=0),1,0)</f>
        <v>0</v>
      </c>
      <c r="R57" s="0" t="n">
        <f aca="false">IF(F57=0,0,IF(P57="Review required",1,IF(AND(P57="Explained: Starter",ISNUMBER(C57),C57&gt;=1500),1,0)))</f>
        <v>0</v>
      </c>
      <c r="S57" s="0" t="str">
        <f aca="false">IF(R57=0,"",IF(Q57=1,"High",IF(AND(P57="Explained: Starter",C57&gt;=1500),"High",IF(ABS(L57)&gt;=2000,"High",IF(ABS(L57)&gt;=500,"Medium","Low")))))</f>
        <v/>
      </c>
      <c r="T57" s="0" t="n">
        <f aca="false">SUMIFS('Payment Breakdown Prior'!$S$15:$S$104,'Payment Breakdown Prior'!$AE$15:$AE$104,$A57)</f>
        <v>0</v>
      </c>
      <c r="U57" s="0" t="n">
        <f aca="false">SUMIFS('Payment Breakdown Current'!$S$15:$S$104,'Payment Breakdown Current'!$AE$15:$AE$104,$A57)</f>
        <v>3375.94</v>
      </c>
      <c r="V57" s="0" t="str">
        <f aca="false">IFERROR((U57-T57)/T57,"")</f>
        <v/>
      </c>
      <c r="W57" s="0" t="n">
        <f aca="false">(SUMIFS('Payment Breakdown Current'!$S$15:$S$104,'Payment Breakdown Current'!$AE$15:$AE$104,$A57))-(SUMIFS('Payment Breakdown Prior'!$S$15:$S$104,'Payment Breakdown Prior'!$AE$15:$AE$104,$A57))</f>
        <v>3375.94</v>
      </c>
      <c r="X57" s="0" t="n">
        <f aca="false">(SUMIFS('Payment Breakdown Current'!$T$15:$T$104,'Payment Breakdown Current'!$AE$15:$AE$104,$A57))-(SUMIFS('Payment Breakdown Prior'!$T$15:$T$104,'Payment Breakdown Prior'!$AE$15:$AE$104,$A57))</f>
        <v>0</v>
      </c>
      <c r="Y57" s="0" t="n">
        <f aca="false">(SUMIFS('Payment Breakdown Current'!$U$15:$U$104,'Payment Breakdown Current'!$AE$15:$AE$104,$A57))-(SUMIFS('Payment Breakdown Prior'!$U$15:$U$104,'Payment Breakdown Prior'!$AE$15:$AE$104,$A57))</f>
        <v>0</v>
      </c>
      <c r="Z57" s="0" t="n">
        <f aca="false">(SUMIFS('Payment Breakdown Current'!$V$15:$V$104,'Payment Breakdown Current'!$AE$15:$AE$104,$A57))-(SUMIFS('Payment Breakdown Prior'!$V$15:$V$104,'Payment Breakdown Prior'!$AE$15:$AE$104,$A57))</f>
        <v>0</v>
      </c>
      <c r="AA57" s="0" t="n">
        <f aca="false">(SUMIFS('Payment Breakdown Current'!$W$15:$W$104,'Payment Breakdown Current'!$AE$15:$AE$104,$A57))-(SUMIFS('Payment Breakdown Prior'!$W$15:$W$104,'Payment Breakdown Prior'!$AE$15:$AE$104,$A57))</f>
        <v>0</v>
      </c>
      <c r="AB57" s="0" t="n">
        <f aca="false">(SUMIFS('Payment Breakdown Current'!$X$15:$X$104,'Payment Breakdown Current'!$AE$15:$AE$104,$A57))-(SUMIFS('Payment Breakdown Prior'!$X$15:$X$104,'Payment Breakdown Prior'!$AE$15:$AE$104,$A57))</f>
        <v>0</v>
      </c>
      <c r="AC57" s="0" t="n">
        <f aca="false">(SUMIFS('Payment Breakdown Current'!$Y$15:$Y$104,'Payment Breakdown Current'!$AE$15:$AE$104,$A57))-(SUMIFS('Payment Breakdown Prior'!$Y$15:$Y$104,'Payment Breakdown Prior'!$AE$15:$AE$104,$A57))</f>
        <v>0</v>
      </c>
      <c r="AD57" s="0" t="n">
        <f aca="false">(SUMIFS('Payment Breakdown Current'!$Z$15:$Z$104,'Payment Breakdown Current'!$AE$15:$AE$104,$A57))-(SUMIFS('Payment Breakdown Prior'!$Z$15:$Z$104,'Payment Breakdown Prior'!$AE$15:$AE$104,$A57))</f>
        <v>0</v>
      </c>
      <c r="AE57" s="0" t="n">
        <f aca="false">(SUMIFS('Payment Breakdown Current'!$AA$15:$AA$104,'Payment Breakdown Current'!$AE$15:$AE$104,$A57))-(SUMIFS('Payment Breakdown Prior'!$AA$15:$AA$104,'Payment Breakdown Prior'!$AE$15:$AE$104,$A57))</f>
        <v>0</v>
      </c>
      <c r="AF57" s="0" t="n">
        <f aca="false">(SUMIFS('Payment Breakdown Current'!$AB$15:$AB$104,'Payment Breakdown Current'!$AE$15:$AE$104,$A57))-(SUMIFS('Payment Breakdown Prior'!$AB$15:$AB$104,'Payment Breakdown Prior'!$AE$15:$AE$104,$A57))</f>
        <v>0</v>
      </c>
      <c r="AG57" s="0" t="n">
        <f aca="false">(SUMIFS('Payment Breakdown Current'!$AC$15:$AC$104,'Payment Breakdown Current'!$AE$15:$AE$104,$A57))-(SUMIFS('Payment Breakdown Prior'!$AC$15:$AC$104,'Payment Breakdown Prior'!$AE$15:$AE$104,$A57))</f>
        <v>0</v>
      </c>
      <c r="AH57" s="0" t="n">
        <f aca="false">(SUMIFS('Payment Breakdown Current'!$AD$15:$AD$104,'Payment Breakdown Current'!$AE$15:$AE$104,$A57))-(SUMIFS('Payment Breakdown Prior'!$AD$15:$AD$104,'Payment Breakdown Prior'!$AE$15:$AE$104,$A57))</f>
        <v>0</v>
      </c>
      <c r="AI57" s="0" t="n">
        <f aca="false">MAX(ABS(W57),ABS(X57),ABS(Y57),ABS(Z57),ABS(AA57),ABS(AB57),ABS(AC57),ABS(AD57),ABS(AE57),ABS(AF57),ABS(AG57),ABS(AH57))</f>
        <v>3375.94</v>
      </c>
      <c r="AJ57" s="0" t="str">
        <f aca="false">IF(AI57&lt;0.005,"",IF(ABS(W57)=AI57,W$1,IF(ABS(X57)=AI57,X$1,IF(ABS(Y57)=AI57,Y$1,IF(ABS(Z57)=AI57,Z$1,IF(ABS(AA57)=AI57,AA$1,IF(ABS(AB57)=AI57,AB$1,IF(ABS(AC57)=AI57,AC$1,IF(ABS(AD57)=AI57,AD$1,IF(ABS(AE57)=AI57,AE$1,IF(ABS(AF57)=AI57,AF$1,IF(ABS(AG57)=AI57,AG$1,IF(ABS(AH57)=AI57,AH$1,"")))))))))))))</f>
        <v>Basic Salary</v>
      </c>
      <c r="AK57" s="0" t="n">
        <f aca="false">IF(AI57&lt;0.005,"",IF(ABS(W57)=AI57,W57,IF(ABS(X57)=AI57,X57,IF(ABS(Y57)=AI57,Y57,IF(ABS(Z57)=AI57,Z57,IF(ABS(AA57)=AI57,AA57,IF(ABS(AB57)=AI57,AB57,IF(ABS(AC57)=AI57,AC57,IF(ABS(AD57)=AI57,AD57,IF(ABS(AE57)=AI57,AE57,IF(ABS(AF57)=AI57,AF57,IF(ABS(AG57)=AI57,AG57,IF(ABS(AH57)=AI57,AH57,"")))))))))))))</f>
        <v>3375.94</v>
      </c>
      <c r="AL57" s="0" t="str">
        <f aca="false">IF(R57=1,ABS(L57)-ROW()/100000000,"")</f>
        <v/>
      </c>
    </row>
    <row r="58" customFormat="false" ht="15" hidden="false" customHeight="false" outlineLevel="0" collapsed="false">
      <c r="A58" s="0" t="str">
        <f aca="false">IF('NPV Comparison'!D71="","",'NPV Comparison'!D71)</f>
        <v>P55745</v>
      </c>
      <c r="B58" s="13" t="n">
        <f aca="false">IF('NPV Comparison'!E71="","",'NPV Comparison'!E71)</f>
        <v>1905.97</v>
      </c>
      <c r="C58" s="0" t="str">
        <f aca="false">IF('NPV Comparison'!F71="","",'NPV Comparison'!F71)</f>
        <v/>
      </c>
      <c r="D58" s="0" t="str">
        <f aca="false">IF($A58="","",IFERROR(INDEX(Structure!$E$13:$E$312,MATCH($A58,Structure!$P$13:$P$312,0)),""))</f>
        <v>Kings Road Dental Practice</v>
      </c>
      <c r="E58" s="0" t="n">
        <f aca="false">IF($A58="",0,IF(COUNTIF(Structure!$P$13:$P$312,$A58)=0,0,IF(COUNTIFS(Structure!$P$13:$P$312,$A58,Structure!$N$13:$N$312,"&lt;&gt;Zero Hours")=0,1,0)))</f>
        <v>0</v>
      </c>
      <c r="F58" s="0" t="n">
        <f aca="false">IF($A58="",0,1-E58)</f>
        <v>1</v>
      </c>
      <c r="G58" s="0" t="n">
        <f aca="false">IF($A58="",0,IF(COUNTIF('New Starters'!$D$14:$D$73,$A58)&gt;0,1,0))</f>
        <v>0</v>
      </c>
      <c r="H58" s="0" t="n">
        <f aca="false">IF($A58="",0,IF(COUNTIF(Leavers!$D$12:$D$71,$A58)&gt;0,1,0))</f>
        <v>1</v>
      </c>
      <c r="I58" s="0" t="str">
        <f aca="false">IF($A58="","",IFERROR(INDEX('New Starters'!$K$14:$K$73,MATCH($A58,'New Starters'!$D$14:$D$73,0)),IFERROR(INDEX(Leavers!$K$12:$K$71,MATCH($A58,Leavers!$D$12:$D$71,0)),"")))</f>
        <v>PRTRF1001</v>
      </c>
      <c r="J58" s="0" t="n">
        <f aca="false">IF(AND(G58=1,I58&lt;&gt;"",COUNTIF(Leavers!$K$12:$K$71,I58)&gt;0),1,IF(AND(H58=1,I58&lt;&gt;"",COUNTIF('New Starters'!$K$14:$K$73,I58)&gt;0),1,0))</f>
        <v>1</v>
      </c>
      <c r="K58" s="14" t="n">
        <f aca="false">IF(ISNUMBER(SEARCH("Head Office",D58)),'Control Sheet'!$C$6,'Control Sheet'!$C$5)</f>
        <v>0.2</v>
      </c>
      <c r="L58" s="0" t="n">
        <f aca="false">IF(OR($A58="",AND(B58="",C58="")),"",IF(B58="",C58,IF(C58="",-B58,C58-B58)))</f>
        <v>-1905.97</v>
      </c>
      <c r="M58" s="0" t="n">
        <f aca="false">IFERROR(L58/B58,"")</f>
        <v>-1</v>
      </c>
      <c r="N58" s="0" t="n">
        <f aca="false">IF($A58="",0,IF(OR(B58="",C58="",C58=0,IF(ISNUMBER(M58),ABS(M58)&gt;K58,FALSE())),1,0))</f>
        <v>1</v>
      </c>
      <c r="O58" s="0" t="n">
        <f aca="false">IF(OR($A58="",L58=""),0,IF(AND(N58=1,ABS(L58)&gt;='Control Sheet'!$C$7,F58=1),1,0))</f>
        <v>1</v>
      </c>
      <c r="P58" s="0" t="str">
        <f aca="false">IF($A58="","",IF(F58=0,"Zero Hours",IF(J58=1,"Explained: Paired transfer",IF(AND(G58=1,H58=0,J58=0),"Explained: Starter",IF(AND(H58=1,G58=0,J58=0),"Explained: Leaver",IF(O58=1,"Review required","OK"))))))</f>
        <v>Explained: Paired transfer</v>
      </c>
      <c r="Q58" s="0" t="n">
        <f aca="false">IF(AND(F58=1,OR(C58="",C58=0),H58=0,J58=0),1,0)</f>
        <v>0</v>
      </c>
      <c r="R58" s="0" t="n">
        <f aca="false">IF(F58=0,0,IF(P58="Review required",1,IF(AND(P58="Explained: Starter",ISNUMBER(C58),C58&gt;=1500),1,0)))</f>
        <v>0</v>
      </c>
      <c r="S58" s="0" t="str">
        <f aca="false">IF(R58=0,"",IF(Q58=1,"High",IF(AND(P58="Explained: Starter",C58&gt;=1500),"High",IF(ABS(L58)&gt;=2000,"High",IF(ABS(L58)&gt;=500,"Medium","Low")))))</f>
        <v/>
      </c>
      <c r="T58" s="0" t="n">
        <f aca="false">SUMIFS('Payment Breakdown Prior'!$S$15:$S$104,'Payment Breakdown Prior'!$AE$15:$AE$104,$A58)</f>
        <v>2477.75</v>
      </c>
      <c r="U58" s="0" t="n">
        <f aca="false">SUMIFS('Payment Breakdown Current'!$S$15:$S$104,'Payment Breakdown Current'!$AE$15:$AE$104,$A58)</f>
        <v>0</v>
      </c>
      <c r="V58" s="0" t="n">
        <f aca="false">IFERROR((U58-T58)/T58,"")</f>
        <v>-1</v>
      </c>
      <c r="W58" s="0" t="n">
        <f aca="false">(SUMIFS('Payment Breakdown Current'!$S$15:$S$104,'Payment Breakdown Current'!$AE$15:$AE$104,$A58))-(SUMIFS('Payment Breakdown Prior'!$S$15:$S$104,'Payment Breakdown Prior'!$AE$15:$AE$104,$A58))</f>
        <v>-2477.75</v>
      </c>
      <c r="X58" s="0" t="n">
        <f aca="false">(SUMIFS('Payment Breakdown Current'!$T$15:$T$104,'Payment Breakdown Current'!$AE$15:$AE$104,$A58))-(SUMIFS('Payment Breakdown Prior'!$T$15:$T$104,'Payment Breakdown Prior'!$AE$15:$AE$104,$A58))</f>
        <v>0</v>
      </c>
      <c r="Y58" s="0" t="n">
        <f aca="false">(SUMIFS('Payment Breakdown Current'!$U$15:$U$104,'Payment Breakdown Current'!$AE$15:$AE$104,$A58))-(SUMIFS('Payment Breakdown Prior'!$U$15:$U$104,'Payment Breakdown Prior'!$AE$15:$AE$104,$A58))</f>
        <v>0</v>
      </c>
      <c r="Z58" s="0" t="n">
        <f aca="false">(SUMIFS('Payment Breakdown Current'!$V$15:$V$104,'Payment Breakdown Current'!$AE$15:$AE$104,$A58))-(SUMIFS('Payment Breakdown Prior'!$V$15:$V$104,'Payment Breakdown Prior'!$AE$15:$AE$104,$A58))</f>
        <v>0</v>
      </c>
      <c r="AA58" s="0" t="n">
        <f aca="false">(SUMIFS('Payment Breakdown Current'!$W$15:$W$104,'Payment Breakdown Current'!$AE$15:$AE$104,$A58))-(SUMIFS('Payment Breakdown Prior'!$W$15:$W$104,'Payment Breakdown Prior'!$AE$15:$AE$104,$A58))</f>
        <v>0</v>
      </c>
      <c r="AB58" s="0" t="n">
        <f aca="false">(SUMIFS('Payment Breakdown Current'!$X$15:$X$104,'Payment Breakdown Current'!$AE$15:$AE$104,$A58))-(SUMIFS('Payment Breakdown Prior'!$X$15:$X$104,'Payment Breakdown Prior'!$AE$15:$AE$104,$A58))</f>
        <v>0</v>
      </c>
      <c r="AC58" s="0" t="n">
        <f aca="false">(SUMIFS('Payment Breakdown Current'!$Y$15:$Y$104,'Payment Breakdown Current'!$AE$15:$AE$104,$A58))-(SUMIFS('Payment Breakdown Prior'!$Y$15:$Y$104,'Payment Breakdown Prior'!$AE$15:$AE$104,$A58))</f>
        <v>0</v>
      </c>
      <c r="AD58" s="0" t="n">
        <f aca="false">(SUMIFS('Payment Breakdown Current'!$Z$15:$Z$104,'Payment Breakdown Current'!$AE$15:$AE$104,$A58))-(SUMIFS('Payment Breakdown Prior'!$Z$15:$Z$104,'Payment Breakdown Prior'!$AE$15:$AE$104,$A58))</f>
        <v>0</v>
      </c>
      <c r="AE58" s="0" t="n">
        <f aca="false">(SUMIFS('Payment Breakdown Current'!$AA$15:$AA$104,'Payment Breakdown Current'!$AE$15:$AE$104,$A58))-(SUMIFS('Payment Breakdown Prior'!$AA$15:$AA$104,'Payment Breakdown Prior'!$AE$15:$AE$104,$A58))</f>
        <v>0</v>
      </c>
      <c r="AF58" s="0" t="n">
        <f aca="false">(SUMIFS('Payment Breakdown Current'!$AB$15:$AB$104,'Payment Breakdown Current'!$AE$15:$AE$104,$A58))-(SUMIFS('Payment Breakdown Prior'!$AB$15:$AB$104,'Payment Breakdown Prior'!$AE$15:$AE$104,$A58))</f>
        <v>0</v>
      </c>
      <c r="AG58" s="0" t="n">
        <f aca="false">(SUMIFS('Payment Breakdown Current'!$AC$15:$AC$104,'Payment Breakdown Current'!$AE$15:$AE$104,$A58))-(SUMIFS('Payment Breakdown Prior'!$AC$15:$AC$104,'Payment Breakdown Prior'!$AE$15:$AE$104,$A58))</f>
        <v>0</v>
      </c>
      <c r="AH58" s="0" t="n">
        <f aca="false">(SUMIFS('Payment Breakdown Current'!$AD$15:$AD$104,'Payment Breakdown Current'!$AE$15:$AE$104,$A58))-(SUMIFS('Payment Breakdown Prior'!$AD$15:$AD$104,'Payment Breakdown Prior'!$AE$15:$AE$104,$A58))</f>
        <v>0</v>
      </c>
      <c r="AI58" s="0" t="n">
        <f aca="false">MAX(ABS(W58),ABS(X58),ABS(Y58),ABS(Z58),ABS(AA58),ABS(AB58),ABS(AC58),ABS(AD58),ABS(AE58),ABS(AF58),ABS(AG58),ABS(AH58))</f>
        <v>2477.75</v>
      </c>
      <c r="AJ58" s="0" t="str">
        <f aca="false">IF(AI58&lt;0.005,"",IF(ABS(W58)=AI58,W$1,IF(ABS(X58)=AI58,X$1,IF(ABS(Y58)=AI58,Y$1,IF(ABS(Z58)=AI58,Z$1,IF(ABS(AA58)=AI58,AA$1,IF(ABS(AB58)=AI58,AB$1,IF(ABS(AC58)=AI58,AC$1,IF(ABS(AD58)=AI58,AD$1,IF(ABS(AE58)=AI58,AE$1,IF(ABS(AF58)=AI58,AF$1,IF(ABS(AG58)=AI58,AG$1,IF(ABS(AH58)=AI58,AH$1,"")))))))))))))</f>
        <v>Basic Salary</v>
      </c>
      <c r="AK58" s="0" t="n">
        <f aca="false">IF(AI58&lt;0.005,"",IF(ABS(W58)=AI58,W58,IF(ABS(X58)=AI58,X58,IF(ABS(Y58)=AI58,Y58,IF(ABS(Z58)=AI58,Z58,IF(ABS(AA58)=AI58,AA58,IF(ABS(AB58)=AI58,AB58,IF(ABS(AC58)=AI58,AC58,IF(ABS(AD58)=AI58,AD58,IF(ABS(AE58)=AI58,AE58,IF(ABS(AF58)=AI58,AF58,IF(ABS(AG58)=AI58,AG58,IF(ABS(AH58)=AI58,AH58,"")))))))))))))</f>
        <v>-2477.75</v>
      </c>
      <c r="AL58" s="0" t="str">
        <f aca="false">IF(R58=1,ABS(L58)-ROW()/100000000,"")</f>
        <v/>
      </c>
    </row>
    <row r="59" customFormat="false" ht="15" hidden="false" customHeight="false" outlineLevel="0" collapsed="false">
      <c r="A59" s="0" t="str">
        <f aca="false">IF('NPV Comparison'!D72="","",'NPV Comparison'!D72)</f>
        <v>P19016</v>
      </c>
      <c r="B59" s="0" t="str">
        <f aca="false">IF('NPV Comparison'!E72="","",'NPV Comparison'!E72)</f>
        <v/>
      </c>
      <c r="C59" s="13" t="n">
        <f aca="false">IF('NPV Comparison'!F72="","",'NPV Comparison'!F72)</f>
        <v>1905.97</v>
      </c>
      <c r="D59" s="0" t="str">
        <f aca="false">IF($A59="","",IFERROR(INDEX(Structure!$E$13:$E$312,MATCH($A59,Structure!$P$13:$P$312,0)),""))</f>
        <v>Hakim Group Head Office</v>
      </c>
      <c r="E59" s="0" t="n">
        <f aca="false">IF($A59="",0,IF(COUNTIF(Structure!$P$13:$P$312,$A59)=0,0,IF(COUNTIFS(Structure!$P$13:$P$312,$A59,Structure!$N$13:$N$312,"&lt;&gt;Zero Hours")=0,1,0)))</f>
        <v>0</v>
      </c>
      <c r="F59" s="0" t="n">
        <f aca="false">IF($A59="",0,1-E59)</f>
        <v>1</v>
      </c>
      <c r="G59" s="0" t="n">
        <f aca="false">IF($A59="",0,IF(COUNTIF('New Starters'!$D$14:$D$73,$A59)&gt;0,1,0))</f>
        <v>1</v>
      </c>
      <c r="H59" s="0" t="n">
        <f aca="false">IF($A59="",0,IF(COUNTIF(Leavers!$D$12:$D$71,$A59)&gt;0,1,0))</f>
        <v>0</v>
      </c>
      <c r="I59" s="0" t="str">
        <f aca="false">IF($A59="","",IFERROR(INDEX('New Starters'!$K$14:$K$73,MATCH($A59,'New Starters'!$D$14:$D$73,0)),IFERROR(INDEX(Leavers!$K$12:$K$71,MATCH($A59,Leavers!$D$12:$D$71,0)),"")))</f>
        <v>PRTRF1001</v>
      </c>
      <c r="J59" s="0" t="n">
        <f aca="false">IF(AND(G59=1,I59&lt;&gt;"",COUNTIF(Leavers!$K$12:$K$71,I59)&gt;0),1,IF(AND(H59=1,I59&lt;&gt;"",COUNTIF('New Starters'!$K$14:$K$73,I59)&gt;0),1,0))</f>
        <v>1</v>
      </c>
      <c r="K59" s="14" t="n">
        <f aca="false">IF(ISNUMBER(SEARCH("Head Office",D59)),'Control Sheet'!$C$6,'Control Sheet'!$C$5)</f>
        <v>0.05</v>
      </c>
      <c r="L59" s="13" t="n">
        <f aca="false">IF(OR($A59="",AND(B59="",C59="")),"",IF(B59="",C59,IF(C59="",-B59,C59-B59)))</f>
        <v>1905.97</v>
      </c>
      <c r="M59" s="0" t="str">
        <f aca="false">IFERROR(L59/B59,"")</f>
        <v/>
      </c>
      <c r="N59" s="0" t="n">
        <f aca="false">IF($A59="",0,IF(OR(B59="",C59="",C59=0,IF(ISNUMBER(M59),ABS(M59)&gt;K59,FALSE())),1,0))</f>
        <v>1</v>
      </c>
      <c r="O59" s="0" t="n">
        <f aca="false">IF(OR($A59="",L59=""),0,IF(AND(N59=1,ABS(L59)&gt;='Control Sheet'!$C$7,F59=1),1,0))</f>
        <v>1</v>
      </c>
      <c r="P59" s="0" t="str">
        <f aca="false">IF($A59="","",IF(F59=0,"Zero Hours",IF(J59=1,"Explained: Paired transfer",IF(AND(G59=1,H59=0,J59=0),"Explained: Starter",IF(AND(H59=1,G59=0,J59=0),"Explained: Leaver",IF(O59=1,"Review required","OK"))))))</f>
        <v>Explained: Paired transfer</v>
      </c>
      <c r="Q59" s="0" t="n">
        <f aca="false">IF(AND(F59=1,OR(C59="",C59=0),H59=0,J59=0),1,0)</f>
        <v>0</v>
      </c>
      <c r="R59" s="0" t="n">
        <f aca="false">IF(F59=0,0,IF(P59="Review required",1,IF(AND(P59="Explained: Starter",ISNUMBER(C59),C59&gt;=1500),1,0)))</f>
        <v>0</v>
      </c>
      <c r="S59" s="0" t="str">
        <f aca="false">IF(R59=0,"",IF(Q59=1,"High",IF(AND(P59="Explained: Starter",C59&gt;=1500),"High",IF(ABS(L59)&gt;=2000,"High",IF(ABS(L59)&gt;=500,"Medium","Low")))))</f>
        <v/>
      </c>
      <c r="T59" s="0" t="n">
        <f aca="false">SUMIFS('Payment Breakdown Prior'!$S$15:$S$104,'Payment Breakdown Prior'!$AE$15:$AE$104,$A59)</f>
        <v>0</v>
      </c>
      <c r="U59" s="0" t="n">
        <f aca="false">SUMIFS('Payment Breakdown Current'!$S$15:$S$104,'Payment Breakdown Current'!$AE$15:$AE$104,$A59)</f>
        <v>2477.75</v>
      </c>
      <c r="V59" s="0" t="str">
        <f aca="false">IFERROR((U59-T59)/T59,"")</f>
        <v/>
      </c>
      <c r="W59" s="0" t="n">
        <f aca="false">(SUMIFS('Payment Breakdown Current'!$S$15:$S$104,'Payment Breakdown Current'!$AE$15:$AE$104,$A59))-(SUMIFS('Payment Breakdown Prior'!$S$15:$S$104,'Payment Breakdown Prior'!$AE$15:$AE$104,$A59))</f>
        <v>2477.75</v>
      </c>
      <c r="X59" s="0" t="n">
        <f aca="false">(SUMIFS('Payment Breakdown Current'!$T$15:$T$104,'Payment Breakdown Current'!$AE$15:$AE$104,$A59))-(SUMIFS('Payment Breakdown Prior'!$T$15:$T$104,'Payment Breakdown Prior'!$AE$15:$AE$104,$A59))</f>
        <v>0</v>
      </c>
      <c r="Y59" s="0" t="n">
        <f aca="false">(SUMIFS('Payment Breakdown Current'!$U$15:$U$104,'Payment Breakdown Current'!$AE$15:$AE$104,$A59))-(SUMIFS('Payment Breakdown Prior'!$U$15:$U$104,'Payment Breakdown Prior'!$AE$15:$AE$104,$A59))</f>
        <v>0</v>
      </c>
      <c r="Z59" s="0" t="n">
        <f aca="false">(SUMIFS('Payment Breakdown Current'!$V$15:$V$104,'Payment Breakdown Current'!$AE$15:$AE$104,$A59))-(SUMIFS('Payment Breakdown Prior'!$V$15:$V$104,'Payment Breakdown Prior'!$AE$15:$AE$104,$A59))</f>
        <v>0</v>
      </c>
      <c r="AA59" s="0" t="n">
        <f aca="false">(SUMIFS('Payment Breakdown Current'!$W$15:$W$104,'Payment Breakdown Current'!$AE$15:$AE$104,$A59))-(SUMIFS('Payment Breakdown Prior'!$W$15:$W$104,'Payment Breakdown Prior'!$AE$15:$AE$104,$A59))</f>
        <v>0</v>
      </c>
      <c r="AB59" s="0" t="n">
        <f aca="false">(SUMIFS('Payment Breakdown Current'!$X$15:$X$104,'Payment Breakdown Current'!$AE$15:$AE$104,$A59))-(SUMIFS('Payment Breakdown Prior'!$X$15:$X$104,'Payment Breakdown Prior'!$AE$15:$AE$104,$A59))</f>
        <v>0</v>
      </c>
      <c r="AC59" s="0" t="n">
        <f aca="false">(SUMIFS('Payment Breakdown Current'!$Y$15:$Y$104,'Payment Breakdown Current'!$AE$15:$AE$104,$A59))-(SUMIFS('Payment Breakdown Prior'!$Y$15:$Y$104,'Payment Breakdown Prior'!$AE$15:$AE$104,$A59))</f>
        <v>0</v>
      </c>
      <c r="AD59" s="0" t="n">
        <f aca="false">(SUMIFS('Payment Breakdown Current'!$Z$15:$Z$104,'Payment Breakdown Current'!$AE$15:$AE$104,$A59))-(SUMIFS('Payment Breakdown Prior'!$Z$15:$Z$104,'Payment Breakdown Prior'!$AE$15:$AE$104,$A59))</f>
        <v>0</v>
      </c>
      <c r="AE59" s="0" t="n">
        <f aca="false">(SUMIFS('Payment Breakdown Current'!$AA$15:$AA$104,'Payment Breakdown Current'!$AE$15:$AE$104,$A59))-(SUMIFS('Payment Breakdown Prior'!$AA$15:$AA$104,'Payment Breakdown Prior'!$AE$15:$AE$104,$A59))</f>
        <v>0</v>
      </c>
      <c r="AF59" s="0" t="n">
        <f aca="false">(SUMIFS('Payment Breakdown Current'!$AB$15:$AB$104,'Payment Breakdown Current'!$AE$15:$AE$104,$A59))-(SUMIFS('Payment Breakdown Prior'!$AB$15:$AB$104,'Payment Breakdown Prior'!$AE$15:$AE$104,$A59))</f>
        <v>0</v>
      </c>
      <c r="AG59" s="0" t="n">
        <f aca="false">(SUMIFS('Payment Breakdown Current'!$AC$15:$AC$104,'Payment Breakdown Current'!$AE$15:$AE$104,$A59))-(SUMIFS('Payment Breakdown Prior'!$AC$15:$AC$104,'Payment Breakdown Prior'!$AE$15:$AE$104,$A59))</f>
        <v>0</v>
      </c>
      <c r="AH59" s="0" t="n">
        <f aca="false">(SUMIFS('Payment Breakdown Current'!$AD$15:$AD$104,'Payment Breakdown Current'!$AE$15:$AE$104,$A59))-(SUMIFS('Payment Breakdown Prior'!$AD$15:$AD$104,'Payment Breakdown Prior'!$AE$15:$AE$104,$A59))</f>
        <v>0</v>
      </c>
      <c r="AI59" s="0" t="n">
        <f aca="false">MAX(ABS(W59),ABS(X59),ABS(Y59),ABS(Z59),ABS(AA59),ABS(AB59),ABS(AC59),ABS(AD59),ABS(AE59),ABS(AF59),ABS(AG59),ABS(AH59))</f>
        <v>2477.75</v>
      </c>
      <c r="AJ59" s="0" t="str">
        <f aca="false">IF(AI59&lt;0.005,"",IF(ABS(W59)=AI59,W$1,IF(ABS(X59)=AI59,X$1,IF(ABS(Y59)=AI59,Y$1,IF(ABS(Z59)=AI59,Z$1,IF(ABS(AA59)=AI59,AA$1,IF(ABS(AB59)=AI59,AB$1,IF(ABS(AC59)=AI59,AC$1,IF(ABS(AD59)=AI59,AD$1,IF(ABS(AE59)=AI59,AE$1,IF(ABS(AF59)=AI59,AF$1,IF(ABS(AG59)=AI59,AG$1,IF(ABS(AH59)=AI59,AH$1,"")))))))))))))</f>
        <v>Basic Salary</v>
      </c>
      <c r="AK59" s="0" t="n">
        <f aca="false">IF(AI59&lt;0.005,"",IF(ABS(W59)=AI59,W59,IF(ABS(X59)=AI59,X59,IF(ABS(Y59)=AI59,Y59,IF(ABS(Z59)=AI59,Z59,IF(ABS(AA59)=AI59,AA59,IF(ABS(AB59)=AI59,AB59,IF(ABS(AC59)=AI59,AC59,IF(ABS(AD59)=AI59,AD59,IF(ABS(AE59)=AI59,AE59,IF(ABS(AF59)=AI59,AF59,IF(ABS(AG59)=AI59,AG59,IF(ABS(AH59)=AI59,AH59,"")))))))))))))</f>
        <v>2477.75</v>
      </c>
      <c r="AL59" s="0" t="str">
        <f aca="false">IF(R59=1,ABS(L59)-ROW()/100000000,"")</f>
        <v/>
      </c>
    </row>
    <row r="60" customFormat="false" ht="15" hidden="false" customHeight="false" outlineLevel="0" collapsed="false">
      <c r="A60" s="0" t="str">
        <f aca="false">IF('NPV Comparison'!D73="","",'NPV Comparison'!D73)</f>
        <v>P81200</v>
      </c>
      <c r="B60" s="13" t="n">
        <f aca="false">IF('NPV Comparison'!E73="","",'NPV Comparison'!E73)</f>
        <v>2150.55</v>
      </c>
      <c r="C60" s="13" t="n">
        <f aca="false">IF('NPV Comparison'!F73="","",'NPV Comparison'!F73)</f>
        <v>0</v>
      </c>
      <c r="D60" s="0" t="str">
        <f aca="false">IF($A60="","",IFERROR(INDEX(Structure!$E$13:$E$312,MATCH($A60,Structure!$P$13:$P$312,0)),""))</f>
        <v>Kings Road Dental Practice</v>
      </c>
      <c r="E60" s="0" t="n">
        <f aca="false">IF($A60="",0,IF(COUNTIF(Structure!$P$13:$P$312,$A60)=0,0,IF(COUNTIFS(Structure!$P$13:$P$312,$A60,Structure!$N$13:$N$312,"&lt;&gt;Zero Hours")=0,1,0)))</f>
        <v>0</v>
      </c>
      <c r="F60" s="0" t="n">
        <f aca="false">IF($A60="",0,1-E60)</f>
        <v>1</v>
      </c>
      <c r="G60" s="0" t="n">
        <f aca="false">IF($A60="",0,IF(COUNTIF('New Starters'!$D$14:$D$73,$A60)&gt;0,1,0))</f>
        <v>0</v>
      </c>
      <c r="H60" s="0" t="n">
        <f aca="false">IF($A60="",0,IF(COUNTIF(Leavers!$D$12:$D$71,$A60)&gt;0,1,0))</f>
        <v>0</v>
      </c>
      <c r="I60" s="0" t="str">
        <f aca="false">IF($A60="","",IFERROR(INDEX('New Starters'!$K$14:$K$73,MATCH($A60,'New Starters'!$D$14:$D$73,0)),IFERROR(INDEX(Leavers!$K$12:$K$71,MATCH($A60,Leavers!$D$12:$D$71,0)),"")))</f>
        <v/>
      </c>
      <c r="J60" s="0" t="n">
        <f aca="false">IF(AND(G60=1,I60&lt;&gt;"",COUNTIF(Leavers!$K$12:$K$71,I60)&gt;0),1,IF(AND(H60=1,I60&lt;&gt;"",COUNTIF('New Starters'!$K$14:$K$73,I60)&gt;0),1,0))</f>
        <v>0</v>
      </c>
      <c r="K60" s="14" t="n">
        <f aca="false">IF(ISNUMBER(SEARCH("Head Office",D60)),'Control Sheet'!$C$6,'Control Sheet'!$C$5)</f>
        <v>0.2</v>
      </c>
      <c r="L60" s="0" t="n">
        <f aca="false">IF(OR($A60="",AND(B60="",C60="")),"",IF(B60="",C60,IF(C60="",-B60,C60-B60)))</f>
        <v>-2150.55</v>
      </c>
      <c r="M60" s="0" t="n">
        <f aca="false">IFERROR(L60/B60,"")</f>
        <v>-1</v>
      </c>
      <c r="N60" s="0" t="n">
        <f aca="false">IF($A60="",0,IF(OR(B60="",C60="",C60=0,IF(ISNUMBER(M60),ABS(M60)&gt;K60,FALSE())),1,0))</f>
        <v>1</v>
      </c>
      <c r="O60" s="0" t="n">
        <f aca="false">IF(OR($A60="",L60=""),0,IF(AND(N60=1,ABS(L60)&gt;='Control Sheet'!$C$7,F60=1),1,0))</f>
        <v>1</v>
      </c>
      <c r="P60" s="0" t="str">
        <f aca="false">IF($A60="","",IF(F60=0,"Zero Hours",IF(J60=1,"Explained: Paired transfer",IF(AND(G60=1,H60=0,J60=0),"Explained: Starter",IF(AND(H60=1,G60=0,J60=0),"Explained: Leaver",IF(O60=1,"Review required","OK"))))))</f>
        <v>Review required</v>
      </c>
      <c r="Q60" s="0" t="n">
        <f aca="false">IF(AND(F60=1,OR(C60="",C60=0),H60=0,J60=0),1,0)</f>
        <v>1</v>
      </c>
      <c r="R60" s="0" t="n">
        <f aca="false">IF(F60=0,0,IF(P60="Review required",1,IF(AND(P60="Explained: Starter",ISNUMBER(C60),C60&gt;=1500),1,0)))</f>
        <v>1</v>
      </c>
      <c r="S60" s="0" t="str">
        <f aca="false">IF(R60=0,"",IF(Q60=1,"High",IF(AND(P60="Explained: Starter",C60&gt;=1500),"High",IF(ABS(L60)&gt;=2000,"High",IF(ABS(L60)&gt;=500,"Medium","Low")))))</f>
        <v>High</v>
      </c>
      <c r="T60" s="0" t="n">
        <f aca="false">SUMIFS('Payment Breakdown Prior'!$S$15:$S$104,'Payment Breakdown Prior'!$AE$15:$AE$104,$A60)</f>
        <v>2795.71</v>
      </c>
      <c r="U60" s="0" t="n">
        <f aca="false">SUMIFS('Payment Breakdown Current'!$S$15:$S$104,'Payment Breakdown Current'!$AE$15:$AE$104,$A60)</f>
        <v>0</v>
      </c>
      <c r="V60" s="0" t="n">
        <f aca="false">IFERROR((U60-T60)/T60,"")</f>
        <v>-1</v>
      </c>
      <c r="W60" s="0" t="n">
        <f aca="false">(SUMIFS('Payment Breakdown Current'!$S$15:$S$104,'Payment Breakdown Current'!$AE$15:$AE$104,$A60))-(SUMIFS('Payment Breakdown Prior'!$S$15:$S$104,'Payment Breakdown Prior'!$AE$15:$AE$104,$A60))</f>
        <v>-2795.71</v>
      </c>
      <c r="X60" s="0" t="n">
        <f aca="false">(SUMIFS('Payment Breakdown Current'!$T$15:$T$104,'Payment Breakdown Current'!$AE$15:$AE$104,$A60))-(SUMIFS('Payment Breakdown Prior'!$T$15:$T$104,'Payment Breakdown Prior'!$AE$15:$AE$104,$A60))</f>
        <v>0</v>
      </c>
      <c r="Y60" s="0" t="n">
        <f aca="false">(SUMIFS('Payment Breakdown Current'!$U$15:$U$104,'Payment Breakdown Current'!$AE$15:$AE$104,$A60))-(SUMIFS('Payment Breakdown Prior'!$U$15:$U$104,'Payment Breakdown Prior'!$AE$15:$AE$104,$A60))</f>
        <v>0</v>
      </c>
      <c r="Z60" s="0" t="n">
        <f aca="false">(SUMIFS('Payment Breakdown Current'!$V$15:$V$104,'Payment Breakdown Current'!$AE$15:$AE$104,$A60))-(SUMIFS('Payment Breakdown Prior'!$V$15:$V$104,'Payment Breakdown Prior'!$AE$15:$AE$104,$A60))</f>
        <v>0</v>
      </c>
      <c r="AA60" s="0" t="n">
        <f aca="false">(SUMIFS('Payment Breakdown Current'!$W$15:$W$104,'Payment Breakdown Current'!$AE$15:$AE$104,$A60))-(SUMIFS('Payment Breakdown Prior'!$W$15:$W$104,'Payment Breakdown Prior'!$AE$15:$AE$104,$A60))</f>
        <v>0</v>
      </c>
      <c r="AB60" s="0" t="n">
        <f aca="false">(SUMIFS('Payment Breakdown Current'!$X$15:$X$104,'Payment Breakdown Current'!$AE$15:$AE$104,$A60))-(SUMIFS('Payment Breakdown Prior'!$X$15:$X$104,'Payment Breakdown Prior'!$AE$15:$AE$104,$A60))</f>
        <v>0</v>
      </c>
      <c r="AC60" s="0" t="n">
        <f aca="false">(SUMIFS('Payment Breakdown Current'!$Y$15:$Y$104,'Payment Breakdown Current'!$AE$15:$AE$104,$A60))-(SUMIFS('Payment Breakdown Prior'!$Y$15:$Y$104,'Payment Breakdown Prior'!$AE$15:$AE$104,$A60))</f>
        <v>0</v>
      </c>
      <c r="AD60" s="0" t="n">
        <f aca="false">(SUMIFS('Payment Breakdown Current'!$Z$15:$Z$104,'Payment Breakdown Current'!$AE$15:$AE$104,$A60))-(SUMIFS('Payment Breakdown Prior'!$Z$15:$Z$104,'Payment Breakdown Prior'!$AE$15:$AE$104,$A60))</f>
        <v>0</v>
      </c>
      <c r="AE60" s="0" t="n">
        <f aca="false">(SUMIFS('Payment Breakdown Current'!$AA$15:$AA$104,'Payment Breakdown Current'!$AE$15:$AE$104,$A60))-(SUMIFS('Payment Breakdown Prior'!$AA$15:$AA$104,'Payment Breakdown Prior'!$AE$15:$AE$104,$A60))</f>
        <v>0</v>
      </c>
      <c r="AF60" s="0" t="n">
        <f aca="false">(SUMIFS('Payment Breakdown Current'!$AB$15:$AB$104,'Payment Breakdown Current'!$AE$15:$AE$104,$A60))-(SUMIFS('Payment Breakdown Prior'!$AB$15:$AB$104,'Payment Breakdown Prior'!$AE$15:$AE$104,$A60))</f>
        <v>0</v>
      </c>
      <c r="AG60" s="0" t="n">
        <f aca="false">(SUMIFS('Payment Breakdown Current'!$AC$15:$AC$104,'Payment Breakdown Current'!$AE$15:$AE$104,$A60))-(SUMIFS('Payment Breakdown Prior'!$AC$15:$AC$104,'Payment Breakdown Prior'!$AE$15:$AE$104,$A60))</f>
        <v>0</v>
      </c>
      <c r="AH60" s="0" t="n">
        <f aca="false">(SUMIFS('Payment Breakdown Current'!$AD$15:$AD$104,'Payment Breakdown Current'!$AE$15:$AE$104,$A60))-(SUMIFS('Payment Breakdown Prior'!$AD$15:$AD$104,'Payment Breakdown Prior'!$AE$15:$AE$104,$A60))</f>
        <v>0</v>
      </c>
      <c r="AI60" s="0" t="n">
        <f aca="false">MAX(ABS(W60),ABS(X60),ABS(Y60),ABS(Z60),ABS(AA60),ABS(AB60),ABS(AC60),ABS(AD60),ABS(AE60),ABS(AF60),ABS(AG60),ABS(AH60))</f>
        <v>2795.71</v>
      </c>
      <c r="AJ60" s="0" t="str">
        <f aca="false">IF(AI60&lt;0.005,"",IF(ABS(W60)=AI60,W$1,IF(ABS(X60)=AI60,X$1,IF(ABS(Y60)=AI60,Y$1,IF(ABS(Z60)=AI60,Z$1,IF(ABS(AA60)=AI60,AA$1,IF(ABS(AB60)=AI60,AB$1,IF(ABS(AC60)=AI60,AC$1,IF(ABS(AD60)=AI60,AD$1,IF(ABS(AE60)=AI60,AE$1,IF(ABS(AF60)=AI60,AF$1,IF(ABS(AG60)=AI60,AG$1,IF(ABS(AH60)=AI60,AH$1,"")))))))))))))</f>
        <v>Basic Salary</v>
      </c>
      <c r="AK60" s="0" t="n">
        <f aca="false">IF(AI60&lt;0.005,"",IF(ABS(W60)=AI60,W60,IF(ABS(X60)=AI60,X60,IF(ABS(Y60)=AI60,Y60,IF(ABS(Z60)=AI60,Z60,IF(ABS(AA60)=AI60,AA60,IF(ABS(AB60)=AI60,AB60,IF(ABS(AC60)=AI60,AC60,IF(ABS(AD60)=AI60,AD60,IF(ABS(AE60)=AI60,AE60,IF(ABS(AF60)=AI60,AF60,IF(ABS(AG60)=AI60,AG60,IF(ABS(AH60)=AI60,AH60,"")))))))))))))</f>
        <v>-2795.71</v>
      </c>
      <c r="AL60" s="0" t="n">
        <f aca="false">IF(R60=1,ABS(L60)-ROW()/100000000,"")</f>
        <v>2150.5499994</v>
      </c>
    </row>
    <row r="61" customFormat="false" ht="15" hidden="false" customHeight="false" outlineLevel="0" collapsed="false">
      <c r="A61" s="0" t="str">
        <f aca="false">IF('NPV Comparison'!D74="","",'NPV Comparison'!D74)</f>
        <v>P97538</v>
      </c>
      <c r="B61" s="13" t="n">
        <f aca="false">IF('NPV Comparison'!E74="","",'NPV Comparison'!E74)</f>
        <v>2223.15</v>
      </c>
      <c r="C61" s="13" t="n">
        <f aca="false">IF('NPV Comparison'!F74="","",'NPV Comparison'!F74)</f>
        <v>0</v>
      </c>
      <c r="D61" s="0" t="str">
        <f aca="false">IF($A61="","",IFERROR(INDEX(Structure!$E$13:$E$312,MATCH($A61,Structure!$P$13:$P$312,0)),""))</f>
        <v>Elm Park Dental Practice</v>
      </c>
      <c r="E61" s="0" t="n">
        <f aca="false">IF($A61="",0,IF(COUNTIF(Structure!$P$13:$P$312,$A61)=0,0,IF(COUNTIFS(Structure!$P$13:$P$312,$A61,Structure!$N$13:$N$312,"&lt;&gt;Zero Hours")=0,1,0)))</f>
        <v>0</v>
      </c>
      <c r="F61" s="0" t="n">
        <f aca="false">IF($A61="",0,1-E61)</f>
        <v>1</v>
      </c>
      <c r="G61" s="0" t="n">
        <f aca="false">IF($A61="",0,IF(COUNTIF('New Starters'!$D$14:$D$73,$A61)&gt;0,1,0))</f>
        <v>0</v>
      </c>
      <c r="H61" s="0" t="n">
        <f aca="false">IF($A61="",0,IF(COUNTIF(Leavers!$D$12:$D$71,$A61)&gt;0,1,0))</f>
        <v>0</v>
      </c>
      <c r="I61" s="0" t="str">
        <f aca="false">IF($A61="","",IFERROR(INDEX('New Starters'!$K$14:$K$73,MATCH($A61,'New Starters'!$D$14:$D$73,0)),IFERROR(INDEX(Leavers!$K$12:$K$71,MATCH($A61,Leavers!$D$12:$D$71,0)),"")))</f>
        <v/>
      </c>
      <c r="J61" s="0" t="n">
        <f aca="false">IF(AND(G61=1,I61&lt;&gt;"",COUNTIF(Leavers!$K$12:$K$71,I61)&gt;0),1,IF(AND(H61=1,I61&lt;&gt;"",COUNTIF('New Starters'!$K$14:$K$73,I61)&gt;0),1,0))</f>
        <v>0</v>
      </c>
      <c r="K61" s="14" t="n">
        <f aca="false">IF(ISNUMBER(SEARCH("Head Office",D61)),'Control Sheet'!$C$6,'Control Sheet'!$C$5)</f>
        <v>0.2</v>
      </c>
      <c r="L61" s="0" t="n">
        <f aca="false">IF(OR($A61="",AND(B61="",C61="")),"",IF(B61="",C61,IF(C61="",-B61,C61-B61)))</f>
        <v>-2223.15</v>
      </c>
      <c r="M61" s="0" t="n">
        <f aca="false">IFERROR(L61/B61,"")</f>
        <v>-1</v>
      </c>
      <c r="N61" s="0" t="n">
        <f aca="false">IF($A61="",0,IF(OR(B61="",C61="",C61=0,IF(ISNUMBER(M61),ABS(M61)&gt;K61,FALSE())),1,0))</f>
        <v>1</v>
      </c>
      <c r="O61" s="0" t="n">
        <f aca="false">IF(OR($A61="",L61=""),0,IF(AND(N61=1,ABS(L61)&gt;='Control Sheet'!$C$7,F61=1),1,0))</f>
        <v>1</v>
      </c>
      <c r="P61" s="0" t="str">
        <f aca="false">IF($A61="","",IF(F61=0,"Zero Hours",IF(J61=1,"Explained: Paired transfer",IF(AND(G61=1,H61=0,J61=0),"Explained: Starter",IF(AND(H61=1,G61=0,J61=0),"Explained: Leaver",IF(O61=1,"Review required","OK"))))))</f>
        <v>Review required</v>
      </c>
      <c r="Q61" s="0" t="n">
        <f aca="false">IF(AND(F61=1,OR(C61="",C61=0),H61=0,J61=0),1,0)</f>
        <v>1</v>
      </c>
      <c r="R61" s="0" t="n">
        <f aca="false">IF(F61=0,0,IF(P61="Review required",1,IF(AND(P61="Explained: Starter",ISNUMBER(C61),C61&gt;=1500),1,0)))</f>
        <v>1</v>
      </c>
      <c r="S61" s="0" t="str">
        <f aca="false">IF(R61=0,"",IF(Q61=1,"High",IF(AND(P61="Explained: Starter",C61&gt;=1500),"High",IF(ABS(L61)&gt;=2000,"High",IF(ABS(L61)&gt;=500,"Medium","Low")))))</f>
        <v>High</v>
      </c>
      <c r="T61" s="0" t="n">
        <f aca="false">SUMIFS('Payment Breakdown Prior'!$S$15:$S$104,'Payment Breakdown Prior'!$AE$15:$AE$104,$A61)</f>
        <v>2890.1</v>
      </c>
      <c r="U61" s="0" t="n">
        <f aca="false">SUMIFS('Payment Breakdown Current'!$S$15:$S$104,'Payment Breakdown Current'!$AE$15:$AE$104,$A61)</f>
        <v>0</v>
      </c>
      <c r="V61" s="0" t="n">
        <f aca="false">IFERROR((U61-T61)/T61,"")</f>
        <v>-1</v>
      </c>
      <c r="W61" s="0" t="n">
        <f aca="false">(SUMIFS('Payment Breakdown Current'!$S$15:$S$104,'Payment Breakdown Current'!$AE$15:$AE$104,$A61))-(SUMIFS('Payment Breakdown Prior'!$S$15:$S$104,'Payment Breakdown Prior'!$AE$15:$AE$104,$A61))</f>
        <v>-2890.1</v>
      </c>
      <c r="X61" s="0" t="n">
        <f aca="false">(SUMIFS('Payment Breakdown Current'!$T$15:$T$104,'Payment Breakdown Current'!$AE$15:$AE$104,$A61))-(SUMIFS('Payment Breakdown Prior'!$T$15:$T$104,'Payment Breakdown Prior'!$AE$15:$AE$104,$A61))</f>
        <v>0</v>
      </c>
      <c r="Y61" s="0" t="n">
        <f aca="false">(SUMIFS('Payment Breakdown Current'!$U$15:$U$104,'Payment Breakdown Current'!$AE$15:$AE$104,$A61))-(SUMIFS('Payment Breakdown Prior'!$U$15:$U$104,'Payment Breakdown Prior'!$AE$15:$AE$104,$A61))</f>
        <v>0</v>
      </c>
      <c r="Z61" s="0" t="n">
        <f aca="false">(SUMIFS('Payment Breakdown Current'!$V$15:$V$104,'Payment Breakdown Current'!$AE$15:$AE$104,$A61))-(SUMIFS('Payment Breakdown Prior'!$V$15:$V$104,'Payment Breakdown Prior'!$AE$15:$AE$104,$A61))</f>
        <v>0</v>
      </c>
      <c r="AA61" s="0" t="n">
        <f aca="false">(SUMIFS('Payment Breakdown Current'!$W$15:$W$104,'Payment Breakdown Current'!$AE$15:$AE$104,$A61))-(SUMIFS('Payment Breakdown Prior'!$W$15:$W$104,'Payment Breakdown Prior'!$AE$15:$AE$104,$A61))</f>
        <v>0</v>
      </c>
      <c r="AB61" s="0" t="n">
        <f aca="false">(SUMIFS('Payment Breakdown Current'!$X$15:$X$104,'Payment Breakdown Current'!$AE$15:$AE$104,$A61))-(SUMIFS('Payment Breakdown Prior'!$X$15:$X$104,'Payment Breakdown Prior'!$AE$15:$AE$104,$A61))</f>
        <v>0</v>
      </c>
      <c r="AC61" s="0" t="n">
        <f aca="false">(SUMIFS('Payment Breakdown Current'!$Y$15:$Y$104,'Payment Breakdown Current'!$AE$15:$AE$104,$A61))-(SUMIFS('Payment Breakdown Prior'!$Y$15:$Y$104,'Payment Breakdown Prior'!$AE$15:$AE$104,$A61))</f>
        <v>0</v>
      </c>
      <c r="AD61" s="0" t="n">
        <f aca="false">(SUMIFS('Payment Breakdown Current'!$Z$15:$Z$104,'Payment Breakdown Current'!$AE$15:$AE$104,$A61))-(SUMIFS('Payment Breakdown Prior'!$Z$15:$Z$104,'Payment Breakdown Prior'!$AE$15:$AE$104,$A61))</f>
        <v>0</v>
      </c>
      <c r="AE61" s="0" t="n">
        <f aca="false">(SUMIFS('Payment Breakdown Current'!$AA$15:$AA$104,'Payment Breakdown Current'!$AE$15:$AE$104,$A61))-(SUMIFS('Payment Breakdown Prior'!$AA$15:$AA$104,'Payment Breakdown Prior'!$AE$15:$AE$104,$A61))</f>
        <v>0</v>
      </c>
      <c r="AF61" s="0" t="n">
        <f aca="false">(SUMIFS('Payment Breakdown Current'!$AB$15:$AB$104,'Payment Breakdown Current'!$AE$15:$AE$104,$A61))-(SUMIFS('Payment Breakdown Prior'!$AB$15:$AB$104,'Payment Breakdown Prior'!$AE$15:$AE$104,$A61))</f>
        <v>0</v>
      </c>
      <c r="AG61" s="0" t="n">
        <f aca="false">(SUMIFS('Payment Breakdown Current'!$AC$15:$AC$104,'Payment Breakdown Current'!$AE$15:$AE$104,$A61))-(SUMIFS('Payment Breakdown Prior'!$AC$15:$AC$104,'Payment Breakdown Prior'!$AE$15:$AE$104,$A61))</f>
        <v>0</v>
      </c>
      <c r="AH61" s="0" t="n">
        <f aca="false">(SUMIFS('Payment Breakdown Current'!$AD$15:$AD$104,'Payment Breakdown Current'!$AE$15:$AE$104,$A61))-(SUMIFS('Payment Breakdown Prior'!$AD$15:$AD$104,'Payment Breakdown Prior'!$AE$15:$AE$104,$A61))</f>
        <v>0</v>
      </c>
      <c r="AI61" s="0" t="n">
        <f aca="false">MAX(ABS(W61),ABS(X61),ABS(Y61),ABS(Z61),ABS(AA61),ABS(AB61),ABS(AC61),ABS(AD61),ABS(AE61),ABS(AF61),ABS(AG61),ABS(AH61))</f>
        <v>2890.1</v>
      </c>
      <c r="AJ61" s="0" t="str">
        <f aca="false">IF(AI61&lt;0.005,"",IF(ABS(W61)=AI61,W$1,IF(ABS(X61)=AI61,X$1,IF(ABS(Y61)=AI61,Y$1,IF(ABS(Z61)=AI61,Z$1,IF(ABS(AA61)=AI61,AA$1,IF(ABS(AB61)=AI61,AB$1,IF(ABS(AC61)=AI61,AC$1,IF(ABS(AD61)=AI61,AD$1,IF(ABS(AE61)=AI61,AE$1,IF(ABS(AF61)=AI61,AF$1,IF(ABS(AG61)=AI61,AG$1,IF(ABS(AH61)=AI61,AH$1,"")))))))))))))</f>
        <v>Basic Salary</v>
      </c>
      <c r="AK61" s="0" t="n">
        <f aca="false">IF(AI61&lt;0.005,"",IF(ABS(W61)=AI61,W61,IF(ABS(X61)=AI61,X61,IF(ABS(Y61)=AI61,Y61,IF(ABS(Z61)=AI61,Z61,IF(ABS(AA61)=AI61,AA61,IF(ABS(AB61)=AI61,AB61,IF(ABS(AC61)=AI61,AC61,IF(ABS(AD61)=AI61,AD61,IF(ABS(AE61)=AI61,AE61,IF(ABS(AF61)=AI61,AF61,IF(ABS(AG61)=AI61,AG61,IF(ABS(AH61)=AI61,AH61,"")))))))))))))</f>
        <v>-2890.1</v>
      </c>
      <c r="AL61" s="0" t="n">
        <f aca="false">IF(R61=1,ABS(L61)-ROW()/100000000,"")</f>
        <v>2223.14999939</v>
      </c>
    </row>
    <row r="62" customFormat="false" ht="15" hidden="false" customHeight="false" outlineLevel="0" collapsed="false">
      <c r="A62" s="0" t="str">
        <f aca="false">IF('NPV Comparison'!D75="","",'NPV Comparison'!D75)</f>
        <v/>
      </c>
      <c r="B62" s="0" t="str">
        <f aca="false">IF('NPV Comparison'!E75="","",'NPV Comparison'!E75)</f>
        <v/>
      </c>
      <c r="C62" s="0" t="str">
        <f aca="false">IF('NPV Comparison'!F75="","",'NPV Comparison'!F75)</f>
        <v/>
      </c>
      <c r="D62" s="0" t="str">
        <f aca="false">IF($A62="","",IFERROR(INDEX(Structure!$E$13:$E$312,MATCH($A62,Structure!$P$13:$P$312,0)),""))</f>
        <v/>
      </c>
      <c r="E62" s="0" t="n">
        <f aca="false">IF($A62="",0,IF(COUNTIF(Structure!$P$13:$P$312,$A62)=0,0,IF(COUNTIFS(Structure!$P$13:$P$312,$A62,Structure!$N$13:$N$312,"&lt;&gt;Zero Hours")=0,1,0)))</f>
        <v>0</v>
      </c>
      <c r="F62" s="0" t="n">
        <f aca="false">IF($A62="",0,1-E62)</f>
        <v>0</v>
      </c>
      <c r="G62" s="0" t="n">
        <f aca="false">IF($A62="",0,IF(COUNTIF('New Starters'!$D$14:$D$73,$A62)&gt;0,1,0))</f>
        <v>0</v>
      </c>
      <c r="H62" s="0" t="n">
        <f aca="false">IF($A62="",0,IF(COUNTIF(Leavers!$D$12:$D$71,$A62)&gt;0,1,0))</f>
        <v>0</v>
      </c>
      <c r="I62" s="0" t="str">
        <f aca="false">IF($A62="","",IFERROR(INDEX('New Starters'!$K$14:$K$73,MATCH($A62,'New Starters'!$D$14:$D$73,0)),IFERROR(INDEX(Leavers!$K$12:$K$71,MATCH($A62,Leavers!$D$12:$D$71,0)),"")))</f>
        <v/>
      </c>
      <c r="J62" s="0" t="n">
        <f aca="false">IF(AND(G62=1,I62&lt;&gt;"",COUNTIF(Leavers!$K$12:$K$71,I62)&gt;0),1,IF(AND(H62=1,I62&lt;&gt;"",COUNTIF('New Starters'!$K$14:$K$73,I62)&gt;0),1,0))</f>
        <v>0</v>
      </c>
      <c r="K62" s="14" t="n">
        <f aca="false">IF(ISNUMBER(SEARCH("Head Office",D62)),'Control Sheet'!$C$6,'Control Sheet'!$C$5)</f>
        <v>0.2</v>
      </c>
      <c r="L62" s="0" t="str">
        <f aca="false">IF(OR($A62="",AND(B62="",C62="")),"",IF(B62="",C62,IF(C62="",-B62,C62-B62)))</f>
        <v/>
      </c>
      <c r="M62" s="0" t="str">
        <f aca="false">IFERROR(L62/B62,"")</f>
        <v/>
      </c>
      <c r="N62" s="0" t="n">
        <f aca="false">IF($A62="",0,IF(OR(B62="",C62="",C62=0,IF(ISNUMBER(M62),ABS(M62)&gt;K62,FALSE())),1,0))</f>
        <v>0</v>
      </c>
      <c r="O62" s="0" t="n">
        <f aca="false">IF(OR($A62="",L62=""),0,IF(AND(N62=1,ABS(L62)&gt;='Control Sheet'!$C$7,F62=1),1,0))</f>
        <v>0</v>
      </c>
      <c r="P62" s="0" t="str">
        <f aca="false">IF($A62="","",IF(F62=0,"Zero Hours",IF(J62=1,"Explained: Paired transfer",IF(AND(G62=1,H62=0,J62=0),"Explained: Starter",IF(AND(H62=1,G62=0,J62=0),"Explained: Leaver",IF(O62=1,"Review required","OK"))))))</f>
        <v/>
      </c>
      <c r="Q62" s="0" t="n">
        <f aca="false">IF(AND(F62=1,OR(C62="",C62=0),H62=0,J62=0),1,0)</f>
        <v>0</v>
      </c>
      <c r="R62" s="0" t="n">
        <f aca="false">IF(F62=0,0,IF(P62="Review required",1,IF(AND(P62="Explained: Starter",ISNUMBER(C62),C62&gt;=1500),1,0)))</f>
        <v>0</v>
      </c>
      <c r="S62" s="0" t="str">
        <f aca="false">IF(R62=0,"",IF(Q62=1,"High",IF(AND(P62="Explained: Starter",C62&gt;=1500),"High",IF(ABS(L62)&gt;=2000,"High",IF(ABS(L62)&gt;=500,"Medium","Low")))))</f>
        <v/>
      </c>
      <c r="T62" s="0" t="n">
        <f aca="false">SUMIFS('Payment Breakdown Prior'!$S$15:$S$104,'Payment Breakdown Prior'!$AE$15:$AE$104,$A62)</f>
        <v>0</v>
      </c>
      <c r="U62" s="0" t="n">
        <f aca="false">SUMIFS('Payment Breakdown Current'!$S$15:$S$104,'Payment Breakdown Current'!$AE$15:$AE$104,$A62)</f>
        <v>0</v>
      </c>
      <c r="V62" s="0" t="str">
        <f aca="false">IFERROR((U62-T62)/T62,"")</f>
        <v/>
      </c>
      <c r="W62" s="0" t="n">
        <f aca="false">(SUMIFS('Payment Breakdown Current'!$S$15:$S$104,'Payment Breakdown Current'!$AE$15:$AE$104,$A62))-(SUMIFS('Payment Breakdown Prior'!$S$15:$S$104,'Payment Breakdown Prior'!$AE$15:$AE$104,$A62))</f>
        <v>0</v>
      </c>
      <c r="X62" s="0" t="n">
        <f aca="false">(SUMIFS('Payment Breakdown Current'!$T$15:$T$104,'Payment Breakdown Current'!$AE$15:$AE$104,$A62))-(SUMIFS('Payment Breakdown Prior'!$T$15:$T$104,'Payment Breakdown Prior'!$AE$15:$AE$104,$A62))</f>
        <v>0</v>
      </c>
      <c r="Y62" s="0" t="n">
        <f aca="false">(SUMIFS('Payment Breakdown Current'!$U$15:$U$104,'Payment Breakdown Current'!$AE$15:$AE$104,$A62))-(SUMIFS('Payment Breakdown Prior'!$U$15:$U$104,'Payment Breakdown Prior'!$AE$15:$AE$104,$A62))</f>
        <v>0</v>
      </c>
      <c r="Z62" s="0" t="n">
        <f aca="false">(SUMIFS('Payment Breakdown Current'!$V$15:$V$104,'Payment Breakdown Current'!$AE$15:$AE$104,$A62))-(SUMIFS('Payment Breakdown Prior'!$V$15:$V$104,'Payment Breakdown Prior'!$AE$15:$AE$104,$A62))</f>
        <v>0</v>
      </c>
      <c r="AA62" s="0" t="n">
        <f aca="false">(SUMIFS('Payment Breakdown Current'!$W$15:$W$104,'Payment Breakdown Current'!$AE$15:$AE$104,$A62))-(SUMIFS('Payment Breakdown Prior'!$W$15:$W$104,'Payment Breakdown Prior'!$AE$15:$AE$104,$A62))</f>
        <v>0</v>
      </c>
      <c r="AB62" s="0" t="n">
        <f aca="false">(SUMIFS('Payment Breakdown Current'!$X$15:$X$104,'Payment Breakdown Current'!$AE$15:$AE$104,$A62))-(SUMIFS('Payment Breakdown Prior'!$X$15:$X$104,'Payment Breakdown Prior'!$AE$15:$AE$104,$A62))</f>
        <v>0</v>
      </c>
      <c r="AC62" s="0" t="n">
        <f aca="false">(SUMIFS('Payment Breakdown Current'!$Y$15:$Y$104,'Payment Breakdown Current'!$AE$15:$AE$104,$A62))-(SUMIFS('Payment Breakdown Prior'!$Y$15:$Y$104,'Payment Breakdown Prior'!$AE$15:$AE$104,$A62))</f>
        <v>0</v>
      </c>
      <c r="AD62" s="0" t="n">
        <f aca="false">(SUMIFS('Payment Breakdown Current'!$Z$15:$Z$104,'Payment Breakdown Current'!$AE$15:$AE$104,$A62))-(SUMIFS('Payment Breakdown Prior'!$Z$15:$Z$104,'Payment Breakdown Prior'!$AE$15:$AE$104,$A62))</f>
        <v>0</v>
      </c>
      <c r="AE62" s="0" t="n">
        <f aca="false">(SUMIFS('Payment Breakdown Current'!$AA$15:$AA$104,'Payment Breakdown Current'!$AE$15:$AE$104,$A62))-(SUMIFS('Payment Breakdown Prior'!$AA$15:$AA$104,'Payment Breakdown Prior'!$AE$15:$AE$104,$A62))</f>
        <v>0</v>
      </c>
      <c r="AF62" s="0" t="n">
        <f aca="false">(SUMIFS('Payment Breakdown Current'!$AB$15:$AB$104,'Payment Breakdown Current'!$AE$15:$AE$104,$A62))-(SUMIFS('Payment Breakdown Prior'!$AB$15:$AB$104,'Payment Breakdown Prior'!$AE$15:$AE$104,$A62))</f>
        <v>0</v>
      </c>
      <c r="AG62" s="0" t="n">
        <f aca="false">(SUMIFS('Payment Breakdown Current'!$AC$15:$AC$104,'Payment Breakdown Current'!$AE$15:$AE$104,$A62))-(SUMIFS('Payment Breakdown Prior'!$AC$15:$AC$104,'Payment Breakdown Prior'!$AE$15:$AE$104,$A62))</f>
        <v>0</v>
      </c>
      <c r="AH62" s="0" t="n">
        <f aca="false">(SUMIFS('Payment Breakdown Current'!$AD$15:$AD$104,'Payment Breakdown Current'!$AE$15:$AE$104,$A62))-(SUMIFS('Payment Breakdown Prior'!$AD$15:$AD$104,'Payment Breakdown Prior'!$AE$15:$AE$104,$A62))</f>
        <v>0</v>
      </c>
      <c r="AI62" s="0" t="n">
        <f aca="false">MAX(ABS(W62),ABS(X62),ABS(Y62),ABS(Z62),ABS(AA62),ABS(AB62),ABS(AC62),ABS(AD62),ABS(AE62),ABS(AF62),ABS(AG62),ABS(AH62))</f>
        <v>0</v>
      </c>
      <c r="AJ62" s="0" t="str">
        <f aca="false">IF(AI62&lt;0.005,"",IF(ABS(W62)=AI62,W$1,IF(ABS(X62)=AI62,X$1,IF(ABS(Y62)=AI62,Y$1,IF(ABS(Z62)=AI62,Z$1,IF(ABS(AA62)=AI62,AA$1,IF(ABS(AB62)=AI62,AB$1,IF(ABS(AC62)=AI62,AC$1,IF(ABS(AD62)=AI62,AD$1,IF(ABS(AE62)=AI62,AE$1,IF(ABS(AF62)=AI62,AF$1,IF(ABS(AG62)=AI62,AG$1,IF(ABS(AH62)=AI62,AH$1,"")))))))))))))</f>
        <v/>
      </c>
      <c r="AK62" s="0" t="str">
        <f aca="false">IF(AI62&lt;0.005,"",IF(ABS(W62)=AI62,W62,IF(ABS(X62)=AI62,X62,IF(ABS(Y62)=AI62,Y62,IF(ABS(Z62)=AI62,Z62,IF(ABS(AA62)=AI62,AA62,IF(ABS(AB62)=AI62,AB62,IF(ABS(AC62)=AI62,AC62,IF(ABS(AD62)=AI62,AD62,IF(ABS(AE62)=AI62,AE62,IF(ABS(AF62)=AI62,AF62,IF(ABS(AG62)=AI62,AG62,IF(ABS(AH62)=AI62,AH62,"")))))))))))))</f>
        <v/>
      </c>
      <c r="AL62" s="0" t="str">
        <f aca="false">IF(R62=1,ABS(L62)-ROW()/100000000,"")</f>
        <v/>
      </c>
    </row>
    <row r="63" customFormat="false" ht="15" hidden="false" customHeight="false" outlineLevel="0" collapsed="false">
      <c r="A63" s="0" t="str">
        <f aca="false">IF('NPV Comparison'!D76="","",'NPV Comparison'!D76)</f>
        <v/>
      </c>
      <c r="B63" s="0" t="str">
        <f aca="false">IF('NPV Comparison'!E76="","",'NPV Comparison'!E76)</f>
        <v/>
      </c>
      <c r="C63" s="0" t="str">
        <f aca="false">IF('NPV Comparison'!F76="","",'NPV Comparison'!F76)</f>
        <v/>
      </c>
      <c r="D63" s="0" t="str">
        <f aca="false">IF($A63="","",IFERROR(INDEX(Structure!$E$13:$E$312,MATCH($A63,Structure!$P$13:$P$312,0)),""))</f>
        <v/>
      </c>
      <c r="E63" s="0" t="n">
        <f aca="false">IF($A63="",0,IF(COUNTIF(Structure!$P$13:$P$312,$A63)=0,0,IF(COUNTIFS(Structure!$P$13:$P$312,$A63,Structure!$N$13:$N$312,"&lt;&gt;Zero Hours")=0,1,0)))</f>
        <v>0</v>
      </c>
      <c r="F63" s="0" t="n">
        <f aca="false">IF($A63="",0,1-E63)</f>
        <v>0</v>
      </c>
      <c r="G63" s="0" t="n">
        <f aca="false">IF($A63="",0,IF(COUNTIF('New Starters'!$D$14:$D$73,$A63)&gt;0,1,0))</f>
        <v>0</v>
      </c>
      <c r="H63" s="0" t="n">
        <f aca="false">IF($A63="",0,IF(COUNTIF(Leavers!$D$12:$D$71,$A63)&gt;0,1,0))</f>
        <v>0</v>
      </c>
      <c r="I63" s="0" t="str">
        <f aca="false">IF($A63="","",IFERROR(INDEX('New Starters'!$K$14:$K$73,MATCH($A63,'New Starters'!$D$14:$D$73,0)),IFERROR(INDEX(Leavers!$K$12:$K$71,MATCH($A63,Leavers!$D$12:$D$71,0)),"")))</f>
        <v/>
      </c>
      <c r="J63" s="0" t="n">
        <f aca="false">IF(AND(G63=1,I63&lt;&gt;"",COUNTIF(Leavers!$K$12:$K$71,I63)&gt;0),1,IF(AND(H63=1,I63&lt;&gt;"",COUNTIF('New Starters'!$K$14:$K$73,I63)&gt;0),1,0))</f>
        <v>0</v>
      </c>
      <c r="K63" s="14" t="n">
        <f aca="false">IF(ISNUMBER(SEARCH("Head Office",D63)),'Control Sheet'!$C$6,'Control Sheet'!$C$5)</f>
        <v>0.2</v>
      </c>
      <c r="L63" s="0" t="str">
        <f aca="false">IF(OR($A63="",AND(B63="",C63="")),"",IF(B63="",C63,IF(C63="",-B63,C63-B63)))</f>
        <v/>
      </c>
      <c r="M63" s="0" t="str">
        <f aca="false">IFERROR(L63/B63,"")</f>
        <v/>
      </c>
      <c r="N63" s="0" t="n">
        <f aca="false">IF($A63="",0,IF(OR(B63="",C63="",C63=0,IF(ISNUMBER(M63),ABS(M63)&gt;K63,FALSE())),1,0))</f>
        <v>0</v>
      </c>
      <c r="O63" s="0" t="n">
        <f aca="false">IF(OR($A63="",L63=""),0,IF(AND(N63=1,ABS(L63)&gt;='Control Sheet'!$C$7,F63=1),1,0))</f>
        <v>0</v>
      </c>
      <c r="P63" s="0" t="str">
        <f aca="false">IF($A63="","",IF(F63=0,"Zero Hours",IF(J63=1,"Explained: Paired transfer",IF(AND(G63=1,H63=0,J63=0),"Explained: Starter",IF(AND(H63=1,G63=0,J63=0),"Explained: Leaver",IF(O63=1,"Review required","OK"))))))</f>
        <v/>
      </c>
      <c r="Q63" s="0" t="n">
        <f aca="false">IF(AND(F63=1,OR(C63="",C63=0),H63=0,J63=0),1,0)</f>
        <v>0</v>
      </c>
      <c r="R63" s="0" t="n">
        <f aca="false">IF(F63=0,0,IF(P63="Review required",1,IF(AND(P63="Explained: Starter",ISNUMBER(C63),C63&gt;=1500),1,0)))</f>
        <v>0</v>
      </c>
      <c r="S63" s="0" t="str">
        <f aca="false">IF(R63=0,"",IF(Q63=1,"High",IF(AND(P63="Explained: Starter",C63&gt;=1500),"High",IF(ABS(L63)&gt;=2000,"High",IF(ABS(L63)&gt;=500,"Medium","Low")))))</f>
        <v/>
      </c>
      <c r="T63" s="0" t="n">
        <f aca="false">SUMIFS('Payment Breakdown Prior'!$S$15:$S$104,'Payment Breakdown Prior'!$AE$15:$AE$104,$A63)</f>
        <v>0</v>
      </c>
      <c r="U63" s="0" t="n">
        <f aca="false">SUMIFS('Payment Breakdown Current'!$S$15:$S$104,'Payment Breakdown Current'!$AE$15:$AE$104,$A63)</f>
        <v>0</v>
      </c>
      <c r="V63" s="0" t="str">
        <f aca="false">IFERROR((U63-T63)/T63,"")</f>
        <v/>
      </c>
      <c r="W63" s="0" t="n">
        <f aca="false">(SUMIFS('Payment Breakdown Current'!$S$15:$S$104,'Payment Breakdown Current'!$AE$15:$AE$104,$A63))-(SUMIFS('Payment Breakdown Prior'!$S$15:$S$104,'Payment Breakdown Prior'!$AE$15:$AE$104,$A63))</f>
        <v>0</v>
      </c>
      <c r="X63" s="0" t="n">
        <f aca="false">(SUMIFS('Payment Breakdown Current'!$T$15:$T$104,'Payment Breakdown Current'!$AE$15:$AE$104,$A63))-(SUMIFS('Payment Breakdown Prior'!$T$15:$T$104,'Payment Breakdown Prior'!$AE$15:$AE$104,$A63))</f>
        <v>0</v>
      </c>
      <c r="Y63" s="0" t="n">
        <f aca="false">(SUMIFS('Payment Breakdown Current'!$U$15:$U$104,'Payment Breakdown Current'!$AE$15:$AE$104,$A63))-(SUMIFS('Payment Breakdown Prior'!$U$15:$U$104,'Payment Breakdown Prior'!$AE$15:$AE$104,$A63))</f>
        <v>0</v>
      </c>
      <c r="Z63" s="0" t="n">
        <f aca="false">(SUMIFS('Payment Breakdown Current'!$V$15:$V$104,'Payment Breakdown Current'!$AE$15:$AE$104,$A63))-(SUMIFS('Payment Breakdown Prior'!$V$15:$V$104,'Payment Breakdown Prior'!$AE$15:$AE$104,$A63))</f>
        <v>0</v>
      </c>
      <c r="AA63" s="0" t="n">
        <f aca="false">(SUMIFS('Payment Breakdown Current'!$W$15:$W$104,'Payment Breakdown Current'!$AE$15:$AE$104,$A63))-(SUMIFS('Payment Breakdown Prior'!$W$15:$W$104,'Payment Breakdown Prior'!$AE$15:$AE$104,$A63))</f>
        <v>0</v>
      </c>
      <c r="AB63" s="0" t="n">
        <f aca="false">(SUMIFS('Payment Breakdown Current'!$X$15:$X$104,'Payment Breakdown Current'!$AE$15:$AE$104,$A63))-(SUMIFS('Payment Breakdown Prior'!$X$15:$X$104,'Payment Breakdown Prior'!$AE$15:$AE$104,$A63))</f>
        <v>0</v>
      </c>
      <c r="AC63" s="0" t="n">
        <f aca="false">(SUMIFS('Payment Breakdown Current'!$Y$15:$Y$104,'Payment Breakdown Current'!$AE$15:$AE$104,$A63))-(SUMIFS('Payment Breakdown Prior'!$Y$15:$Y$104,'Payment Breakdown Prior'!$AE$15:$AE$104,$A63))</f>
        <v>0</v>
      </c>
      <c r="AD63" s="0" t="n">
        <f aca="false">(SUMIFS('Payment Breakdown Current'!$Z$15:$Z$104,'Payment Breakdown Current'!$AE$15:$AE$104,$A63))-(SUMIFS('Payment Breakdown Prior'!$Z$15:$Z$104,'Payment Breakdown Prior'!$AE$15:$AE$104,$A63))</f>
        <v>0</v>
      </c>
      <c r="AE63" s="0" t="n">
        <f aca="false">(SUMIFS('Payment Breakdown Current'!$AA$15:$AA$104,'Payment Breakdown Current'!$AE$15:$AE$104,$A63))-(SUMIFS('Payment Breakdown Prior'!$AA$15:$AA$104,'Payment Breakdown Prior'!$AE$15:$AE$104,$A63))</f>
        <v>0</v>
      </c>
      <c r="AF63" s="0" t="n">
        <f aca="false">(SUMIFS('Payment Breakdown Current'!$AB$15:$AB$104,'Payment Breakdown Current'!$AE$15:$AE$104,$A63))-(SUMIFS('Payment Breakdown Prior'!$AB$15:$AB$104,'Payment Breakdown Prior'!$AE$15:$AE$104,$A63))</f>
        <v>0</v>
      </c>
      <c r="AG63" s="0" t="n">
        <f aca="false">(SUMIFS('Payment Breakdown Current'!$AC$15:$AC$104,'Payment Breakdown Current'!$AE$15:$AE$104,$A63))-(SUMIFS('Payment Breakdown Prior'!$AC$15:$AC$104,'Payment Breakdown Prior'!$AE$15:$AE$104,$A63))</f>
        <v>0</v>
      </c>
      <c r="AH63" s="0" t="n">
        <f aca="false">(SUMIFS('Payment Breakdown Current'!$AD$15:$AD$104,'Payment Breakdown Current'!$AE$15:$AE$104,$A63))-(SUMIFS('Payment Breakdown Prior'!$AD$15:$AD$104,'Payment Breakdown Prior'!$AE$15:$AE$104,$A63))</f>
        <v>0</v>
      </c>
      <c r="AI63" s="0" t="n">
        <f aca="false">MAX(ABS(W63),ABS(X63),ABS(Y63),ABS(Z63),ABS(AA63),ABS(AB63),ABS(AC63),ABS(AD63),ABS(AE63),ABS(AF63),ABS(AG63),ABS(AH63))</f>
        <v>0</v>
      </c>
      <c r="AJ63" s="0" t="str">
        <f aca="false">IF(AI63&lt;0.005,"",IF(ABS(W63)=AI63,W$1,IF(ABS(X63)=AI63,X$1,IF(ABS(Y63)=AI63,Y$1,IF(ABS(Z63)=AI63,Z$1,IF(ABS(AA63)=AI63,AA$1,IF(ABS(AB63)=AI63,AB$1,IF(ABS(AC63)=AI63,AC$1,IF(ABS(AD63)=AI63,AD$1,IF(ABS(AE63)=AI63,AE$1,IF(ABS(AF63)=AI63,AF$1,IF(ABS(AG63)=AI63,AG$1,IF(ABS(AH63)=AI63,AH$1,"")))))))))))))</f>
        <v/>
      </c>
      <c r="AK63" s="0" t="str">
        <f aca="false">IF(AI63&lt;0.005,"",IF(ABS(W63)=AI63,W63,IF(ABS(X63)=AI63,X63,IF(ABS(Y63)=AI63,Y63,IF(ABS(Z63)=AI63,Z63,IF(ABS(AA63)=AI63,AA63,IF(ABS(AB63)=AI63,AB63,IF(ABS(AC63)=AI63,AC63,IF(ABS(AD63)=AI63,AD63,IF(ABS(AE63)=AI63,AE63,IF(ABS(AF63)=AI63,AF63,IF(ABS(AG63)=AI63,AG63,IF(ABS(AH63)=AI63,AH63,"")))))))))))))</f>
        <v/>
      </c>
      <c r="AL63" s="0" t="str">
        <f aca="false">IF(R63=1,ABS(L63)-ROW()/100000000,"")</f>
        <v/>
      </c>
    </row>
    <row r="64" customFormat="false" ht="15" hidden="false" customHeight="false" outlineLevel="0" collapsed="false">
      <c r="A64" s="0" t="str">
        <f aca="false">IF('NPV Comparison'!D77="","",'NPV Comparison'!D77)</f>
        <v/>
      </c>
      <c r="B64" s="0" t="str">
        <f aca="false">IF('NPV Comparison'!E77="","",'NPV Comparison'!E77)</f>
        <v/>
      </c>
      <c r="C64" s="0" t="str">
        <f aca="false">IF('NPV Comparison'!F77="","",'NPV Comparison'!F77)</f>
        <v/>
      </c>
      <c r="D64" s="0" t="str">
        <f aca="false">IF($A64="","",IFERROR(INDEX(Structure!$E$13:$E$312,MATCH($A64,Structure!$P$13:$P$312,0)),""))</f>
        <v/>
      </c>
      <c r="E64" s="0" t="n">
        <f aca="false">IF($A64="",0,IF(COUNTIF(Structure!$P$13:$P$312,$A64)=0,0,IF(COUNTIFS(Structure!$P$13:$P$312,$A64,Structure!$N$13:$N$312,"&lt;&gt;Zero Hours")=0,1,0)))</f>
        <v>0</v>
      </c>
      <c r="F64" s="0" t="n">
        <f aca="false">IF($A64="",0,1-E64)</f>
        <v>0</v>
      </c>
      <c r="G64" s="0" t="n">
        <f aca="false">IF($A64="",0,IF(COUNTIF('New Starters'!$D$14:$D$73,$A64)&gt;0,1,0))</f>
        <v>0</v>
      </c>
      <c r="H64" s="0" t="n">
        <f aca="false">IF($A64="",0,IF(COUNTIF(Leavers!$D$12:$D$71,$A64)&gt;0,1,0))</f>
        <v>0</v>
      </c>
      <c r="I64" s="0" t="str">
        <f aca="false">IF($A64="","",IFERROR(INDEX('New Starters'!$K$14:$K$73,MATCH($A64,'New Starters'!$D$14:$D$73,0)),IFERROR(INDEX(Leavers!$K$12:$K$71,MATCH($A64,Leavers!$D$12:$D$71,0)),"")))</f>
        <v/>
      </c>
      <c r="J64" s="0" t="n">
        <f aca="false">IF(AND(G64=1,I64&lt;&gt;"",COUNTIF(Leavers!$K$12:$K$71,I64)&gt;0),1,IF(AND(H64=1,I64&lt;&gt;"",COUNTIF('New Starters'!$K$14:$K$73,I64)&gt;0),1,0))</f>
        <v>0</v>
      </c>
      <c r="K64" s="14" t="n">
        <f aca="false">IF(ISNUMBER(SEARCH("Head Office",D64)),'Control Sheet'!$C$6,'Control Sheet'!$C$5)</f>
        <v>0.2</v>
      </c>
      <c r="L64" s="0" t="str">
        <f aca="false">IF(OR($A64="",AND(B64="",C64="")),"",IF(B64="",C64,IF(C64="",-B64,C64-B64)))</f>
        <v/>
      </c>
      <c r="M64" s="0" t="str">
        <f aca="false">IFERROR(L64/B64,"")</f>
        <v/>
      </c>
      <c r="N64" s="0" t="n">
        <f aca="false">IF($A64="",0,IF(OR(B64="",C64="",C64=0,IF(ISNUMBER(M64),ABS(M64)&gt;K64,FALSE())),1,0))</f>
        <v>0</v>
      </c>
      <c r="O64" s="0" t="n">
        <f aca="false">IF(OR($A64="",L64=""),0,IF(AND(N64=1,ABS(L64)&gt;='Control Sheet'!$C$7,F64=1),1,0))</f>
        <v>0</v>
      </c>
      <c r="P64" s="0" t="str">
        <f aca="false">IF($A64="","",IF(F64=0,"Zero Hours",IF(J64=1,"Explained: Paired transfer",IF(AND(G64=1,H64=0,J64=0),"Explained: Starter",IF(AND(H64=1,G64=0,J64=0),"Explained: Leaver",IF(O64=1,"Review required","OK"))))))</f>
        <v/>
      </c>
      <c r="Q64" s="0" t="n">
        <f aca="false">IF(AND(F64=1,OR(C64="",C64=0),H64=0,J64=0),1,0)</f>
        <v>0</v>
      </c>
      <c r="R64" s="0" t="n">
        <f aca="false">IF(F64=0,0,IF(P64="Review required",1,IF(AND(P64="Explained: Starter",ISNUMBER(C64),C64&gt;=1500),1,0)))</f>
        <v>0</v>
      </c>
      <c r="S64" s="0" t="str">
        <f aca="false">IF(R64=0,"",IF(Q64=1,"High",IF(AND(P64="Explained: Starter",C64&gt;=1500),"High",IF(ABS(L64)&gt;=2000,"High",IF(ABS(L64)&gt;=500,"Medium","Low")))))</f>
        <v/>
      </c>
      <c r="T64" s="0" t="n">
        <f aca="false">SUMIFS('Payment Breakdown Prior'!$S$15:$S$104,'Payment Breakdown Prior'!$AE$15:$AE$104,$A64)</f>
        <v>0</v>
      </c>
      <c r="U64" s="0" t="n">
        <f aca="false">SUMIFS('Payment Breakdown Current'!$S$15:$S$104,'Payment Breakdown Current'!$AE$15:$AE$104,$A64)</f>
        <v>0</v>
      </c>
      <c r="V64" s="0" t="str">
        <f aca="false">IFERROR((U64-T64)/T64,"")</f>
        <v/>
      </c>
      <c r="W64" s="0" t="n">
        <f aca="false">(SUMIFS('Payment Breakdown Current'!$S$15:$S$104,'Payment Breakdown Current'!$AE$15:$AE$104,$A64))-(SUMIFS('Payment Breakdown Prior'!$S$15:$S$104,'Payment Breakdown Prior'!$AE$15:$AE$104,$A64))</f>
        <v>0</v>
      </c>
      <c r="X64" s="0" t="n">
        <f aca="false">(SUMIFS('Payment Breakdown Current'!$T$15:$T$104,'Payment Breakdown Current'!$AE$15:$AE$104,$A64))-(SUMIFS('Payment Breakdown Prior'!$T$15:$T$104,'Payment Breakdown Prior'!$AE$15:$AE$104,$A64))</f>
        <v>0</v>
      </c>
      <c r="Y64" s="0" t="n">
        <f aca="false">(SUMIFS('Payment Breakdown Current'!$U$15:$U$104,'Payment Breakdown Current'!$AE$15:$AE$104,$A64))-(SUMIFS('Payment Breakdown Prior'!$U$15:$U$104,'Payment Breakdown Prior'!$AE$15:$AE$104,$A64))</f>
        <v>0</v>
      </c>
      <c r="Z64" s="0" t="n">
        <f aca="false">(SUMIFS('Payment Breakdown Current'!$V$15:$V$104,'Payment Breakdown Current'!$AE$15:$AE$104,$A64))-(SUMIFS('Payment Breakdown Prior'!$V$15:$V$104,'Payment Breakdown Prior'!$AE$15:$AE$104,$A64))</f>
        <v>0</v>
      </c>
      <c r="AA64" s="0" t="n">
        <f aca="false">(SUMIFS('Payment Breakdown Current'!$W$15:$W$104,'Payment Breakdown Current'!$AE$15:$AE$104,$A64))-(SUMIFS('Payment Breakdown Prior'!$W$15:$W$104,'Payment Breakdown Prior'!$AE$15:$AE$104,$A64))</f>
        <v>0</v>
      </c>
      <c r="AB64" s="0" t="n">
        <f aca="false">(SUMIFS('Payment Breakdown Current'!$X$15:$X$104,'Payment Breakdown Current'!$AE$15:$AE$104,$A64))-(SUMIFS('Payment Breakdown Prior'!$X$15:$X$104,'Payment Breakdown Prior'!$AE$15:$AE$104,$A64))</f>
        <v>0</v>
      </c>
      <c r="AC64" s="0" t="n">
        <f aca="false">(SUMIFS('Payment Breakdown Current'!$Y$15:$Y$104,'Payment Breakdown Current'!$AE$15:$AE$104,$A64))-(SUMIFS('Payment Breakdown Prior'!$Y$15:$Y$104,'Payment Breakdown Prior'!$AE$15:$AE$104,$A64))</f>
        <v>0</v>
      </c>
      <c r="AD64" s="0" t="n">
        <f aca="false">(SUMIFS('Payment Breakdown Current'!$Z$15:$Z$104,'Payment Breakdown Current'!$AE$15:$AE$104,$A64))-(SUMIFS('Payment Breakdown Prior'!$Z$15:$Z$104,'Payment Breakdown Prior'!$AE$15:$AE$104,$A64))</f>
        <v>0</v>
      </c>
      <c r="AE64" s="0" t="n">
        <f aca="false">(SUMIFS('Payment Breakdown Current'!$AA$15:$AA$104,'Payment Breakdown Current'!$AE$15:$AE$104,$A64))-(SUMIFS('Payment Breakdown Prior'!$AA$15:$AA$104,'Payment Breakdown Prior'!$AE$15:$AE$104,$A64))</f>
        <v>0</v>
      </c>
      <c r="AF64" s="0" t="n">
        <f aca="false">(SUMIFS('Payment Breakdown Current'!$AB$15:$AB$104,'Payment Breakdown Current'!$AE$15:$AE$104,$A64))-(SUMIFS('Payment Breakdown Prior'!$AB$15:$AB$104,'Payment Breakdown Prior'!$AE$15:$AE$104,$A64))</f>
        <v>0</v>
      </c>
      <c r="AG64" s="0" t="n">
        <f aca="false">(SUMIFS('Payment Breakdown Current'!$AC$15:$AC$104,'Payment Breakdown Current'!$AE$15:$AE$104,$A64))-(SUMIFS('Payment Breakdown Prior'!$AC$15:$AC$104,'Payment Breakdown Prior'!$AE$15:$AE$104,$A64))</f>
        <v>0</v>
      </c>
      <c r="AH64" s="0" t="n">
        <f aca="false">(SUMIFS('Payment Breakdown Current'!$AD$15:$AD$104,'Payment Breakdown Current'!$AE$15:$AE$104,$A64))-(SUMIFS('Payment Breakdown Prior'!$AD$15:$AD$104,'Payment Breakdown Prior'!$AE$15:$AE$104,$A64))</f>
        <v>0</v>
      </c>
      <c r="AI64" s="0" t="n">
        <f aca="false">MAX(ABS(W64),ABS(X64),ABS(Y64),ABS(Z64),ABS(AA64),ABS(AB64),ABS(AC64),ABS(AD64),ABS(AE64),ABS(AF64),ABS(AG64),ABS(AH64))</f>
        <v>0</v>
      </c>
      <c r="AJ64" s="0" t="str">
        <f aca="false">IF(AI64&lt;0.005,"",IF(ABS(W64)=AI64,W$1,IF(ABS(X64)=AI64,X$1,IF(ABS(Y64)=AI64,Y$1,IF(ABS(Z64)=AI64,Z$1,IF(ABS(AA64)=AI64,AA$1,IF(ABS(AB64)=AI64,AB$1,IF(ABS(AC64)=AI64,AC$1,IF(ABS(AD64)=AI64,AD$1,IF(ABS(AE64)=AI64,AE$1,IF(ABS(AF64)=AI64,AF$1,IF(ABS(AG64)=AI64,AG$1,IF(ABS(AH64)=AI64,AH$1,"")))))))))))))</f>
        <v/>
      </c>
      <c r="AK64" s="0" t="str">
        <f aca="false">IF(AI64&lt;0.005,"",IF(ABS(W64)=AI64,W64,IF(ABS(X64)=AI64,X64,IF(ABS(Y64)=AI64,Y64,IF(ABS(Z64)=AI64,Z64,IF(ABS(AA64)=AI64,AA64,IF(ABS(AB64)=AI64,AB64,IF(ABS(AC64)=AI64,AC64,IF(ABS(AD64)=AI64,AD64,IF(ABS(AE64)=AI64,AE64,IF(ABS(AF64)=AI64,AF64,IF(ABS(AG64)=AI64,AG64,IF(ABS(AH64)=AI64,AH64,"")))))))))))))</f>
        <v/>
      </c>
      <c r="AL64" s="0" t="str">
        <f aca="false">IF(R64=1,ABS(L64)-ROW()/100000000,"")</f>
        <v/>
      </c>
    </row>
    <row r="65" customFormat="false" ht="15" hidden="false" customHeight="false" outlineLevel="0" collapsed="false">
      <c r="A65" s="0" t="str">
        <f aca="false">IF('NPV Comparison'!D78="","",'NPV Comparison'!D78)</f>
        <v/>
      </c>
      <c r="B65" s="0" t="str">
        <f aca="false">IF('NPV Comparison'!E78="","",'NPV Comparison'!E78)</f>
        <v/>
      </c>
      <c r="C65" s="0" t="str">
        <f aca="false">IF('NPV Comparison'!F78="","",'NPV Comparison'!F78)</f>
        <v/>
      </c>
      <c r="D65" s="0" t="str">
        <f aca="false">IF($A65="","",IFERROR(INDEX(Structure!$E$13:$E$312,MATCH($A65,Structure!$P$13:$P$312,0)),""))</f>
        <v/>
      </c>
      <c r="E65" s="0" t="n">
        <f aca="false">IF($A65="",0,IF(COUNTIF(Structure!$P$13:$P$312,$A65)=0,0,IF(COUNTIFS(Structure!$P$13:$P$312,$A65,Structure!$N$13:$N$312,"&lt;&gt;Zero Hours")=0,1,0)))</f>
        <v>0</v>
      </c>
      <c r="F65" s="0" t="n">
        <f aca="false">IF($A65="",0,1-E65)</f>
        <v>0</v>
      </c>
      <c r="G65" s="0" t="n">
        <f aca="false">IF($A65="",0,IF(COUNTIF('New Starters'!$D$14:$D$73,$A65)&gt;0,1,0))</f>
        <v>0</v>
      </c>
      <c r="H65" s="0" t="n">
        <f aca="false">IF($A65="",0,IF(COUNTIF(Leavers!$D$12:$D$71,$A65)&gt;0,1,0))</f>
        <v>0</v>
      </c>
      <c r="I65" s="0" t="str">
        <f aca="false">IF($A65="","",IFERROR(INDEX('New Starters'!$K$14:$K$73,MATCH($A65,'New Starters'!$D$14:$D$73,0)),IFERROR(INDEX(Leavers!$K$12:$K$71,MATCH($A65,Leavers!$D$12:$D$71,0)),"")))</f>
        <v/>
      </c>
      <c r="J65" s="0" t="n">
        <f aca="false">IF(AND(G65=1,I65&lt;&gt;"",COUNTIF(Leavers!$K$12:$K$71,I65)&gt;0),1,IF(AND(H65=1,I65&lt;&gt;"",COUNTIF('New Starters'!$K$14:$K$73,I65)&gt;0),1,0))</f>
        <v>0</v>
      </c>
      <c r="K65" s="14" t="n">
        <f aca="false">IF(ISNUMBER(SEARCH("Head Office",D65)),'Control Sheet'!$C$6,'Control Sheet'!$C$5)</f>
        <v>0.2</v>
      </c>
      <c r="L65" s="0" t="str">
        <f aca="false">IF(OR($A65="",AND(B65="",C65="")),"",IF(B65="",C65,IF(C65="",-B65,C65-B65)))</f>
        <v/>
      </c>
      <c r="M65" s="0" t="str">
        <f aca="false">IFERROR(L65/B65,"")</f>
        <v/>
      </c>
      <c r="N65" s="0" t="n">
        <f aca="false">IF($A65="",0,IF(OR(B65="",C65="",C65=0,IF(ISNUMBER(M65),ABS(M65)&gt;K65,FALSE())),1,0))</f>
        <v>0</v>
      </c>
      <c r="O65" s="0" t="n">
        <f aca="false">IF(OR($A65="",L65=""),0,IF(AND(N65=1,ABS(L65)&gt;='Control Sheet'!$C$7,F65=1),1,0))</f>
        <v>0</v>
      </c>
      <c r="P65" s="0" t="str">
        <f aca="false">IF($A65="","",IF(F65=0,"Zero Hours",IF(J65=1,"Explained: Paired transfer",IF(AND(G65=1,H65=0,J65=0),"Explained: Starter",IF(AND(H65=1,G65=0,J65=0),"Explained: Leaver",IF(O65=1,"Review required","OK"))))))</f>
        <v/>
      </c>
      <c r="Q65" s="0" t="n">
        <f aca="false">IF(AND(F65=1,OR(C65="",C65=0),H65=0,J65=0),1,0)</f>
        <v>0</v>
      </c>
      <c r="R65" s="0" t="n">
        <f aca="false">IF(F65=0,0,IF(P65="Review required",1,IF(AND(P65="Explained: Starter",ISNUMBER(C65),C65&gt;=1500),1,0)))</f>
        <v>0</v>
      </c>
      <c r="S65" s="0" t="str">
        <f aca="false">IF(R65=0,"",IF(Q65=1,"High",IF(AND(P65="Explained: Starter",C65&gt;=1500),"High",IF(ABS(L65)&gt;=2000,"High",IF(ABS(L65)&gt;=500,"Medium","Low")))))</f>
        <v/>
      </c>
      <c r="T65" s="0" t="n">
        <f aca="false">SUMIFS('Payment Breakdown Prior'!$S$15:$S$104,'Payment Breakdown Prior'!$AE$15:$AE$104,$A65)</f>
        <v>0</v>
      </c>
      <c r="U65" s="0" t="n">
        <f aca="false">SUMIFS('Payment Breakdown Current'!$S$15:$S$104,'Payment Breakdown Current'!$AE$15:$AE$104,$A65)</f>
        <v>0</v>
      </c>
      <c r="V65" s="0" t="str">
        <f aca="false">IFERROR((U65-T65)/T65,"")</f>
        <v/>
      </c>
      <c r="W65" s="0" t="n">
        <f aca="false">(SUMIFS('Payment Breakdown Current'!$S$15:$S$104,'Payment Breakdown Current'!$AE$15:$AE$104,$A65))-(SUMIFS('Payment Breakdown Prior'!$S$15:$S$104,'Payment Breakdown Prior'!$AE$15:$AE$104,$A65))</f>
        <v>0</v>
      </c>
      <c r="X65" s="0" t="n">
        <f aca="false">(SUMIFS('Payment Breakdown Current'!$T$15:$T$104,'Payment Breakdown Current'!$AE$15:$AE$104,$A65))-(SUMIFS('Payment Breakdown Prior'!$T$15:$T$104,'Payment Breakdown Prior'!$AE$15:$AE$104,$A65))</f>
        <v>0</v>
      </c>
      <c r="Y65" s="0" t="n">
        <f aca="false">(SUMIFS('Payment Breakdown Current'!$U$15:$U$104,'Payment Breakdown Current'!$AE$15:$AE$104,$A65))-(SUMIFS('Payment Breakdown Prior'!$U$15:$U$104,'Payment Breakdown Prior'!$AE$15:$AE$104,$A65))</f>
        <v>0</v>
      </c>
      <c r="Z65" s="0" t="n">
        <f aca="false">(SUMIFS('Payment Breakdown Current'!$V$15:$V$104,'Payment Breakdown Current'!$AE$15:$AE$104,$A65))-(SUMIFS('Payment Breakdown Prior'!$V$15:$V$104,'Payment Breakdown Prior'!$AE$15:$AE$104,$A65))</f>
        <v>0</v>
      </c>
      <c r="AA65" s="0" t="n">
        <f aca="false">(SUMIFS('Payment Breakdown Current'!$W$15:$W$104,'Payment Breakdown Current'!$AE$15:$AE$104,$A65))-(SUMIFS('Payment Breakdown Prior'!$W$15:$W$104,'Payment Breakdown Prior'!$AE$15:$AE$104,$A65))</f>
        <v>0</v>
      </c>
      <c r="AB65" s="0" t="n">
        <f aca="false">(SUMIFS('Payment Breakdown Current'!$X$15:$X$104,'Payment Breakdown Current'!$AE$15:$AE$104,$A65))-(SUMIFS('Payment Breakdown Prior'!$X$15:$X$104,'Payment Breakdown Prior'!$AE$15:$AE$104,$A65))</f>
        <v>0</v>
      </c>
      <c r="AC65" s="0" t="n">
        <f aca="false">(SUMIFS('Payment Breakdown Current'!$Y$15:$Y$104,'Payment Breakdown Current'!$AE$15:$AE$104,$A65))-(SUMIFS('Payment Breakdown Prior'!$Y$15:$Y$104,'Payment Breakdown Prior'!$AE$15:$AE$104,$A65))</f>
        <v>0</v>
      </c>
      <c r="AD65" s="0" t="n">
        <f aca="false">(SUMIFS('Payment Breakdown Current'!$Z$15:$Z$104,'Payment Breakdown Current'!$AE$15:$AE$104,$A65))-(SUMIFS('Payment Breakdown Prior'!$Z$15:$Z$104,'Payment Breakdown Prior'!$AE$15:$AE$104,$A65))</f>
        <v>0</v>
      </c>
      <c r="AE65" s="0" t="n">
        <f aca="false">(SUMIFS('Payment Breakdown Current'!$AA$15:$AA$104,'Payment Breakdown Current'!$AE$15:$AE$104,$A65))-(SUMIFS('Payment Breakdown Prior'!$AA$15:$AA$104,'Payment Breakdown Prior'!$AE$15:$AE$104,$A65))</f>
        <v>0</v>
      </c>
      <c r="AF65" s="0" t="n">
        <f aca="false">(SUMIFS('Payment Breakdown Current'!$AB$15:$AB$104,'Payment Breakdown Current'!$AE$15:$AE$104,$A65))-(SUMIFS('Payment Breakdown Prior'!$AB$15:$AB$104,'Payment Breakdown Prior'!$AE$15:$AE$104,$A65))</f>
        <v>0</v>
      </c>
      <c r="AG65" s="0" t="n">
        <f aca="false">(SUMIFS('Payment Breakdown Current'!$AC$15:$AC$104,'Payment Breakdown Current'!$AE$15:$AE$104,$A65))-(SUMIFS('Payment Breakdown Prior'!$AC$15:$AC$104,'Payment Breakdown Prior'!$AE$15:$AE$104,$A65))</f>
        <v>0</v>
      </c>
      <c r="AH65" s="0" t="n">
        <f aca="false">(SUMIFS('Payment Breakdown Current'!$AD$15:$AD$104,'Payment Breakdown Current'!$AE$15:$AE$104,$A65))-(SUMIFS('Payment Breakdown Prior'!$AD$15:$AD$104,'Payment Breakdown Prior'!$AE$15:$AE$104,$A65))</f>
        <v>0</v>
      </c>
      <c r="AI65" s="0" t="n">
        <f aca="false">MAX(ABS(W65),ABS(X65),ABS(Y65),ABS(Z65),ABS(AA65),ABS(AB65),ABS(AC65),ABS(AD65),ABS(AE65),ABS(AF65),ABS(AG65),ABS(AH65))</f>
        <v>0</v>
      </c>
      <c r="AJ65" s="0" t="str">
        <f aca="false">IF(AI65&lt;0.005,"",IF(ABS(W65)=AI65,W$1,IF(ABS(X65)=AI65,X$1,IF(ABS(Y65)=AI65,Y$1,IF(ABS(Z65)=AI65,Z$1,IF(ABS(AA65)=AI65,AA$1,IF(ABS(AB65)=AI65,AB$1,IF(ABS(AC65)=AI65,AC$1,IF(ABS(AD65)=AI65,AD$1,IF(ABS(AE65)=AI65,AE$1,IF(ABS(AF65)=AI65,AF$1,IF(ABS(AG65)=AI65,AG$1,IF(ABS(AH65)=AI65,AH$1,"")))))))))))))</f>
        <v/>
      </c>
      <c r="AK65" s="0" t="str">
        <f aca="false">IF(AI65&lt;0.005,"",IF(ABS(W65)=AI65,W65,IF(ABS(X65)=AI65,X65,IF(ABS(Y65)=AI65,Y65,IF(ABS(Z65)=AI65,Z65,IF(ABS(AA65)=AI65,AA65,IF(ABS(AB65)=AI65,AB65,IF(ABS(AC65)=AI65,AC65,IF(ABS(AD65)=AI65,AD65,IF(ABS(AE65)=AI65,AE65,IF(ABS(AF65)=AI65,AF65,IF(ABS(AG65)=AI65,AG65,IF(ABS(AH65)=AI65,AH65,"")))))))))))))</f>
        <v/>
      </c>
      <c r="AL65" s="0" t="str">
        <f aca="false">IF(R65=1,ABS(L65)-ROW()/100000000,"")</f>
        <v/>
      </c>
    </row>
    <row r="66" customFormat="false" ht="15" hidden="false" customHeight="false" outlineLevel="0" collapsed="false">
      <c r="A66" s="0" t="str">
        <f aca="false">IF('NPV Comparison'!D79="","",'NPV Comparison'!D79)</f>
        <v/>
      </c>
      <c r="B66" s="0" t="str">
        <f aca="false">IF('NPV Comparison'!E79="","",'NPV Comparison'!E79)</f>
        <v/>
      </c>
      <c r="C66" s="0" t="str">
        <f aca="false">IF('NPV Comparison'!F79="","",'NPV Comparison'!F79)</f>
        <v/>
      </c>
      <c r="D66" s="0" t="str">
        <f aca="false">IF($A66="","",IFERROR(INDEX(Structure!$E$13:$E$312,MATCH($A66,Structure!$P$13:$P$312,0)),""))</f>
        <v/>
      </c>
      <c r="E66" s="0" t="n">
        <f aca="false">IF($A66="",0,IF(COUNTIF(Structure!$P$13:$P$312,$A66)=0,0,IF(COUNTIFS(Structure!$P$13:$P$312,$A66,Structure!$N$13:$N$312,"&lt;&gt;Zero Hours")=0,1,0)))</f>
        <v>0</v>
      </c>
      <c r="F66" s="0" t="n">
        <f aca="false">IF($A66="",0,1-E66)</f>
        <v>0</v>
      </c>
      <c r="G66" s="0" t="n">
        <f aca="false">IF($A66="",0,IF(COUNTIF('New Starters'!$D$14:$D$73,$A66)&gt;0,1,0))</f>
        <v>0</v>
      </c>
      <c r="H66" s="0" t="n">
        <f aca="false">IF($A66="",0,IF(COUNTIF(Leavers!$D$12:$D$71,$A66)&gt;0,1,0))</f>
        <v>0</v>
      </c>
      <c r="I66" s="0" t="str">
        <f aca="false">IF($A66="","",IFERROR(INDEX('New Starters'!$K$14:$K$73,MATCH($A66,'New Starters'!$D$14:$D$73,0)),IFERROR(INDEX(Leavers!$K$12:$K$71,MATCH($A66,Leavers!$D$12:$D$71,0)),"")))</f>
        <v/>
      </c>
      <c r="J66" s="0" t="n">
        <f aca="false">IF(AND(G66=1,I66&lt;&gt;"",COUNTIF(Leavers!$K$12:$K$71,I66)&gt;0),1,IF(AND(H66=1,I66&lt;&gt;"",COUNTIF('New Starters'!$K$14:$K$73,I66)&gt;0),1,0))</f>
        <v>0</v>
      </c>
      <c r="K66" s="14" t="n">
        <f aca="false">IF(ISNUMBER(SEARCH("Head Office",D66)),'Control Sheet'!$C$6,'Control Sheet'!$C$5)</f>
        <v>0.2</v>
      </c>
      <c r="L66" s="0" t="str">
        <f aca="false">IF(OR($A66="",AND(B66="",C66="")),"",IF(B66="",C66,IF(C66="",-B66,C66-B66)))</f>
        <v/>
      </c>
      <c r="M66" s="0" t="str">
        <f aca="false">IFERROR(L66/B66,"")</f>
        <v/>
      </c>
      <c r="N66" s="0" t="n">
        <f aca="false">IF($A66="",0,IF(OR(B66="",C66="",C66=0,IF(ISNUMBER(M66),ABS(M66)&gt;K66,FALSE())),1,0))</f>
        <v>0</v>
      </c>
      <c r="O66" s="0" t="n">
        <f aca="false">IF(OR($A66="",L66=""),0,IF(AND(N66=1,ABS(L66)&gt;='Control Sheet'!$C$7,F66=1),1,0))</f>
        <v>0</v>
      </c>
      <c r="P66" s="0" t="str">
        <f aca="false">IF($A66="","",IF(F66=0,"Zero Hours",IF(J66=1,"Explained: Paired transfer",IF(AND(G66=1,H66=0,J66=0),"Explained: Starter",IF(AND(H66=1,G66=0,J66=0),"Explained: Leaver",IF(O66=1,"Review required","OK"))))))</f>
        <v/>
      </c>
      <c r="Q66" s="0" t="n">
        <f aca="false">IF(AND(F66=1,OR(C66="",C66=0),H66=0,J66=0),1,0)</f>
        <v>0</v>
      </c>
      <c r="R66" s="0" t="n">
        <f aca="false">IF(F66=0,0,IF(P66="Review required",1,IF(AND(P66="Explained: Starter",ISNUMBER(C66),C66&gt;=1500),1,0)))</f>
        <v>0</v>
      </c>
      <c r="S66" s="0" t="str">
        <f aca="false">IF(R66=0,"",IF(Q66=1,"High",IF(AND(P66="Explained: Starter",C66&gt;=1500),"High",IF(ABS(L66)&gt;=2000,"High",IF(ABS(L66)&gt;=500,"Medium","Low")))))</f>
        <v/>
      </c>
      <c r="T66" s="0" t="n">
        <f aca="false">SUMIFS('Payment Breakdown Prior'!$S$15:$S$104,'Payment Breakdown Prior'!$AE$15:$AE$104,$A66)</f>
        <v>0</v>
      </c>
      <c r="U66" s="0" t="n">
        <f aca="false">SUMIFS('Payment Breakdown Current'!$S$15:$S$104,'Payment Breakdown Current'!$AE$15:$AE$104,$A66)</f>
        <v>0</v>
      </c>
      <c r="V66" s="0" t="str">
        <f aca="false">IFERROR((U66-T66)/T66,"")</f>
        <v/>
      </c>
      <c r="W66" s="0" t="n">
        <f aca="false">(SUMIFS('Payment Breakdown Current'!$S$15:$S$104,'Payment Breakdown Current'!$AE$15:$AE$104,$A66))-(SUMIFS('Payment Breakdown Prior'!$S$15:$S$104,'Payment Breakdown Prior'!$AE$15:$AE$104,$A66))</f>
        <v>0</v>
      </c>
      <c r="X66" s="0" t="n">
        <f aca="false">(SUMIFS('Payment Breakdown Current'!$T$15:$T$104,'Payment Breakdown Current'!$AE$15:$AE$104,$A66))-(SUMIFS('Payment Breakdown Prior'!$T$15:$T$104,'Payment Breakdown Prior'!$AE$15:$AE$104,$A66))</f>
        <v>0</v>
      </c>
      <c r="Y66" s="0" t="n">
        <f aca="false">(SUMIFS('Payment Breakdown Current'!$U$15:$U$104,'Payment Breakdown Current'!$AE$15:$AE$104,$A66))-(SUMIFS('Payment Breakdown Prior'!$U$15:$U$104,'Payment Breakdown Prior'!$AE$15:$AE$104,$A66))</f>
        <v>0</v>
      </c>
      <c r="Z66" s="0" t="n">
        <f aca="false">(SUMIFS('Payment Breakdown Current'!$V$15:$V$104,'Payment Breakdown Current'!$AE$15:$AE$104,$A66))-(SUMIFS('Payment Breakdown Prior'!$V$15:$V$104,'Payment Breakdown Prior'!$AE$15:$AE$104,$A66))</f>
        <v>0</v>
      </c>
      <c r="AA66" s="0" t="n">
        <f aca="false">(SUMIFS('Payment Breakdown Current'!$W$15:$W$104,'Payment Breakdown Current'!$AE$15:$AE$104,$A66))-(SUMIFS('Payment Breakdown Prior'!$W$15:$W$104,'Payment Breakdown Prior'!$AE$15:$AE$104,$A66))</f>
        <v>0</v>
      </c>
      <c r="AB66" s="0" t="n">
        <f aca="false">(SUMIFS('Payment Breakdown Current'!$X$15:$X$104,'Payment Breakdown Current'!$AE$15:$AE$104,$A66))-(SUMIFS('Payment Breakdown Prior'!$X$15:$X$104,'Payment Breakdown Prior'!$AE$15:$AE$104,$A66))</f>
        <v>0</v>
      </c>
      <c r="AC66" s="0" t="n">
        <f aca="false">(SUMIFS('Payment Breakdown Current'!$Y$15:$Y$104,'Payment Breakdown Current'!$AE$15:$AE$104,$A66))-(SUMIFS('Payment Breakdown Prior'!$Y$15:$Y$104,'Payment Breakdown Prior'!$AE$15:$AE$104,$A66))</f>
        <v>0</v>
      </c>
      <c r="AD66" s="0" t="n">
        <f aca="false">(SUMIFS('Payment Breakdown Current'!$Z$15:$Z$104,'Payment Breakdown Current'!$AE$15:$AE$104,$A66))-(SUMIFS('Payment Breakdown Prior'!$Z$15:$Z$104,'Payment Breakdown Prior'!$AE$15:$AE$104,$A66))</f>
        <v>0</v>
      </c>
      <c r="AE66" s="0" t="n">
        <f aca="false">(SUMIFS('Payment Breakdown Current'!$AA$15:$AA$104,'Payment Breakdown Current'!$AE$15:$AE$104,$A66))-(SUMIFS('Payment Breakdown Prior'!$AA$15:$AA$104,'Payment Breakdown Prior'!$AE$15:$AE$104,$A66))</f>
        <v>0</v>
      </c>
      <c r="AF66" s="0" t="n">
        <f aca="false">(SUMIFS('Payment Breakdown Current'!$AB$15:$AB$104,'Payment Breakdown Current'!$AE$15:$AE$104,$A66))-(SUMIFS('Payment Breakdown Prior'!$AB$15:$AB$104,'Payment Breakdown Prior'!$AE$15:$AE$104,$A66))</f>
        <v>0</v>
      </c>
      <c r="AG66" s="0" t="n">
        <f aca="false">(SUMIFS('Payment Breakdown Current'!$AC$15:$AC$104,'Payment Breakdown Current'!$AE$15:$AE$104,$A66))-(SUMIFS('Payment Breakdown Prior'!$AC$15:$AC$104,'Payment Breakdown Prior'!$AE$15:$AE$104,$A66))</f>
        <v>0</v>
      </c>
      <c r="AH66" s="0" t="n">
        <f aca="false">(SUMIFS('Payment Breakdown Current'!$AD$15:$AD$104,'Payment Breakdown Current'!$AE$15:$AE$104,$A66))-(SUMIFS('Payment Breakdown Prior'!$AD$15:$AD$104,'Payment Breakdown Prior'!$AE$15:$AE$104,$A66))</f>
        <v>0</v>
      </c>
      <c r="AI66" s="0" t="n">
        <f aca="false">MAX(ABS(W66),ABS(X66),ABS(Y66),ABS(Z66),ABS(AA66),ABS(AB66),ABS(AC66),ABS(AD66),ABS(AE66),ABS(AF66),ABS(AG66),ABS(AH66))</f>
        <v>0</v>
      </c>
      <c r="AJ66" s="0" t="str">
        <f aca="false">IF(AI66&lt;0.005,"",IF(ABS(W66)=AI66,W$1,IF(ABS(X66)=AI66,X$1,IF(ABS(Y66)=AI66,Y$1,IF(ABS(Z66)=AI66,Z$1,IF(ABS(AA66)=AI66,AA$1,IF(ABS(AB66)=AI66,AB$1,IF(ABS(AC66)=AI66,AC$1,IF(ABS(AD66)=AI66,AD$1,IF(ABS(AE66)=AI66,AE$1,IF(ABS(AF66)=AI66,AF$1,IF(ABS(AG66)=AI66,AG$1,IF(ABS(AH66)=AI66,AH$1,"")))))))))))))</f>
        <v/>
      </c>
      <c r="AK66" s="0" t="str">
        <f aca="false">IF(AI66&lt;0.005,"",IF(ABS(W66)=AI66,W66,IF(ABS(X66)=AI66,X66,IF(ABS(Y66)=AI66,Y66,IF(ABS(Z66)=AI66,Z66,IF(ABS(AA66)=AI66,AA66,IF(ABS(AB66)=AI66,AB66,IF(ABS(AC66)=AI66,AC66,IF(ABS(AD66)=AI66,AD66,IF(ABS(AE66)=AI66,AE66,IF(ABS(AF66)=AI66,AF66,IF(ABS(AG66)=AI66,AG66,IF(ABS(AH66)=AI66,AH66,"")))))))))))))</f>
        <v/>
      </c>
      <c r="AL66" s="0" t="str">
        <f aca="false">IF(R66=1,ABS(L66)-ROW()/100000000,"")</f>
        <v/>
      </c>
    </row>
    <row r="67" customFormat="false" ht="15" hidden="false" customHeight="false" outlineLevel="0" collapsed="false">
      <c r="A67" s="0" t="str">
        <f aca="false">IF('NPV Comparison'!D80="","",'NPV Comparison'!D80)</f>
        <v/>
      </c>
      <c r="B67" s="0" t="str">
        <f aca="false">IF('NPV Comparison'!E80="","",'NPV Comparison'!E80)</f>
        <v/>
      </c>
      <c r="C67" s="0" t="str">
        <f aca="false">IF('NPV Comparison'!F80="","",'NPV Comparison'!F80)</f>
        <v/>
      </c>
      <c r="D67" s="0" t="str">
        <f aca="false">IF($A67="","",IFERROR(INDEX(Structure!$E$13:$E$312,MATCH($A67,Structure!$P$13:$P$312,0)),""))</f>
        <v/>
      </c>
      <c r="E67" s="0" t="n">
        <f aca="false">IF($A67="",0,IF(COUNTIF(Structure!$P$13:$P$312,$A67)=0,0,IF(COUNTIFS(Structure!$P$13:$P$312,$A67,Structure!$N$13:$N$312,"&lt;&gt;Zero Hours")=0,1,0)))</f>
        <v>0</v>
      </c>
      <c r="F67" s="0" t="n">
        <f aca="false">IF($A67="",0,1-E67)</f>
        <v>0</v>
      </c>
      <c r="G67" s="0" t="n">
        <f aca="false">IF($A67="",0,IF(COUNTIF('New Starters'!$D$14:$D$73,$A67)&gt;0,1,0))</f>
        <v>0</v>
      </c>
      <c r="H67" s="0" t="n">
        <f aca="false">IF($A67="",0,IF(COUNTIF(Leavers!$D$12:$D$71,$A67)&gt;0,1,0))</f>
        <v>0</v>
      </c>
      <c r="I67" s="0" t="str">
        <f aca="false">IF($A67="","",IFERROR(INDEX('New Starters'!$K$14:$K$73,MATCH($A67,'New Starters'!$D$14:$D$73,0)),IFERROR(INDEX(Leavers!$K$12:$K$71,MATCH($A67,Leavers!$D$12:$D$71,0)),"")))</f>
        <v/>
      </c>
      <c r="J67" s="0" t="n">
        <f aca="false">IF(AND(G67=1,I67&lt;&gt;"",COUNTIF(Leavers!$K$12:$K$71,I67)&gt;0),1,IF(AND(H67=1,I67&lt;&gt;"",COUNTIF('New Starters'!$K$14:$K$73,I67)&gt;0),1,0))</f>
        <v>0</v>
      </c>
      <c r="K67" s="14" t="n">
        <f aca="false">IF(ISNUMBER(SEARCH("Head Office",D67)),'Control Sheet'!$C$6,'Control Sheet'!$C$5)</f>
        <v>0.2</v>
      </c>
      <c r="L67" s="0" t="str">
        <f aca="false">IF(OR($A67="",AND(B67="",C67="")),"",IF(B67="",C67,IF(C67="",-B67,C67-B67)))</f>
        <v/>
      </c>
      <c r="M67" s="0" t="str">
        <f aca="false">IFERROR(L67/B67,"")</f>
        <v/>
      </c>
      <c r="N67" s="0" t="n">
        <f aca="false">IF($A67="",0,IF(OR(B67="",C67="",C67=0,IF(ISNUMBER(M67),ABS(M67)&gt;K67,FALSE())),1,0))</f>
        <v>0</v>
      </c>
      <c r="O67" s="0" t="n">
        <f aca="false">IF(OR($A67="",L67=""),0,IF(AND(N67=1,ABS(L67)&gt;='Control Sheet'!$C$7,F67=1),1,0))</f>
        <v>0</v>
      </c>
      <c r="P67" s="0" t="str">
        <f aca="false">IF($A67="","",IF(F67=0,"Zero Hours",IF(J67=1,"Explained: Paired transfer",IF(AND(G67=1,H67=0,J67=0),"Explained: Starter",IF(AND(H67=1,G67=0,J67=0),"Explained: Leaver",IF(O67=1,"Review required","OK"))))))</f>
        <v/>
      </c>
      <c r="Q67" s="0" t="n">
        <f aca="false">IF(AND(F67=1,OR(C67="",C67=0),H67=0,J67=0),1,0)</f>
        <v>0</v>
      </c>
      <c r="R67" s="0" t="n">
        <f aca="false">IF(F67=0,0,IF(P67="Review required",1,IF(AND(P67="Explained: Starter",ISNUMBER(C67),C67&gt;=1500),1,0)))</f>
        <v>0</v>
      </c>
      <c r="S67" s="0" t="str">
        <f aca="false">IF(R67=0,"",IF(Q67=1,"High",IF(AND(P67="Explained: Starter",C67&gt;=1500),"High",IF(ABS(L67)&gt;=2000,"High",IF(ABS(L67)&gt;=500,"Medium","Low")))))</f>
        <v/>
      </c>
      <c r="T67" s="0" t="n">
        <f aca="false">SUMIFS('Payment Breakdown Prior'!$S$15:$S$104,'Payment Breakdown Prior'!$AE$15:$AE$104,$A67)</f>
        <v>0</v>
      </c>
      <c r="U67" s="0" t="n">
        <f aca="false">SUMIFS('Payment Breakdown Current'!$S$15:$S$104,'Payment Breakdown Current'!$AE$15:$AE$104,$A67)</f>
        <v>0</v>
      </c>
      <c r="V67" s="0" t="str">
        <f aca="false">IFERROR((U67-T67)/T67,"")</f>
        <v/>
      </c>
      <c r="W67" s="0" t="n">
        <f aca="false">(SUMIFS('Payment Breakdown Current'!$S$15:$S$104,'Payment Breakdown Current'!$AE$15:$AE$104,$A67))-(SUMIFS('Payment Breakdown Prior'!$S$15:$S$104,'Payment Breakdown Prior'!$AE$15:$AE$104,$A67))</f>
        <v>0</v>
      </c>
      <c r="X67" s="0" t="n">
        <f aca="false">(SUMIFS('Payment Breakdown Current'!$T$15:$T$104,'Payment Breakdown Current'!$AE$15:$AE$104,$A67))-(SUMIFS('Payment Breakdown Prior'!$T$15:$T$104,'Payment Breakdown Prior'!$AE$15:$AE$104,$A67))</f>
        <v>0</v>
      </c>
      <c r="Y67" s="0" t="n">
        <f aca="false">(SUMIFS('Payment Breakdown Current'!$U$15:$U$104,'Payment Breakdown Current'!$AE$15:$AE$104,$A67))-(SUMIFS('Payment Breakdown Prior'!$U$15:$U$104,'Payment Breakdown Prior'!$AE$15:$AE$104,$A67))</f>
        <v>0</v>
      </c>
      <c r="Z67" s="0" t="n">
        <f aca="false">(SUMIFS('Payment Breakdown Current'!$V$15:$V$104,'Payment Breakdown Current'!$AE$15:$AE$104,$A67))-(SUMIFS('Payment Breakdown Prior'!$V$15:$V$104,'Payment Breakdown Prior'!$AE$15:$AE$104,$A67))</f>
        <v>0</v>
      </c>
      <c r="AA67" s="0" t="n">
        <f aca="false">(SUMIFS('Payment Breakdown Current'!$W$15:$W$104,'Payment Breakdown Current'!$AE$15:$AE$104,$A67))-(SUMIFS('Payment Breakdown Prior'!$W$15:$W$104,'Payment Breakdown Prior'!$AE$15:$AE$104,$A67))</f>
        <v>0</v>
      </c>
      <c r="AB67" s="0" t="n">
        <f aca="false">(SUMIFS('Payment Breakdown Current'!$X$15:$X$104,'Payment Breakdown Current'!$AE$15:$AE$104,$A67))-(SUMIFS('Payment Breakdown Prior'!$X$15:$X$104,'Payment Breakdown Prior'!$AE$15:$AE$104,$A67))</f>
        <v>0</v>
      </c>
      <c r="AC67" s="0" t="n">
        <f aca="false">(SUMIFS('Payment Breakdown Current'!$Y$15:$Y$104,'Payment Breakdown Current'!$AE$15:$AE$104,$A67))-(SUMIFS('Payment Breakdown Prior'!$Y$15:$Y$104,'Payment Breakdown Prior'!$AE$15:$AE$104,$A67))</f>
        <v>0</v>
      </c>
      <c r="AD67" s="0" t="n">
        <f aca="false">(SUMIFS('Payment Breakdown Current'!$Z$15:$Z$104,'Payment Breakdown Current'!$AE$15:$AE$104,$A67))-(SUMIFS('Payment Breakdown Prior'!$Z$15:$Z$104,'Payment Breakdown Prior'!$AE$15:$AE$104,$A67))</f>
        <v>0</v>
      </c>
      <c r="AE67" s="0" t="n">
        <f aca="false">(SUMIFS('Payment Breakdown Current'!$AA$15:$AA$104,'Payment Breakdown Current'!$AE$15:$AE$104,$A67))-(SUMIFS('Payment Breakdown Prior'!$AA$15:$AA$104,'Payment Breakdown Prior'!$AE$15:$AE$104,$A67))</f>
        <v>0</v>
      </c>
      <c r="AF67" s="0" t="n">
        <f aca="false">(SUMIFS('Payment Breakdown Current'!$AB$15:$AB$104,'Payment Breakdown Current'!$AE$15:$AE$104,$A67))-(SUMIFS('Payment Breakdown Prior'!$AB$15:$AB$104,'Payment Breakdown Prior'!$AE$15:$AE$104,$A67))</f>
        <v>0</v>
      </c>
      <c r="AG67" s="0" t="n">
        <f aca="false">(SUMIFS('Payment Breakdown Current'!$AC$15:$AC$104,'Payment Breakdown Current'!$AE$15:$AE$104,$A67))-(SUMIFS('Payment Breakdown Prior'!$AC$15:$AC$104,'Payment Breakdown Prior'!$AE$15:$AE$104,$A67))</f>
        <v>0</v>
      </c>
      <c r="AH67" s="0" t="n">
        <f aca="false">(SUMIFS('Payment Breakdown Current'!$AD$15:$AD$104,'Payment Breakdown Current'!$AE$15:$AE$104,$A67))-(SUMIFS('Payment Breakdown Prior'!$AD$15:$AD$104,'Payment Breakdown Prior'!$AE$15:$AE$104,$A67))</f>
        <v>0</v>
      </c>
      <c r="AI67" s="0" t="n">
        <f aca="false">MAX(ABS(W67),ABS(X67),ABS(Y67),ABS(Z67),ABS(AA67),ABS(AB67),ABS(AC67),ABS(AD67),ABS(AE67),ABS(AF67),ABS(AG67),ABS(AH67))</f>
        <v>0</v>
      </c>
      <c r="AJ67" s="0" t="str">
        <f aca="false">IF(AI67&lt;0.005,"",IF(ABS(W67)=AI67,W$1,IF(ABS(X67)=AI67,X$1,IF(ABS(Y67)=AI67,Y$1,IF(ABS(Z67)=AI67,Z$1,IF(ABS(AA67)=AI67,AA$1,IF(ABS(AB67)=AI67,AB$1,IF(ABS(AC67)=AI67,AC$1,IF(ABS(AD67)=AI67,AD$1,IF(ABS(AE67)=AI67,AE$1,IF(ABS(AF67)=AI67,AF$1,IF(ABS(AG67)=AI67,AG$1,IF(ABS(AH67)=AI67,AH$1,"")))))))))))))</f>
        <v/>
      </c>
      <c r="AK67" s="0" t="str">
        <f aca="false">IF(AI67&lt;0.005,"",IF(ABS(W67)=AI67,W67,IF(ABS(X67)=AI67,X67,IF(ABS(Y67)=AI67,Y67,IF(ABS(Z67)=AI67,Z67,IF(ABS(AA67)=AI67,AA67,IF(ABS(AB67)=AI67,AB67,IF(ABS(AC67)=AI67,AC67,IF(ABS(AD67)=AI67,AD67,IF(ABS(AE67)=AI67,AE67,IF(ABS(AF67)=AI67,AF67,IF(ABS(AG67)=AI67,AG67,IF(ABS(AH67)=AI67,AH67,"")))))))))))))</f>
        <v/>
      </c>
      <c r="AL67" s="0" t="str">
        <f aca="false">IF(R67=1,ABS(L67)-ROW()/100000000,"")</f>
        <v/>
      </c>
    </row>
    <row r="68" customFormat="false" ht="15" hidden="false" customHeight="false" outlineLevel="0" collapsed="false">
      <c r="A68" s="0" t="str">
        <f aca="false">IF('NPV Comparison'!D81="","",'NPV Comparison'!D81)</f>
        <v/>
      </c>
      <c r="B68" s="0" t="str">
        <f aca="false">IF('NPV Comparison'!E81="","",'NPV Comparison'!E81)</f>
        <v/>
      </c>
      <c r="C68" s="0" t="str">
        <f aca="false">IF('NPV Comparison'!F81="","",'NPV Comparison'!F81)</f>
        <v/>
      </c>
      <c r="D68" s="0" t="str">
        <f aca="false">IF($A68="","",IFERROR(INDEX(Structure!$E$13:$E$312,MATCH($A68,Structure!$P$13:$P$312,0)),""))</f>
        <v/>
      </c>
      <c r="E68" s="0" t="n">
        <f aca="false">IF($A68="",0,IF(COUNTIF(Structure!$P$13:$P$312,$A68)=0,0,IF(COUNTIFS(Structure!$P$13:$P$312,$A68,Structure!$N$13:$N$312,"&lt;&gt;Zero Hours")=0,1,0)))</f>
        <v>0</v>
      </c>
      <c r="F68" s="0" t="n">
        <f aca="false">IF($A68="",0,1-E68)</f>
        <v>0</v>
      </c>
      <c r="G68" s="0" t="n">
        <f aca="false">IF($A68="",0,IF(COUNTIF('New Starters'!$D$14:$D$73,$A68)&gt;0,1,0))</f>
        <v>0</v>
      </c>
      <c r="H68" s="0" t="n">
        <f aca="false">IF($A68="",0,IF(COUNTIF(Leavers!$D$12:$D$71,$A68)&gt;0,1,0))</f>
        <v>0</v>
      </c>
      <c r="I68" s="0" t="str">
        <f aca="false">IF($A68="","",IFERROR(INDEX('New Starters'!$K$14:$K$73,MATCH($A68,'New Starters'!$D$14:$D$73,0)),IFERROR(INDEX(Leavers!$K$12:$K$71,MATCH($A68,Leavers!$D$12:$D$71,0)),"")))</f>
        <v/>
      </c>
      <c r="J68" s="0" t="n">
        <f aca="false">IF(AND(G68=1,I68&lt;&gt;"",COUNTIF(Leavers!$K$12:$K$71,I68)&gt;0),1,IF(AND(H68=1,I68&lt;&gt;"",COUNTIF('New Starters'!$K$14:$K$73,I68)&gt;0),1,0))</f>
        <v>0</v>
      </c>
      <c r="K68" s="14" t="n">
        <f aca="false">IF(ISNUMBER(SEARCH("Head Office",D68)),'Control Sheet'!$C$6,'Control Sheet'!$C$5)</f>
        <v>0.2</v>
      </c>
      <c r="L68" s="0" t="str">
        <f aca="false">IF(OR($A68="",AND(B68="",C68="")),"",IF(B68="",C68,IF(C68="",-B68,C68-B68)))</f>
        <v/>
      </c>
      <c r="M68" s="0" t="str">
        <f aca="false">IFERROR(L68/B68,"")</f>
        <v/>
      </c>
      <c r="N68" s="0" t="n">
        <f aca="false">IF($A68="",0,IF(OR(B68="",C68="",C68=0,IF(ISNUMBER(M68),ABS(M68)&gt;K68,FALSE())),1,0))</f>
        <v>0</v>
      </c>
      <c r="O68" s="0" t="n">
        <f aca="false">IF(OR($A68="",L68=""),0,IF(AND(N68=1,ABS(L68)&gt;='Control Sheet'!$C$7,F68=1),1,0))</f>
        <v>0</v>
      </c>
      <c r="P68" s="0" t="str">
        <f aca="false">IF($A68="","",IF(F68=0,"Zero Hours",IF(J68=1,"Explained: Paired transfer",IF(AND(G68=1,H68=0,J68=0),"Explained: Starter",IF(AND(H68=1,G68=0,J68=0),"Explained: Leaver",IF(O68=1,"Review required","OK"))))))</f>
        <v/>
      </c>
      <c r="Q68" s="0" t="n">
        <f aca="false">IF(AND(F68=1,OR(C68="",C68=0),H68=0,J68=0),1,0)</f>
        <v>0</v>
      </c>
      <c r="R68" s="0" t="n">
        <f aca="false">IF(F68=0,0,IF(P68="Review required",1,IF(AND(P68="Explained: Starter",ISNUMBER(C68),C68&gt;=1500),1,0)))</f>
        <v>0</v>
      </c>
      <c r="S68" s="0" t="str">
        <f aca="false">IF(R68=0,"",IF(Q68=1,"High",IF(AND(P68="Explained: Starter",C68&gt;=1500),"High",IF(ABS(L68)&gt;=2000,"High",IF(ABS(L68)&gt;=500,"Medium","Low")))))</f>
        <v/>
      </c>
      <c r="T68" s="0" t="n">
        <f aca="false">SUMIFS('Payment Breakdown Prior'!$S$15:$S$104,'Payment Breakdown Prior'!$AE$15:$AE$104,$A68)</f>
        <v>0</v>
      </c>
      <c r="U68" s="0" t="n">
        <f aca="false">SUMIFS('Payment Breakdown Current'!$S$15:$S$104,'Payment Breakdown Current'!$AE$15:$AE$104,$A68)</f>
        <v>0</v>
      </c>
      <c r="V68" s="0" t="str">
        <f aca="false">IFERROR((U68-T68)/T68,"")</f>
        <v/>
      </c>
      <c r="W68" s="0" t="n">
        <f aca="false">(SUMIFS('Payment Breakdown Current'!$S$15:$S$104,'Payment Breakdown Current'!$AE$15:$AE$104,$A68))-(SUMIFS('Payment Breakdown Prior'!$S$15:$S$104,'Payment Breakdown Prior'!$AE$15:$AE$104,$A68))</f>
        <v>0</v>
      </c>
      <c r="X68" s="0" t="n">
        <f aca="false">(SUMIFS('Payment Breakdown Current'!$T$15:$T$104,'Payment Breakdown Current'!$AE$15:$AE$104,$A68))-(SUMIFS('Payment Breakdown Prior'!$T$15:$T$104,'Payment Breakdown Prior'!$AE$15:$AE$104,$A68))</f>
        <v>0</v>
      </c>
      <c r="Y68" s="0" t="n">
        <f aca="false">(SUMIFS('Payment Breakdown Current'!$U$15:$U$104,'Payment Breakdown Current'!$AE$15:$AE$104,$A68))-(SUMIFS('Payment Breakdown Prior'!$U$15:$U$104,'Payment Breakdown Prior'!$AE$15:$AE$104,$A68))</f>
        <v>0</v>
      </c>
      <c r="Z68" s="0" t="n">
        <f aca="false">(SUMIFS('Payment Breakdown Current'!$V$15:$V$104,'Payment Breakdown Current'!$AE$15:$AE$104,$A68))-(SUMIFS('Payment Breakdown Prior'!$V$15:$V$104,'Payment Breakdown Prior'!$AE$15:$AE$104,$A68))</f>
        <v>0</v>
      </c>
      <c r="AA68" s="0" t="n">
        <f aca="false">(SUMIFS('Payment Breakdown Current'!$W$15:$W$104,'Payment Breakdown Current'!$AE$15:$AE$104,$A68))-(SUMIFS('Payment Breakdown Prior'!$W$15:$W$104,'Payment Breakdown Prior'!$AE$15:$AE$104,$A68))</f>
        <v>0</v>
      </c>
      <c r="AB68" s="0" t="n">
        <f aca="false">(SUMIFS('Payment Breakdown Current'!$X$15:$X$104,'Payment Breakdown Current'!$AE$15:$AE$104,$A68))-(SUMIFS('Payment Breakdown Prior'!$X$15:$X$104,'Payment Breakdown Prior'!$AE$15:$AE$104,$A68))</f>
        <v>0</v>
      </c>
      <c r="AC68" s="0" t="n">
        <f aca="false">(SUMIFS('Payment Breakdown Current'!$Y$15:$Y$104,'Payment Breakdown Current'!$AE$15:$AE$104,$A68))-(SUMIFS('Payment Breakdown Prior'!$Y$15:$Y$104,'Payment Breakdown Prior'!$AE$15:$AE$104,$A68))</f>
        <v>0</v>
      </c>
      <c r="AD68" s="0" t="n">
        <f aca="false">(SUMIFS('Payment Breakdown Current'!$Z$15:$Z$104,'Payment Breakdown Current'!$AE$15:$AE$104,$A68))-(SUMIFS('Payment Breakdown Prior'!$Z$15:$Z$104,'Payment Breakdown Prior'!$AE$15:$AE$104,$A68))</f>
        <v>0</v>
      </c>
      <c r="AE68" s="0" t="n">
        <f aca="false">(SUMIFS('Payment Breakdown Current'!$AA$15:$AA$104,'Payment Breakdown Current'!$AE$15:$AE$104,$A68))-(SUMIFS('Payment Breakdown Prior'!$AA$15:$AA$104,'Payment Breakdown Prior'!$AE$15:$AE$104,$A68))</f>
        <v>0</v>
      </c>
      <c r="AF68" s="0" t="n">
        <f aca="false">(SUMIFS('Payment Breakdown Current'!$AB$15:$AB$104,'Payment Breakdown Current'!$AE$15:$AE$104,$A68))-(SUMIFS('Payment Breakdown Prior'!$AB$15:$AB$104,'Payment Breakdown Prior'!$AE$15:$AE$104,$A68))</f>
        <v>0</v>
      </c>
      <c r="AG68" s="0" t="n">
        <f aca="false">(SUMIFS('Payment Breakdown Current'!$AC$15:$AC$104,'Payment Breakdown Current'!$AE$15:$AE$104,$A68))-(SUMIFS('Payment Breakdown Prior'!$AC$15:$AC$104,'Payment Breakdown Prior'!$AE$15:$AE$104,$A68))</f>
        <v>0</v>
      </c>
      <c r="AH68" s="0" t="n">
        <f aca="false">(SUMIFS('Payment Breakdown Current'!$AD$15:$AD$104,'Payment Breakdown Current'!$AE$15:$AE$104,$A68))-(SUMIFS('Payment Breakdown Prior'!$AD$15:$AD$104,'Payment Breakdown Prior'!$AE$15:$AE$104,$A68))</f>
        <v>0</v>
      </c>
      <c r="AI68" s="0" t="n">
        <f aca="false">MAX(ABS(W68),ABS(X68),ABS(Y68),ABS(Z68),ABS(AA68),ABS(AB68),ABS(AC68),ABS(AD68),ABS(AE68),ABS(AF68),ABS(AG68),ABS(AH68))</f>
        <v>0</v>
      </c>
      <c r="AJ68" s="0" t="str">
        <f aca="false">IF(AI68&lt;0.005,"",IF(ABS(W68)=AI68,W$1,IF(ABS(X68)=AI68,X$1,IF(ABS(Y68)=AI68,Y$1,IF(ABS(Z68)=AI68,Z$1,IF(ABS(AA68)=AI68,AA$1,IF(ABS(AB68)=AI68,AB$1,IF(ABS(AC68)=AI68,AC$1,IF(ABS(AD68)=AI68,AD$1,IF(ABS(AE68)=AI68,AE$1,IF(ABS(AF68)=AI68,AF$1,IF(ABS(AG68)=AI68,AG$1,IF(ABS(AH68)=AI68,AH$1,"")))))))))))))</f>
        <v/>
      </c>
      <c r="AK68" s="0" t="str">
        <f aca="false">IF(AI68&lt;0.005,"",IF(ABS(W68)=AI68,W68,IF(ABS(X68)=AI68,X68,IF(ABS(Y68)=AI68,Y68,IF(ABS(Z68)=AI68,Z68,IF(ABS(AA68)=AI68,AA68,IF(ABS(AB68)=AI68,AB68,IF(ABS(AC68)=AI68,AC68,IF(ABS(AD68)=AI68,AD68,IF(ABS(AE68)=AI68,AE68,IF(ABS(AF68)=AI68,AF68,IF(ABS(AG68)=AI68,AG68,IF(ABS(AH68)=AI68,AH68,"")))))))))))))</f>
        <v/>
      </c>
      <c r="AL68" s="0" t="str">
        <f aca="false">IF(R68=1,ABS(L68)-ROW()/100000000,"")</f>
        <v/>
      </c>
    </row>
    <row r="69" customFormat="false" ht="15" hidden="false" customHeight="false" outlineLevel="0" collapsed="false">
      <c r="A69" s="0" t="str">
        <f aca="false">IF('NPV Comparison'!D82="","",'NPV Comparison'!D82)</f>
        <v/>
      </c>
      <c r="B69" s="0" t="str">
        <f aca="false">IF('NPV Comparison'!E82="","",'NPV Comparison'!E82)</f>
        <v/>
      </c>
      <c r="C69" s="0" t="str">
        <f aca="false">IF('NPV Comparison'!F82="","",'NPV Comparison'!F82)</f>
        <v/>
      </c>
      <c r="D69" s="0" t="str">
        <f aca="false">IF($A69="","",IFERROR(INDEX(Structure!$E$13:$E$312,MATCH($A69,Structure!$P$13:$P$312,0)),""))</f>
        <v/>
      </c>
      <c r="E69" s="0" t="n">
        <f aca="false">IF($A69="",0,IF(COUNTIF(Structure!$P$13:$P$312,$A69)=0,0,IF(COUNTIFS(Structure!$P$13:$P$312,$A69,Structure!$N$13:$N$312,"&lt;&gt;Zero Hours")=0,1,0)))</f>
        <v>0</v>
      </c>
      <c r="F69" s="0" t="n">
        <f aca="false">IF($A69="",0,1-E69)</f>
        <v>0</v>
      </c>
      <c r="G69" s="0" t="n">
        <f aca="false">IF($A69="",0,IF(COUNTIF('New Starters'!$D$14:$D$73,$A69)&gt;0,1,0))</f>
        <v>0</v>
      </c>
      <c r="H69" s="0" t="n">
        <f aca="false">IF($A69="",0,IF(COUNTIF(Leavers!$D$12:$D$71,$A69)&gt;0,1,0))</f>
        <v>0</v>
      </c>
      <c r="I69" s="0" t="str">
        <f aca="false">IF($A69="","",IFERROR(INDEX('New Starters'!$K$14:$K$73,MATCH($A69,'New Starters'!$D$14:$D$73,0)),IFERROR(INDEX(Leavers!$K$12:$K$71,MATCH($A69,Leavers!$D$12:$D$71,0)),"")))</f>
        <v/>
      </c>
      <c r="J69" s="0" t="n">
        <f aca="false">IF(AND(G69=1,I69&lt;&gt;"",COUNTIF(Leavers!$K$12:$K$71,I69)&gt;0),1,IF(AND(H69=1,I69&lt;&gt;"",COUNTIF('New Starters'!$K$14:$K$73,I69)&gt;0),1,0))</f>
        <v>0</v>
      </c>
      <c r="K69" s="14" t="n">
        <f aca="false">IF(ISNUMBER(SEARCH("Head Office",D69)),'Control Sheet'!$C$6,'Control Sheet'!$C$5)</f>
        <v>0.2</v>
      </c>
      <c r="L69" s="0" t="str">
        <f aca="false">IF(OR($A69="",AND(B69="",C69="")),"",IF(B69="",C69,IF(C69="",-B69,C69-B69)))</f>
        <v/>
      </c>
      <c r="M69" s="0" t="str">
        <f aca="false">IFERROR(L69/B69,"")</f>
        <v/>
      </c>
      <c r="N69" s="0" t="n">
        <f aca="false">IF($A69="",0,IF(OR(B69="",C69="",C69=0,IF(ISNUMBER(M69),ABS(M69)&gt;K69,FALSE())),1,0))</f>
        <v>0</v>
      </c>
      <c r="O69" s="0" t="n">
        <f aca="false">IF(OR($A69="",L69=""),0,IF(AND(N69=1,ABS(L69)&gt;='Control Sheet'!$C$7,F69=1),1,0))</f>
        <v>0</v>
      </c>
      <c r="P69" s="0" t="str">
        <f aca="false">IF($A69="","",IF(F69=0,"Zero Hours",IF(J69=1,"Explained: Paired transfer",IF(AND(G69=1,H69=0,J69=0),"Explained: Starter",IF(AND(H69=1,G69=0,J69=0),"Explained: Leaver",IF(O69=1,"Review required","OK"))))))</f>
        <v/>
      </c>
      <c r="Q69" s="0" t="n">
        <f aca="false">IF(AND(F69=1,OR(C69="",C69=0),H69=0,J69=0),1,0)</f>
        <v>0</v>
      </c>
      <c r="R69" s="0" t="n">
        <f aca="false">IF(F69=0,0,IF(P69="Review required",1,IF(AND(P69="Explained: Starter",ISNUMBER(C69),C69&gt;=1500),1,0)))</f>
        <v>0</v>
      </c>
      <c r="S69" s="0" t="str">
        <f aca="false">IF(R69=0,"",IF(Q69=1,"High",IF(AND(P69="Explained: Starter",C69&gt;=1500),"High",IF(ABS(L69)&gt;=2000,"High",IF(ABS(L69)&gt;=500,"Medium","Low")))))</f>
        <v/>
      </c>
      <c r="T69" s="0" t="n">
        <f aca="false">SUMIFS('Payment Breakdown Prior'!$S$15:$S$104,'Payment Breakdown Prior'!$AE$15:$AE$104,$A69)</f>
        <v>0</v>
      </c>
      <c r="U69" s="0" t="n">
        <f aca="false">SUMIFS('Payment Breakdown Current'!$S$15:$S$104,'Payment Breakdown Current'!$AE$15:$AE$104,$A69)</f>
        <v>0</v>
      </c>
      <c r="V69" s="0" t="str">
        <f aca="false">IFERROR((U69-T69)/T69,"")</f>
        <v/>
      </c>
      <c r="W69" s="0" t="n">
        <f aca="false">(SUMIFS('Payment Breakdown Current'!$S$15:$S$104,'Payment Breakdown Current'!$AE$15:$AE$104,$A69))-(SUMIFS('Payment Breakdown Prior'!$S$15:$S$104,'Payment Breakdown Prior'!$AE$15:$AE$104,$A69))</f>
        <v>0</v>
      </c>
      <c r="X69" s="0" t="n">
        <f aca="false">(SUMIFS('Payment Breakdown Current'!$T$15:$T$104,'Payment Breakdown Current'!$AE$15:$AE$104,$A69))-(SUMIFS('Payment Breakdown Prior'!$T$15:$T$104,'Payment Breakdown Prior'!$AE$15:$AE$104,$A69))</f>
        <v>0</v>
      </c>
      <c r="Y69" s="0" t="n">
        <f aca="false">(SUMIFS('Payment Breakdown Current'!$U$15:$U$104,'Payment Breakdown Current'!$AE$15:$AE$104,$A69))-(SUMIFS('Payment Breakdown Prior'!$U$15:$U$104,'Payment Breakdown Prior'!$AE$15:$AE$104,$A69))</f>
        <v>0</v>
      </c>
      <c r="Z69" s="0" t="n">
        <f aca="false">(SUMIFS('Payment Breakdown Current'!$V$15:$V$104,'Payment Breakdown Current'!$AE$15:$AE$104,$A69))-(SUMIFS('Payment Breakdown Prior'!$V$15:$V$104,'Payment Breakdown Prior'!$AE$15:$AE$104,$A69))</f>
        <v>0</v>
      </c>
      <c r="AA69" s="0" t="n">
        <f aca="false">(SUMIFS('Payment Breakdown Current'!$W$15:$W$104,'Payment Breakdown Current'!$AE$15:$AE$104,$A69))-(SUMIFS('Payment Breakdown Prior'!$W$15:$W$104,'Payment Breakdown Prior'!$AE$15:$AE$104,$A69))</f>
        <v>0</v>
      </c>
      <c r="AB69" s="0" t="n">
        <f aca="false">(SUMIFS('Payment Breakdown Current'!$X$15:$X$104,'Payment Breakdown Current'!$AE$15:$AE$104,$A69))-(SUMIFS('Payment Breakdown Prior'!$X$15:$X$104,'Payment Breakdown Prior'!$AE$15:$AE$104,$A69))</f>
        <v>0</v>
      </c>
      <c r="AC69" s="0" t="n">
        <f aca="false">(SUMIFS('Payment Breakdown Current'!$Y$15:$Y$104,'Payment Breakdown Current'!$AE$15:$AE$104,$A69))-(SUMIFS('Payment Breakdown Prior'!$Y$15:$Y$104,'Payment Breakdown Prior'!$AE$15:$AE$104,$A69))</f>
        <v>0</v>
      </c>
      <c r="AD69" s="0" t="n">
        <f aca="false">(SUMIFS('Payment Breakdown Current'!$Z$15:$Z$104,'Payment Breakdown Current'!$AE$15:$AE$104,$A69))-(SUMIFS('Payment Breakdown Prior'!$Z$15:$Z$104,'Payment Breakdown Prior'!$AE$15:$AE$104,$A69))</f>
        <v>0</v>
      </c>
      <c r="AE69" s="0" t="n">
        <f aca="false">(SUMIFS('Payment Breakdown Current'!$AA$15:$AA$104,'Payment Breakdown Current'!$AE$15:$AE$104,$A69))-(SUMIFS('Payment Breakdown Prior'!$AA$15:$AA$104,'Payment Breakdown Prior'!$AE$15:$AE$104,$A69))</f>
        <v>0</v>
      </c>
      <c r="AF69" s="0" t="n">
        <f aca="false">(SUMIFS('Payment Breakdown Current'!$AB$15:$AB$104,'Payment Breakdown Current'!$AE$15:$AE$104,$A69))-(SUMIFS('Payment Breakdown Prior'!$AB$15:$AB$104,'Payment Breakdown Prior'!$AE$15:$AE$104,$A69))</f>
        <v>0</v>
      </c>
      <c r="AG69" s="0" t="n">
        <f aca="false">(SUMIFS('Payment Breakdown Current'!$AC$15:$AC$104,'Payment Breakdown Current'!$AE$15:$AE$104,$A69))-(SUMIFS('Payment Breakdown Prior'!$AC$15:$AC$104,'Payment Breakdown Prior'!$AE$15:$AE$104,$A69))</f>
        <v>0</v>
      </c>
      <c r="AH69" s="0" t="n">
        <f aca="false">(SUMIFS('Payment Breakdown Current'!$AD$15:$AD$104,'Payment Breakdown Current'!$AE$15:$AE$104,$A69))-(SUMIFS('Payment Breakdown Prior'!$AD$15:$AD$104,'Payment Breakdown Prior'!$AE$15:$AE$104,$A69))</f>
        <v>0</v>
      </c>
      <c r="AI69" s="0" t="n">
        <f aca="false">MAX(ABS(W69),ABS(X69),ABS(Y69),ABS(Z69),ABS(AA69),ABS(AB69),ABS(AC69),ABS(AD69),ABS(AE69),ABS(AF69),ABS(AG69),ABS(AH69))</f>
        <v>0</v>
      </c>
      <c r="AJ69" s="0" t="str">
        <f aca="false">IF(AI69&lt;0.005,"",IF(ABS(W69)=AI69,W$1,IF(ABS(X69)=AI69,X$1,IF(ABS(Y69)=AI69,Y$1,IF(ABS(Z69)=AI69,Z$1,IF(ABS(AA69)=AI69,AA$1,IF(ABS(AB69)=AI69,AB$1,IF(ABS(AC69)=AI69,AC$1,IF(ABS(AD69)=AI69,AD$1,IF(ABS(AE69)=AI69,AE$1,IF(ABS(AF69)=AI69,AF$1,IF(ABS(AG69)=AI69,AG$1,IF(ABS(AH69)=AI69,AH$1,"")))))))))))))</f>
        <v/>
      </c>
      <c r="AK69" s="0" t="str">
        <f aca="false">IF(AI69&lt;0.005,"",IF(ABS(W69)=AI69,W69,IF(ABS(X69)=AI69,X69,IF(ABS(Y69)=AI69,Y69,IF(ABS(Z69)=AI69,Z69,IF(ABS(AA69)=AI69,AA69,IF(ABS(AB69)=AI69,AB69,IF(ABS(AC69)=AI69,AC69,IF(ABS(AD69)=AI69,AD69,IF(ABS(AE69)=AI69,AE69,IF(ABS(AF69)=AI69,AF69,IF(ABS(AG69)=AI69,AG69,IF(ABS(AH69)=AI69,AH69,"")))))))))))))</f>
        <v/>
      </c>
      <c r="AL69" s="0" t="str">
        <f aca="false">IF(R69=1,ABS(L69)-ROW()/100000000,"")</f>
        <v/>
      </c>
    </row>
    <row r="70" customFormat="false" ht="15" hidden="false" customHeight="false" outlineLevel="0" collapsed="false">
      <c r="A70" s="0" t="str">
        <f aca="false">IF('NPV Comparison'!D83="","",'NPV Comparison'!D83)</f>
        <v/>
      </c>
      <c r="B70" s="0" t="str">
        <f aca="false">IF('NPV Comparison'!E83="","",'NPV Comparison'!E83)</f>
        <v/>
      </c>
      <c r="C70" s="0" t="str">
        <f aca="false">IF('NPV Comparison'!F83="","",'NPV Comparison'!F83)</f>
        <v/>
      </c>
      <c r="D70" s="0" t="str">
        <f aca="false">IF($A70="","",IFERROR(INDEX(Structure!$E$13:$E$312,MATCH($A70,Structure!$P$13:$P$312,0)),""))</f>
        <v/>
      </c>
      <c r="E70" s="0" t="n">
        <f aca="false">IF($A70="",0,IF(COUNTIF(Structure!$P$13:$P$312,$A70)=0,0,IF(COUNTIFS(Structure!$P$13:$P$312,$A70,Structure!$N$13:$N$312,"&lt;&gt;Zero Hours")=0,1,0)))</f>
        <v>0</v>
      </c>
      <c r="F70" s="0" t="n">
        <f aca="false">IF($A70="",0,1-E70)</f>
        <v>0</v>
      </c>
      <c r="G70" s="0" t="n">
        <f aca="false">IF($A70="",0,IF(COUNTIF('New Starters'!$D$14:$D$73,$A70)&gt;0,1,0))</f>
        <v>0</v>
      </c>
      <c r="H70" s="0" t="n">
        <f aca="false">IF($A70="",0,IF(COUNTIF(Leavers!$D$12:$D$71,$A70)&gt;0,1,0))</f>
        <v>0</v>
      </c>
      <c r="I70" s="0" t="str">
        <f aca="false">IF($A70="","",IFERROR(INDEX('New Starters'!$K$14:$K$73,MATCH($A70,'New Starters'!$D$14:$D$73,0)),IFERROR(INDEX(Leavers!$K$12:$K$71,MATCH($A70,Leavers!$D$12:$D$71,0)),"")))</f>
        <v/>
      </c>
      <c r="J70" s="0" t="n">
        <f aca="false">IF(AND(G70=1,I70&lt;&gt;"",COUNTIF(Leavers!$K$12:$K$71,I70)&gt;0),1,IF(AND(H70=1,I70&lt;&gt;"",COUNTIF('New Starters'!$K$14:$K$73,I70)&gt;0),1,0))</f>
        <v>0</v>
      </c>
      <c r="K70" s="14" t="n">
        <f aca="false">IF(ISNUMBER(SEARCH("Head Office",D70)),'Control Sheet'!$C$6,'Control Sheet'!$C$5)</f>
        <v>0.2</v>
      </c>
      <c r="L70" s="0" t="str">
        <f aca="false">IF(OR($A70="",AND(B70="",C70="")),"",IF(B70="",C70,IF(C70="",-B70,C70-B70)))</f>
        <v/>
      </c>
      <c r="M70" s="0" t="str">
        <f aca="false">IFERROR(L70/B70,"")</f>
        <v/>
      </c>
      <c r="N70" s="0" t="n">
        <f aca="false">IF($A70="",0,IF(OR(B70="",C70="",C70=0,IF(ISNUMBER(M70),ABS(M70)&gt;K70,FALSE())),1,0))</f>
        <v>0</v>
      </c>
      <c r="O70" s="0" t="n">
        <f aca="false">IF(OR($A70="",L70=""),0,IF(AND(N70=1,ABS(L70)&gt;='Control Sheet'!$C$7,F70=1),1,0))</f>
        <v>0</v>
      </c>
      <c r="P70" s="0" t="str">
        <f aca="false">IF($A70="","",IF(F70=0,"Zero Hours",IF(J70=1,"Explained: Paired transfer",IF(AND(G70=1,H70=0,J70=0),"Explained: Starter",IF(AND(H70=1,G70=0,J70=0),"Explained: Leaver",IF(O70=1,"Review required","OK"))))))</f>
        <v/>
      </c>
      <c r="Q70" s="0" t="n">
        <f aca="false">IF(AND(F70=1,OR(C70="",C70=0),H70=0,J70=0),1,0)</f>
        <v>0</v>
      </c>
      <c r="R70" s="0" t="n">
        <f aca="false">IF(F70=0,0,IF(P70="Review required",1,IF(AND(P70="Explained: Starter",ISNUMBER(C70),C70&gt;=1500),1,0)))</f>
        <v>0</v>
      </c>
      <c r="S70" s="0" t="str">
        <f aca="false">IF(R70=0,"",IF(Q70=1,"High",IF(AND(P70="Explained: Starter",C70&gt;=1500),"High",IF(ABS(L70)&gt;=2000,"High",IF(ABS(L70)&gt;=500,"Medium","Low")))))</f>
        <v/>
      </c>
      <c r="T70" s="0" t="n">
        <f aca="false">SUMIFS('Payment Breakdown Prior'!$S$15:$S$104,'Payment Breakdown Prior'!$AE$15:$AE$104,$A70)</f>
        <v>0</v>
      </c>
      <c r="U70" s="0" t="n">
        <f aca="false">SUMIFS('Payment Breakdown Current'!$S$15:$S$104,'Payment Breakdown Current'!$AE$15:$AE$104,$A70)</f>
        <v>0</v>
      </c>
      <c r="V70" s="0" t="str">
        <f aca="false">IFERROR((U70-T70)/T70,"")</f>
        <v/>
      </c>
      <c r="W70" s="0" t="n">
        <f aca="false">(SUMIFS('Payment Breakdown Current'!$S$15:$S$104,'Payment Breakdown Current'!$AE$15:$AE$104,$A70))-(SUMIFS('Payment Breakdown Prior'!$S$15:$S$104,'Payment Breakdown Prior'!$AE$15:$AE$104,$A70))</f>
        <v>0</v>
      </c>
      <c r="X70" s="0" t="n">
        <f aca="false">(SUMIFS('Payment Breakdown Current'!$T$15:$T$104,'Payment Breakdown Current'!$AE$15:$AE$104,$A70))-(SUMIFS('Payment Breakdown Prior'!$T$15:$T$104,'Payment Breakdown Prior'!$AE$15:$AE$104,$A70))</f>
        <v>0</v>
      </c>
      <c r="Y70" s="0" t="n">
        <f aca="false">(SUMIFS('Payment Breakdown Current'!$U$15:$U$104,'Payment Breakdown Current'!$AE$15:$AE$104,$A70))-(SUMIFS('Payment Breakdown Prior'!$U$15:$U$104,'Payment Breakdown Prior'!$AE$15:$AE$104,$A70))</f>
        <v>0</v>
      </c>
      <c r="Z70" s="0" t="n">
        <f aca="false">(SUMIFS('Payment Breakdown Current'!$V$15:$V$104,'Payment Breakdown Current'!$AE$15:$AE$104,$A70))-(SUMIFS('Payment Breakdown Prior'!$V$15:$V$104,'Payment Breakdown Prior'!$AE$15:$AE$104,$A70))</f>
        <v>0</v>
      </c>
      <c r="AA70" s="0" t="n">
        <f aca="false">(SUMIFS('Payment Breakdown Current'!$W$15:$W$104,'Payment Breakdown Current'!$AE$15:$AE$104,$A70))-(SUMIFS('Payment Breakdown Prior'!$W$15:$W$104,'Payment Breakdown Prior'!$AE$15:$AE$104,$A70))</f>
        <v>0</v>
      </c>
      <c r="AB70" s="0" t="n">
        <f aca="false">(SUMIFS('Payment Breakdown Current'!$X$15:$X$104,'Payment Breakdown Current'!$AE$15:$AE$104,$A70))-(SUMIFS('Payment Breakdown Prior'!$X$15:$X$104,'Payment Breakdown Prior'!$AE$15:$AE$104,$A70))</f>
        <v>0</v>
      </c>
      <c r="AC70" s="0" t="n">
        <f aca="false">(SUMIFS('Payment Breakdown Current'!$Y$15:$Y$104,'Payment Breakdown Current'!$AE$15:$AE$104,$A70))-(SUMIFS('Payment Breakdown Prior'!$Y$15:$Y$104,'Payment Breakdown Prior'!$AE$15:$AE$104,$A70))</f>
        <v>0</v>
      </c>
      <c r="AD70" s="0" t="n">
        <f aca="false">(SUMIFS('Payment Breakdown Current'!$Z$15:$Z$104,'Payment Breakdown Current'!$AE$15:$AE$104,$A70))-(SUMIFS('Payment Breakdown Prior'!$Z$15:$Z$104,'Payment Breakdown Prior'!$AE$15:$AE$104,$A70))</f>
        <v>0</v>
      </c>
      <c r="AE70" s="0" t="n">
        <f aca="false">(SUMIFS('Payment Breakdown Current'!$AA$15:$AA$104,'Payment Breakdown Current'!$AE$15:$AE$104,$A70))-(SUMIFS('Payment Breakdown Prior'!$AA$15:$AA$104,'Payment Breakdown Prior'!$AE$15:$AE$104,$A70))</f>
        <v>0</v>
      </c>
      <c r="AF70" s="0" t="n">
        <f aca="false">(SUMIFS('Payment Breakdown Current'!$AB$15:$AB$104,'Payment Breakdown Current'!$AE$15:$AE$104,$A70))-(SUMIFS('Payment Breakdown Prior'!$AB$15:$AB$104,'Payment Breakdown Prior'!$AE$15:$AE$104,$A70))</f>
        <v>0</v>
      </c>
      <c r="AG70" s="0" t="n">
        <f aca="false">(SUMIFS('Payment Breakdown Current'!$AC$15:$AC$104,'Payment Breakdown Current'!$AE$15:$AE$104,$A70))-(SUMIFS('Payment Breakdown Prior'!$AC$15:$AC$104,'Payment Breakdown Prior'!$AE$15:$AE$104,$A70))</f>
        <v>0</v>
      </c>
      <c r="AH70" s="0" t="n">
        <f aca="false">(SUMIFS('Payment Breakdown Current'!$AD$15:$AD$104,'Payment Breakdown Current'!$AE$15:$AE$104,$A70))-(SUMIFS('Payment Breakdown Prior'!$AD$15:$AD$104,'Payment Breakdown Prior'!$AE$15:$AE$104,$A70))</f>
        <v>0</v>
      </c>
      <c r="AI70" s="0" t="n">
        <f aca="false">MAX(ABS(W70),ABS(X70),ABS(Y70),ABS(Z70),ABS(AA70),ABS(AB70),ABS(AC70),ABS(AD70),ABS(AE70),ABS(AF70),ABS(AG70),ABS(AH70))</f>
        <v>0</v>
      </c>
      <c r="AJ70" s="0" t="str">
        <f aca="false">IF(AI70&lt;0.005,"",IF(ABS(W70)=AI70,W$1,IF(ABS(X70)=AI70,X$1,IF(ABS(Y70)=AI70,Y$1,IF(ABS(Z70)=AI70,Z$1,IF(ABS(AA70)=AI70,AA$1,IF(ABS(AB70)=AI70,AB$1,IF(ABS(AC70)=AI70,AC$1,IF(ABS(AD70)=AI70,AD$1,IF(ABS(AE70)=AI70,AE$1,IF(ABS(AF70)=AI70,AF$1,IF(ABS(AG70)=AI70,AG$1,IF(ABS(AH70)=AI70,AH$1,"")))))))))))))</f>
        <v/>
      </c>
      <c r="AK70" s="0" t="str">
        <f aca="false">IF(AI70&lt;0.005,"",IF(ABS(W70)=AI70,W70,IF(ABS(X70)=AI70,X70,IF(ABS(Y70)=AI70,Y70,IF(ABS(Z70)=AI70,Z70,IF(ABS(AA70)=AI70,AA70,IF(ABS(AB70)=AI70,AB70,IF(ABS(AC70)=AI70,AC70,IF(ABS(AD70)=AI70,AD70,IF(ABS(AE70)=AI70,AE70,IF(ABS(AF70)=AI70,AF70,IF(ABS(AG70)=AI70,AG70,IF(ABS(AH70)=AI70,AH70,"")))))))))))))</f>
        <v/>
      </c>
      <c r="AL70" s="0" t="str">
        <f aca="false">IF(R70=1,ABS(L70)-ROW()/100000000,"")</f>
        <v/>
      </c>
    </row>
    <row r="71" customFormat="false" ht="15" hidden="false" customHeight="false" outlineLevel="0" collapsed="false">
      <c r="A71" s="0" t="str">
        <f aca="false">IF('NPV Comparison'!D84="","",'NPV Comparison'!D84)</f>
        <v/>
      </c>
      <c r="B71" s="0" t="str">
        <f aca="false">IF('NPV Comparison'!E84="","",'NPV Comparison'!E84)</f>
        <v/>
      </c>
      <c r="C71" s="0" t="str">
        <f aca="false">IF('NPV Comparison'!F84="","",'NPV Comparison'!F84)</f>
        <v/>
      </c>
      <c r="D71" s="0" t="str">
        <f aca="false">IF($A71="","",IFERROR(INDEX(Structure!$E$13:$E$312,MATCH($A71,Structure!$P$13:$P$312,0)),""))</f>
        <v/>
      </c>
      <c r="E71" s="0" t="n">
        <f aca="false">IF($A71="",0,IF(COUNTIF(Structure!$P$13:$P$312,$A71)=0,0,IF(COUNTIFS(Structure!$P$13:$P$312,$A71,Structure!$N$13:$N$312,"&lt;&gt;Zero Hours")=0,1,0)))</f>
        <v>0</v>
      </c>
      <c r="F71" s="0" t="n">
        <f aca="false">IF($A71="",0,1-E71)</f>
        <v>0</v>
      </c>
      <c r="G71" s="0" t="n">
        <f aca="false">IF($A71="",0,IF(COUNTIF('New Starters'!$D$14:$D$73,$A71)&gt;0,1,0))</f>
        <v>0</v>
      </c>
      <c r="H71" s="0" t="n">
        <f aca="false">IF($A71="",0,IF(COUNTIF(Leavers!$D$12:$D$71,$A71)&gt;0,1,0))</f>
        <v>0</v>
      </c>
      <c r="I71" s="0" t="str">
        <f aca="false">IF($A71="","",IFERROR(INDEX('New Starters'!$K$14:$K$73,MATCH($A71,'New Starters'!$D$14:$D$73,0)),IFERROR(INDEX(Leavers!$K$12:$K$71,MATCH($A71,Leavers!$D$12:$D$71,0)),"")))</f>
        <v/>
      </c>
      <c r="J71" s="0" t="n">
        <f aca="false">IF(AND(G71=1,I71&lt;&gt;"",COUNTIF(Leavers!$K$12:$K$71,I71)&gt;0),1,IF(AND(H71=1,I71&lt;&gt;"",COUNTIF('New Starters'!$K$14:$K$73,I71)&gt;0),1,0))</f>
        <v>0</v>
      </c>
      <c r="K71" s="14" t="n">
        <f aca="false">IF(ISNUMBER(SEARCH("Head Office",D71)),'Control Sheet'!$C$6,'Control Sheet'!$C$5)</f>
        <v>0.2</v>
      </c>
      <c r="L71" s="0" t="str">
        <f aca="false">IF(OR($A71="",AND(B71="",C71="")),"",IF(B71="",C71,IF(C71="",-B71,C71-B71)))</f>
        <v/>
      </c>
      <c r="M71" s="0" t="str">
        <f aca="false">IFERROR(L71/B71,"")</f>
        <v/>
      </c>
      <c r="N71" s="0" t="n">
        <f aca="false">IF($A71="",0,IF(OR(B71="",C71="",C71=0,IF(ISNUMBER(M71),ABS(M71)&gt;K71,FALSE())),1,0))</f>
        <v>0</v>
      </c>
      <c r="O71" s="0" t="n">
        <f aca="false">IF(OR($A71="",L71=""),0,IF(AND(N71=1,ABS(L71)&gt;='Control Sheet'!$C$7,F71=1),1,0))</f>
        <v>0</v>
      </c>
      <c r="P71" s="0" t="str">
        <f aca="false">IF($A71="","",IF(F71=0,"Zero Hours",IF(J71=1,"Explained: Paired transfer",IF(AND(G71=1,H71=0,J71=0),"Explained: Starter",IF(AND(H71=1,G71=0,J71=0),"Explained: Leaver",IF(O71=1,"Review required","OK"))))))</f>
        <v/>
      </c>
      <c r="Q71" s="0" t="n">
        <f aca="false">IF(AND(F71=1,OR(C71="",C71=0),H71=0,J71=0),1,0)</f>
        <v>0</v>
      </c>
      <c r="R71" s="0" t="n">
        <f aca="false">IF(F71=0,0,IF(P71="Review required",1,IF(AND(P71="Explained: Starter",ISNUMBER(C71),C71&gt;=1500),1,0)))</f>
        <v>0</v>
      </c>
      <c r="S71" s="0" t="str">
        <f aca="false">IF(R71=0,"",IF(Q71=1,"High",IF(AND(P71="Explained: Starter",C71&gt;=1500),"High",IF(ABS(L71)&gt;=2000,"High",IF(ABS(L71)&gt;=500,"Medium","Low")))))</f>
        <v/>
      </c>
      <c r="T71" s="0" t="n">
        <f aca="false">SUMIFS('Payment Breakdown Prior'!$S$15:$S$104,'Payment Breakdown Prior'!$AE$15:$AE$104,$A71)</f>
        <v>0</v>
      </c>
      <c r="U71" s="0" t="n">
        <f aca="false">SUMIFS('Payment Breakdown Current'!$S$15:$S$104,'Payment Breakdown Current'!$AE$15:$AE$104,$A71)</f>
        <v>0</v>
      </c>
      <c r="V71" s="0" t="str">
        <f aca="false">IFERROR((U71-T71)/T71,"")</f>
        <v/>
      </c>
      <c r="W71" s="0" t="n">
        <f aca="false">(SUMIFS('Payment Breakdown Current'!$S$15:$S$104,'Payment Breakdown Current'!$AE$15:$AE$104,$A71))-(SUMIFS('Payment Breakdown Prior'!$S$15:$S$104,'Payment Breakdown Prior'!$AE$15:$AE$104,$A71))</f>
        <v>0</v>
      </c>
      <c r="X71" s="0" t="n">
        <f aca="false">(SUMIFS('Payment Breakdown Current'!$T$15:$T$104,'Payment Breakdown Current'!$AE$15:$AE$104,$A71))-(SUMIFS('Payment Breakdown Prior'!$T$15:$T$104,'Payment Breakdown Prior'!$AE$15:$AE$104,$A71))</f>
        <v>0</v>
      </c>
      <c r="Y71" s="0" t="n">
        <f aca="false">(SUMIFS('Payment Breakdown Current'!$U$15:$U$104,'Payment Breakdown Current'!$AE$15:$AE$104,$A71))-(SUMIFS('Payment Breakdown Prior'!$U$15:$U$104,'Payment Breakdown Prior'!$AE$15:$AE$104,$A71))</f>
        <v>0</v>
      </c>
      <c r="Z71" s="0" t="n">
        <f aca="false">(SUMIFS('Payment Breakdown Current'!$V$15:$V$104,'Payment Breakdown Current'!$AE$15:$AE$104,$A71))-(SUMIFS('Payment Breakdown Prior'!$V$15:$V$104,'Payment Breakdown Prior'!$AE$15:$AE$104,$A71))</f>
        <v>0</v>
      </c>
      <c r="AA71" s="0" t="n">
        <f aca="false">(SUMIFS('Payment Breakdown Current'!$W$15:$W$104,'Payment Breakdown Current'!$AE$15:$AE$104,$A71))-(SUMIFS('Payment Breakdown Prior'!$W$15:$W$104,'Payment Breakdown Prior'!$AE$15:$AE$104,$A71))</f>
        <v>0</v>
      </c>
      <c r="AB71" s="0" t="n">
        <f aca="false">(SUMIFS('Payment Breakdown Current'!$X$15:$X$104,'Payment Breakdown Current'!$AE$15:$AE$104,$A71))-(SUMIFS('Payment Breakdown Prior'!$X$15:$X$104,'Payment Breakdown Prior'!$AE$15:$AE$104,$A71))</f>
        <v>0</v>
      </c>
      <c r="AC71" s="0" t="n">
        <f aca="false">(SUMIFS('Payment Breakdown Current'!$Y$15:$Y$104,'Payment Breakdown Current'!$AE$15:$AE$104,$A71))-(SUMIFS('Payment Breakdown Prior'!$Y$15:$Y$104,'Payment Breakdown Prior'!$AE$15:$AE$104,$A71))</f>
        <v>0</v>
      </c>
      <c r="AD71" s="0" t="n">
        <f aca="false">(SUMIFS('Payment Breakdown Current'!$Z$15:$Z$104,'Payment Breakdown Current'!$AE$15:$AE$104,$A71))-(SUMIFS('Payment Breakdown Prior'!$Z$15:$Z$104,'Payment Breakdown Prior'!$AE$15:$AE$104,$A71))</f>
        <v>0</v>
      </c>
      <c r="AE71" s="0" t="n">
        <f aca="false">(SUMIFS('Payment Breakdown Current'!$AA$15:$AA$104,'Payment Breakdown Current'!$AE$15:$AE$104,$A71))-(SUMIFS('Payment Breakdown Prior'!$AA$15:$AA$104,'Payment Breakdown Prior'!$AE$15:$AE$104,$A71))</f>
        <v>0</v>
      </c>
      <c r="AF71" s="0" t="n">
        <f aca="false">(SUMIFS('Payment Breakdown Current'!$AB$15:$AB$104,'Payment Breakdown Current'!$AE$15:$AE$104,$A71))-(SUMIFS('Payment Breakdown Prior'!$AB$15:$AB$104,'Payment Breakdown Prior'!$AE$15:$AE$104,$A71))</f>
        <v>0</v>
      </c>
      <c r="AG71" s="0" t="n">
        <f aca="false">(SUMIFS('Payment Breakdown Current'!$AC$15:$AC$104,'Payment Breakdown Current'!$AE$15:$AE$104,$A71))-(SUMIFS('Payment Breakdown Prior'!$AC$15:$AC$104,'Payment Breakdown Prior'!$AE$15:$AE$104,$A71))</f>
        <v>0</v>
      </c>
      <c r="AH71" s="0" t="n">
        <f aca="false">(SUMIFS('Payment Breakdown Current'!$AD$15:$AD$104,'Payment Breakdown Current'!$AE$15:$AE$104,$A71))-(SUMIFS('Payment Breakdown Prior'!$AD$15:$AD$104,'Payment Breakdown Prior'!$AE$15:$AE$104,$A71))</f>
        <v>0</v>
      </c>
      <c r="AI71" s="0" t="n">
        <f aca="false">MAX(ABS(W71),ABS(X71),ABS(Y71),ABS(Z71),ABS(AA71),ABS(AB71),ABS(AC71),ABS(AD71),ABS(AE71),ABS(AF71),ABS(AG71),ABS(AH71))</f>
        <v>0</v>
      </c>
      <c r="AJ71" s="0" t="str">
        <f aca="false">IF(AI71&lt;0.005,"",IF(ABS(W71)=AI71,W$1,IF(ABS(X71)=AI71,X$1,IF(ABS(Y71)=AI71,Y$1,IF(ABS(Z71)=AI71,Z$1,IF(ABS(AA71)=AI71,AA$1,IF(ABS(AB71)=AI71,AB$1,IF(ABS(AC71)=AI71,AC$1,IF(ABS(AD71)=AI71,AD$1,IF(ABS(AE71)=AI71,AE$1,IF(ABS(AF71)=AI71,AF$1,IF(ABS(AG71)=AI71,AG$1,IF(ABS(AH71)=AI71,AH$1,"")))))))))))))</f>
        <v/>
      </c>
      <c r="AK71" s="0" t="str">
        <f aca="false">IF(AI71&lt;0.005,"",IF(ABS(W71)=AI71,W71,IF(ABS(X71)=AI71,X71,IF(ABS(Y71)=AI71,Y71,IF(ABS(Z71)=AI71,Z71,IF(ABS(AA71)=AI71,AA71,IF(ABS(AB71)=AI71,AB71,IF(ABS(AC71)=AI71,AC71,IF(ABS(AD71)=AI71,AD71,IF(ABS(AE71)=AI71,AE71,IF(ABS(AF71)=AI71,AF71,IF(ABS(AG71)=AI71,AG71,IF(ABS(AH71)=AI71,AH71,"")))))))))))))</f>
        <v/>
      </c>
      <c r="AL71" s="0" t="str">
        <f aca="false">IF(R71=1,ABS(L71)-ROW()/100000000,"")</f>
        <v/>
      </c>
    </row>
    <row r="72" customFormat="false" ht="15" hidden="false" customHeight="false" outlineLevel="0" collapsed="false">
      <c r="A72" s="0" t="str">
        <f aca="false">IF('NPV Comparison'!D85="","",'NPV Comparison'!D85)</f>
        <v/>
      </c>
      <c r="B72" s="0" t="str">
        <f aca="false">IF('NPV Comparison'!E85="","",'NPV Comparison'!E85)</f>
        <v/>
      </c>
      <c r="C72" s="0" t="str">
        <f aca="false">IF('NPV Comparison'!F85="","",'NPV Comparison'!F85)</f>
        <v/>
      </c>
      <c r="D72" s="0" t="str">
        <f aca="false">IF($A72="","",IFERROR(INDEX(Structure!$E$13:$E$312,MATCH($A72,Structure!$P$13:$P$312,0)),""))</f>
        <v/>
      </c>
      <c r="E72" s="0" t="n">
        <f aca="false">IF($A72="",0,IF(COUNTIF(Structure!$P$13:$P$312,$A72)=0,0,IF(COUNTIFS(Structure!$P$13:$P$312,$A72,Structure!$N$13:$N$312,"&lt;&gt;Zero Hours")=0,1,0)))</f>
        <v>0</v>
      </c>
      <c r="F72" s="0" t="n">
        <f aca="false">IF($A72="",0,1-E72)</f>
        <v>0</v>
      </c>
      <c r="G72" s="0" t="n">
        <f aca="false">IF($A72="",0,IF(COUNTIF('New Starters'!$D$14:$D$73,$A72)&gt;0,1,0))</f>
        <v>0</v>
      </c>
      <c r="H72" s="0" t="n">
        <f aca="false">IF($A72="",0,IF(COUNTIF(Leavers!$D$12:$D$71,$A72)&gt;0,1,0))</f>
        <v>0</v>
      </c>
      <c r="I72" s="0" t="str">
        <f aca="false">IF($A72="","",IFERROR(INDEX('New Starters'!$K$14:$K$73,MATCH($A72,'New Starters'!$D$14:$D$73,0)),IFERROR(INDEX(Leavers!$K$12:$K$71,MATCH($A72,Leavers!$D$12:$D$71,0)),"")))</f>
        <v/>
      </c>
      <c r="J72" s="0" t="n">
        <f aca="false">IF(AND(G72=1,I72&lt;&gt;"",COUNTIF(Leavers!$K$12:$K$71,I72)&gt;0),1,IF(AND(H72=1,I72&lt;&gt;"",COUNTIF('New Starters'!$K$14:$K$73,I72)&gt;0),1,0))</f>
        <v>0</v>
      </c>
      <c r="K72" s="14" t="n">
        <f aca="false">IF(ISNUMBER(SEARCH("Head Office",D72)),'Control Sheet'!$C$6,'Control Sheet'!$C$5)</f>
        <v>0.2</v>
      </c>
      <c r="L72" s="0" t="str">
        <f aca="false">IF(OR($A72="",AND(B72="",C72="")),"",IF(B72="",C72,IF(C72="",-B72,C72-B72)))</f>
        <v/>
      </c>
      <c r="M72" s="0" t="str">
        <f aca="false">IFERROR(L72/B72,"")</f>
        <v/>
      </c>
      <c r="N72" s="0" t="n">
        <f aca="false">IF($A72="",0,IF(OR(B72="",C72="",C72=0,IF(ISNUMBER(M72),ABS(M72)&gt;K72,FALSE())),1,0))</f>
        <v>0</v>
      </c>
      <c r="O72" s="0" t="n">
        <f aca="false">IF(OR($A72="",L72=""),0,IF(AND(N72=1,ABS(L72)&gt;='Control Sheet'!$C$7,F72=1),1,0))</f>
        <v>0</v>
      </c>
      <c r="P72" s="0" t="str">
        <f aca="false">IF($A72="","",IF(F72=0,"Zero Hours",IF(J72=1,"Explained: Paired transfer",IF(AND(G72=1,H72=0,J72=0),"Explained: Starter",IF(AND(H72=1,G72=0,J72=0),"Explained: Leaver",IF(O72=1,"Review required","OK"))))))</f>
        <v/>
      </c>
      <c r="Q72" s="0" t="n">
        <f aca="false">IF(AND(F72=1,OR(C72="",C72=0),H72=0,J72=0),1,0)</f>
        <v>0</v>
      </c>
      <c r="R72" s="0" t="n">
        <f aca="false">IF(F72=0,0,IF(P72="Review required",1,IF(AND(P72="Explained: Starter",ISNUMBER(C72),C72&gt;=1500),1,0)))</f>
        <v>0</v>
      </c>
      <c r="S72" s="0" t="str">
        <f aca="false">IF(R72=0,"",IF(Q72=1,"High",IF(AND(P72="Explained: Starter",C72&gt;=1500),"High",IF(ABS(L72)&gt;=2000,"High",IF(ABS(L72)&gt;=500,"Medium","Low")))))</f>
        <v/>
      </c>
      <c r="T72" s="0" t="n">
        <f aca="false">SUMIFS('Payment Breakdown Prior'!$S$15:$S$104,'Payment Breakdown Prior'!$AE$15:$AE$104,$A72)</f>
        <v>0</v>
      </c>
      <c r="U72" s="0" t="n">
        <f aca="false">SUMIFS('Payment Breakdown Current'!$S$15:$S$104,'Payment Breakdown Current'!$AE$15:$AE$104,$A72)</f>
        <v>0</v>
      </c>
      <c r="V72" s="0" t="str">
        <f aca="false">IFERROR((U72-T72)/T72,"")</f>
        <v/>
      </c>
      <c r="W72" s="0" t="n">
        <f aca="false">(SUMIFS('Payment Breakdown Current'!$S$15:$S$104,'Payment Breakdown Current'!$AE$15:$AE$104,$A72))-(SUMIFS('Payment Breakdown Prior'!$S$15:$S$104,'Payment Breakdown Prior'!$AE$15:$AE$104,$A72))</f>
        <v>0</v>
      </c>
      <c r="X72" s="0" t="n">
        <f aca="false">(SUMIFS('Payment Breakdown Current'!$T$15:$T$104,'Payment Breakdown Current'!$AE$15:$AE$104,$A72))-(SUMIFS('Payment Breakdown Prior'!$T$15:$T$104,'Payment Breakdown Prior'!$AE$15:$AE$104,$A72))</f>
        <v>0</v>
      </c>
      <c r="Y72" s="0" t="n">
        <f aca="false">(SUMIFS('Payment Breakdown Current'!$U$15:$U$104,'Payment Breakdown Current'!$AE$15:$AE$104,$A72))-(SUMIFS('Payment Breakdown Prior'!$U$15:$U$104,'Payment Breakdown Prior'!$AE$15:$AE$104,$A72))</f>
        <v>0</v>
      </c>
      <c r="Z72" s="0" t="n">
        <f aca="false">(SUMIFS('Payment Breakdown Current'!$V$15:$V$104,'Payment Breakdown Current'!$AE$15:$AE$104,$A72))-(SUMIFS('Payment Breakdown Prior'!$V$15:$V$104,'Payment Breakdown Prior'!$AE$15:$AE$104,$A72))</f>
        <v>0</v>
      </c>
      <c r="AA72" s="0" t="n">
        <f aca="false">(SUMIFS('Payment Breakdown Current'!$W$15:$W$104,'Payment Breakdown Current'!$AE$15:$AE$104,$A72))-(SUMIFS('Payment Breakdown Prior'!$W$15:$W$104,'Payment Breakdown Prior'!$AE$15:$AE$104,$A72))</f>
        <v>0</v>
      </c>
      <c r="AB72" s="0" t="n">
        <f aca="false">(SUMIFS('Payment Breakdown Current'!$X$15:$X$104,'Payment Breakdown Current'!$AE$15:$AE$104,$A72))-(SUMIFS('Payment Breakdown Prior'!$X$15:$X$104,'Payment Breakdown Prior'!$AE$15:$AE$104,$A72))</f>
        <v>0</v>
      </c>
      <c r="AC72" s="0" t="n">
        <f aca="false">(SUMIFS('Payment Breakdown Current'!$Y$15:$Y$104,'Payment Breakdown Current'!$AE$15:$AE$104,$A72))-(SUMIFS('Payment Breakdown Prior'!$Y$15:$Y$104,'Payment Breakdown Prior'!$AE$15:$AE$104,$A72))</f>
        <v>0</v>
      </c>
      <c r="AD72" s="0" t="n">
        <f aca="false">(SUMIFS('Payment Breakdown Current'!$Z$15:$Z$104,'Payment Breakdown Current'!$AE$15:$AE$104,$A72))-(SUMIFS('Payment Breakdown Prior'!$Z$15:$Z$104,'Payment Breakdown Prior'!$AE$15:$AE$104,$A72))</f>
        <v>0</v>
      </c>
      <c r="AE72" s="0" t="n">
        <f aca="false">(SUMIFS('Payment Breakdown Current'!$AA$15:$AA$104,'Payment Breakdown Current'!$AE$15:$AE$104,$A72))-(SUMIFS('Payment Breakdown Prior'!$AA$15:$AA$104,'Payment Breakdown Prior'!$AE$15:$AE$104,$A72))</f>
        <v>0</v>
      </c>
      <c r="AF72" s="0" t="n">
        <f aca="false">(SUMIFS('Payment Breakdown Current'!$AB$15:$AB$104,'Payment Breakdown Current'!$AE$15:$AE$104,$A72))-(SUMIFS('Payment Breakdown Prior'!$AB$15:$AB$104,'Payment Breakdown Prior'!$AE$15:$AE$104,$A72))</f>
        <v>0</v>
      </c>
      <c r="AG72" s="0" t="n">
        <f aca="false">(SUMIFS('Payment Breakdown Current'!$AC$15:$AC$104,'Payment Breakdown Current'!$AE$15:$AE$104,$A72))-(SUMIFS('Payment Breakdown Prior'!$AC$15:$AC$104,'Payment Breakdown Prior'!$AE$15:$AE$104,$A72))</f>
        <v>0</v>
      </c>
      <c r="AH72" s="0" t="n">
        <f aca="false">(SUMIFS('Payment Breakdown Current'!$AD$15:$AD$104,'Payment Breakdown Current'!$AE$15:$AE$104,$A72))-(SUMIFS('Payment Breakdown Prior'!$AD$15:$AD$104,'Payment Breakdown Prior'!$AE$15:$AE$104,$A72))</f>
        <v>0</v>
      </c>
      <c r="AI72" s="0" t="n">
        <f aca="false">MAX(ABS(W72),ABS(X72),ABS(Y72),ABS(Z72),ABS(AA72),ABS(AB72),ABS(AC72),ABS(AD72),ABS(AE72),ABS(AF72),ABS(AG72),ABS(AH72))</f>
        <v>0</v>
      </c>
      <c r="AJ72" s="0" t="str">
        <f aca="false">IF(AI72&lt;0.005,"",IF(ABS(W72)=AI72,W$1,IF(ABS(X72)=AI72,X$1,IF(ABS(Y72)=AI72,Y$1,IF(ABS(Z72)=AI72,Z$1,IF(ABS(AA72)=AI72,AA$1,IF(ABS(AB72)=AI72,AB$1,IF(ABS(AC72)=AI72,AC$1,IF(ABS(AD72)=AI72,AD$1,IF(ABS(AE72)=AI72,AE$1,IF(ABS(AF72)=AI72,AF$1,IF(ABS(AG72)=AI72,AG$1,IF(ABS(AH72)=AI72,AH$1,"")))))))))))))</f>
        <v/>
      </c>
      <c r="AK72" s="0" t="str">
        <f aca="false">IF(AI72&lt;0.005,"",IF(ABS(W72)=AI72,W72,IF(ABS(X72)=AI72,X72,IF(ABS(Y72)=AI72,Y72,IF(ABS(Z72)=AI72,Z72,IF(ABS(AA72)=AI72,AA72,IF(ABS(AB72)=AI72,AB72,IF(ABS(AC72)=AI72,AC72,IF(ABS(AD72)=AI72,AD72,IF(ABS(AE72)=AI72,AE72,IF(ABS(AF72)=AI72,AF72,IF(ABS(AG72)=AI72,AG72,IF(ABS(AH72)=AI72,AH72,"")))))))))))))</f>
        <v/>
      </c>
      <c r="AL72" s="0" t="str">
        <f aca="false">IF(R72=1,ABS(L72)-ROW()/100000000,"")</f>
        <v/>
      </c>
    </row>
    <row r="73" customFormat="false" ht="15" hidden="false" customHeight="false" outlineLevel="0" collapsed="false">
      <c r="A73" s="0" t="str">
        <f aca="false">IF('NPV Comparison'!D86="","",'NPV Comparison'!D86)</f>
        <v/>
      </c>
      <c r="B73" s="0" t="str">
        <f aca="false">IF('NPV Comparison'!E86="","",'NPV Comparison'!E86)</f>
        <v/>
      </c>
      <c r="C73" s="0" t="str">
        <f aca="false">IF('NPV Comparison'!F86="","",'NPV Comparison'!F86)</f>
        <v/>
      </c>
      <c r="D73" s="0" t="str">
        <f aca="false">IF($A73="","",IFERROR(INDEX(Structure!$E$13:$E$312,MATCH($A73,Structure!$P$13:$P$312,0)),""))</f>
        <v/>
      </c>
      <c r="E73" s="0" t="n">
        <f aca="false">IF($A73="",0,IF(COUNTIF(Structure!$P$13:$P$312,$A73)=0,0,IF(COUNTIFS(Structure!$P$13:$P$312,$A73,Structure!$N$13:$N$312,"&lt;&gt;Zero Hours")=0,1,0)))</f>
        <v>0</v>
      </c>
      <c r="F73" s="0" t="n">
        <f aca="false">IF($A73="",0,1-E73)</f>
        <v>0</v>
      </c>
      <c r="G73" s="0" t="n">
        <f aca="false">IF($A73="",0,IF(COUNTIF('New Starters'!$D$14:$D$73,$A73)&gt;0,1,0))</f>
        <v>0</v>
      </c>
      <c r="H73" s="0" t="n">
        <f aca="false">IF($A73="",0,IF(COUNTIF(Leavers!$D$12:$D$71,$A73)&gt;0,1,0))</f>
        <v>0</v>
      </c>
      <c r="I73" s="0" t="str">
        <f aca="false">IF($A73="","",IFERROR(INDEX('New Starters'!$K$14:$K$73,MATCH($A73,'New Starters'!$D$14:$D$73,0)),IFERROR(INDEX(Leavers!$K$12:$K$71,MATCH($A73,Leavers!$D$12:$D$71,0)),"")))</f>
        <v/>
      </c>
      <c r="J73" s="0" t="n">
        <f aca="false">IF(AND(G73=1,I73&lt;&gt;"",COUNTIF(Leavers!$K$12:$K$71,I73)&gt;0),1,IF(AND(H73=1,I73&lt;&gt;"",COUNTIF('New Starters'!$K$14:$K$73,I73)&gt;0),1,0))</f>
        <v>0</v>
      </c>
      <c r="K73" s="14" t="n">
        <f aca="false">IF(ISNUMBER(SEARCH("Head Office",D73)),'Control Sheet'!$C$6,'Control Sheet'!$C$5)</f>
        <v>0.2</v>
      </c>
      <c r="L73" s="0" t="str">
        <f aca="false">IF(OR($A73="",AND(B73="",C73="")),"",IF(B73="",C73,IF(C73="",-B73,C73-B73)))</f>
        <v/>
      </c>
      <c r="M73" s="0" t="str">
        <f aca="false">IFERROR(L73/B73,"")</f>
        <v/>
      </c>
      <c r="N73" s="0" t="n">
        <f aca="false">IF($A73="",0,IF(OR(B73="",C73="",C73=0,IF(ISNUMBER(M73),ABS(M73)&gt;K73,FALSE())),1,0))</f>
        <v>0</v>
      </c>
      <c r="O73" s="0" t="n">
        <f aca="false">IF(OR($A73="",L73=""),0,IF(AND(N73=1,ABS(L73)&gt;='Control Sheet'!$C$7,F73=1),1,0))</f>
        <v>0</v>
      </c>
      <c r="P73" s="0" t="str">
        <f aca="false">IF($A73="","",IF(F73=0,"Zero Hours",IF(J73=1,"Explained: Paired transfer",IF(AND(G73=1,H73=0,J73=0),"Explained: Starter",IF(AND(H73=1,G73=0,J73=0),"Explained: Leaver",IF(O73=1,"Review required","OK"))))))</f>
        <v/>
      </c>
      <c r="Q73" s="0" t="n">
        <f aca="false">IF(AND(F73=1,OR(C73="",C73=0),H73=0,J73=0),1,0)</f>
        <v>0</v>
      </c>
      <c r="R73" s="0" t="n">
        <f aca="false">IF(F73=0,0,IF(P73="Review required",1,IF(AND(P73="Explained: Starter",ISNUMBER(C73),C73&gt;=1500),1,0)))</f>
        <v>0</v>
      </c>
      <c r="S73" s="0" t="str">
        <f aca="false">IF(R73=0,"",IF(Q73=1,"High",IF(AND(P73="Explained: Starter",C73&gt;=1500),"High",IF(ABS(L73)&gt;=2000,"High",IF(ABS(L73)&gt;=500,"Medium","Low")))))</f>
        <v/>
      </c>
      <c r="T73" s="0" t="n">
        <f aca="false">SUMIFS('Payment Breakdown Prior'!$S$15:$S$104,'Payment Breakdown Prior'!$AE$15:$AE$104,$A73)</f>
        <v>0</v>
      </c>
      <c r="U73" s="0" t="n">
        <f aca="false">SUMIFS('Payment Breakdown Current'!$S$15:$S$104,'Payment Breakdown Current'!$AE$15:$AE$104,$A73)</f>
        <v>0</v>
      </c>
      <c r="V73" s="0" t="str">
        <f aca="false">IFERROR((U73-T73)/T73,"")</f>
        <v/>
      </c>
      <c r="W73" s="0" t="n">
        <f aca="false">(SUMIFS('Payment Breakdown Current'!$S$15:$S$104,'Payment Breakdown Current'!$AE$15:$AE$104,$A73))-(SUMIFS('Payment Breakdown Prior'!$S$15:$S$104,'Payment Breakdown Prior'!$AE$15:$AE$104,$A73))</f>
        <v>0</v>
      </c>
      <c r="X73" s="0" t="n">
        <f aca="false">(SUMIFS('Payment Breakdown Current'!$T$15:$T$104,'Payment Breakdown Current'!$AE$15:$AE$104,$A73))-(SUMIFS('Payment Breakdown Prior'!$T$15:$T$104,'Payment Breakdown Prior'!$AE$15:$AE$104,$A73))</f>
        <v>0</v>
      </c>
      <c r="Y73" s="0" t="n">
        <f aca="false">(SUMIFS('Payment Breakdown Current'!$U$15:$U$104,'Payment Breakdown Current'!$AE$15:$AE$104,$A73))-(SUMIFS('Payment Breakdown Prior'!$U$15:$U$104,'Payment Breakdown Prior'!$AE$15:$AE$104,$A73))</f>
        <v>0</v>
      </c>
      <c r="Z73" s="0" t="n">
        <f aca="false">(SUMIFS('Payment Breakdown Current'!$V$15:$V$104,'Payment Breakdown Current'!$AE$15:$AE$104,$A73))-(SUMIFS('Payment Breakdown Prior'!$V$15:$V$104,'Payment Breakdown Prior'!$AE$15:$AE$104,$A73))</f>
        <v>0</v>
      </c>
      <c r="AA73" s="0" t="n">
        <f aca="false">(SUMIFS('Payment Breakdown Current'!$W$15:$W$104,'Payment Breakdown Current'!$AE$15:$AE$104,$A73))-(SUMIFS('Payment Breakdown Prior'!$W$15:$W$104,'Payment Breakdown Prior'!$AE$15:$AE$104,$A73))</f>
        <v>0</v>
      </c>
      <c r="AB73" s="0" t="n">
        <f aca="false">(SUMIFS('Payment Breakdown Current'!$X$15:$X$104,'Payment Breakdown Current'!$AE$15:$AE$104,$A73))-(SUMIFS('Payment Breakdown Prior'!$X$15:$X$104,'Payment Breakdown Prior'!$AE$15:$AE$104,$A73))</f>
        <v>0</v>
      </c>
      <c r="AC73" s="0" t="n">
        <f aca="false">(SUMIFS('Payment Breakdown Current'!$Y$15:$Y$104,'Payment Breakdown Current'!$AE$15:$AE$104,$A73))-(SUMIFS('Payment Breakdown Prior'!$Y$15:$Y$104,'Payment Breakdown Prior'!$AE$15:$AE$104,$A73))</f>
        <v>0</v>
      </c>
      <c r="AD73" s="0" t="n">
        <f aca="false">(SUMIFS('Payment Breakdown Current'!$Z$15:$Z$104,'Payment Breakdown Current'!$AE$15:$AE$104,$A73))-(SUMIFS('Payment Breakdown Prior'!$Z$15:$Z$104,'Payment Breakdown Prior'!$AE$15:$AE$104,$A73))</f>
        <v>0</v>
      </c>
      <c r="AE73" s="0" t="n">
        <f aca="false">(SUMIFS('Payment Breakdown Current'!$AA$15:$AA$104,'Payment Breakdown Current'!$AE$15:$AE$104,$A73))-(SUMIFS('Payment Breakdown Prior'!$AA$15:$AA$104,'Payment Breakdown Prior'!$AE$15:$AE$104,$A73))</f>
        <v>0</v>
      </c>
      <c r="AF73" s="0" t="n">
        <f aca="false">(SUMIFS('Payment Breakdown Current'!$AB$15:$AB$104,'Payment Breakdown Current'!$AE$15:$AE$104,$A73))-(SUMIFS('Payment Breakdown Prior'!$AB$15:$AB$104,'Payment Breakdown Prior'!$AE$15:$AE$104,$A73))</f>
        <v>0</v>
      </c>
      <c r="AG73" s="0" t="n">
        <f aca="false">(SUMIFS('Payment Breakdown Current'!$AC$15:$AC$104,'Payment Breakdown Current'!$AE$15:$AE$104,$A73))-(SUMIFS('Payment Breakdown Prior'!$AC$15:$AC$104,'Payment Breakdown Prior'!$AE$15:$AE$104,$A73))</f>
        <v>0</v>
      </c>
      <c r="AH73" s="0" t="n">
        <f aca="false">(SUMIFS('Payment Breakdown Current'!$AD$15:$AD$104,'Payment Breakdown Current'!$AE$15:$AE$104,$A73))-(SUMIFS('Payment Breakdown Prior'!$AD$15:$AD$104,'Payment Breakdown Prior'!$AE$15:$AE$104,$A73))</f>
        <v>0</v>
      </c>
      <c r="AI73" s="0" t="n">
        <f aca="false">MAX(ABS(W73),ABS(X73),ABS(Y73),ABS(Z73),ABS(AA73),ABS(AB73),ABS(AC73),ABS(AD73),ABS(AE73),ABS(AF73),ABS(AG73),ABS(AH73))</f>
        <v>0</v>
      </c>
      <c r="AJ73" s="0" t="str">
        <f aca="false">IF(AI73&lt;0.005,"",IF(ABS(W73)=AI73,W$1,IF(ABS(X73)=AI73,X$1,IF(ABS(Y73)=AI73,Y$1,IF(ABS(Z73)=AI73,Z$1,IF(ABS(AA73)=AI73,AA$1,IF(ABS(AB73)=AI73,AB$1,IF(ABS(AC73)=AI73,AC$1,IF(ABS(AD73)=AI73,AD$1,IF(ABS(AE73)=AI73,AE$1,IF(ABS(AF73)=AI73,AF$1,IF(ABS(AG73)=AI73,AG$1,IF(ABS(AH73)=AI73,AH$1,"")))))))))))))</f>
        <v/>
      </c>
      <c r="AK73" s="0" t="str">
        <f aca="false">IF(AI73&lt;0.005,"",IF(ABS(W73)=AI73,W73,IF(ABS(X73)=AI73,X73,IF(ABS(Y73)=AI73,Y73,IF(ABS(Z73)=AI73,Z73,IF(ABS(AA73)=AI73,AA73,IF(ABS(AB73)=AI73,AB73,IF(ABS(AC73)=AI73,AC73,IF(ABS(AD73)=AI73,AD73,IF(ABS(AE73)=AI73,AE73,IF(ABS(AF73)=AI73,AF73,IF(ABS(AG73)=AI73,AG73,IF(ABS(AH73)=AI73,AH73,"")))))))))))))</f>
        <v/>
      </c>
      <c r="AL73" s="0" t="str">
        <f aca="false">IF(R73=1,ABS(L73)-ROW()/100000000,"")</f>
        <v/>
      </c>
    </row>
    <row r="74" customFormat="false" ht="15" hidden="false" customHeight="false" outlineLevel="0" collapsed="false">
      <c r="A74" s="0" t="str">
        <f aca="false">IF('NPV Comparison'!D87="","",'NPV Comparison'!D87)</f>
        <v/>
      </c>
      <c r="B74" s="0" t="str">
        <f aca="false">IF('NPV Comparison'!E87="","",'NPV Comparison'!E87)</f>
        <v/>
      </c>
      <c r="C74" s="0" t="str">
        <f aca="false">IF('NPV Comparison'!F87="","",'NPV Comparison'!F87)</f>
        <v/>
      </c>
      <c r="D74" s="0" t="str">
        <f aca="false">IF($A74="","",IFERROR(INDEX(Structure!$E$13:$E$312,MATCH($A74,Structure!$P$13:$P$312,0)),""))</f>
        <v/>
      </c>
      <c r="E74" s="0" t="n">
        <f aca="false">IF($A74="",0,IF(COUNTIF(Structure!$P$13:$P$312,$A74)=0,0,IF(COUNTIFS(Structure!$P$13:$P$312,$A74,Structure!$N$13:$N$312,"&lt;&gt;Zero Hours")=0,1,0)))</f>
        <v>0</v>
      </c>
      <c r="F74" s="0" t="n">
        <f aca="false">IF($A74="",0,1-E74)</f>
        <v>0</v>
      </c>
      <c r="G74" s="0" t="n">
        <f aca="false">IF($A74="",0,IF(COUNTIF('New Starters'!$D$14:$D$73,$A74)&gt;0,1,0))</f>
        <v>0</v>
      </c>
      <c r="H74" s="0" t="n">
        <f aca="false">IF($A74="",0,IF(COUNTIF(Leavers!$D$12:$D$71,$A74)&gt;0,1,0))</f>
        <v>0</v>
      </c>
      <c r="I74" s="0" t="str">
        <f aca="false">IF($A74="","",IFERROR(INDEX('New Starters'!$K$14:$K$73,MATCH($A74,'New Starters'!$D$14:$D$73,0)),IFERROR(INDEX(Leavers!$K$12:$K$71,MATCH($A74,Leavers!$D$12:$D$71,0)),"")))</f>
        <v/>
      </c>
      <c r="J74" s="0" t="n">
        <f aca="false">IF(AND(G74=1,I74&lt;&gt;"",COUNTIF(Leavers!$K$12:$K$71,I74)&gt;0),1,IF(AND(H74=1,I74&lt;&gt;"",COUNTIF('New Starters'!$K$14:$K$73,I74)&gt;0),1,0))</f>
        <v>0</v>
      </c>
      <c r="K74" s="14" t="n">
        <f aca="false">IF(ISNUMBER(SEARCH("Head Office",D74)),'Control Sheet'!$C$6,'Control Sheet'!$C$5)</f>
        <v>0.2</v>
      </c>
      <c r="L74" s="0" t="str">
        <f aca="false">IF(OR($A74="",AND(B74="",C74="")),"",IF(B74="",C74,IF(C74="",-B74,C74-B74)))</f>
        <v/>
      </c>
      <c r="M74" s="0" t="str">
        <f aca="false">IFERROR(L74/B74,"")</f>
        <v/>
      </c>
      <c r="N74" s="0" t="n">
        <f aca="false">IF($A74="",0,IF(OR(B74="",C74="",C74=0,IF(ISNUMBER(M74),ABS(M74)&gt;K74,FALSE())),1,0))</f>
        <v>0</v>
      </c>
      <c r="O74" s="0" t="n">
        <f aca="false">IF(OR($A74="",L74=""),0,IF(AND(N74=1,ABS(L74)&gt;='Control Sheet'!$C$7,F74=1),1,0))</f>
        <v>0</v>
      </c>
      <c r="P74" s="0" t="str">
        <f aca="false">IF($A74="","",IF(F74=0,"Zero Hours",IF(J74=1,"Explained: Paired transfer",IF(AND(G74=1,H74=0,J74=0),"Explained: Starter",IF(AND(H74=1,G74=0,J74=0),"Explained: Leaver",IF(O74=1,"Review required","OK"))))))</f>
        <v/>
      </c>
      <c r="Q74" s="0" t="n">
        <f aca="false">IF(AND(F74=1,OR(C74="",C74=0),H74=0,J74=0),1,0)</f>
        <v>0</v>
      </c>
      <c r="R74" s="0" t="n">
        <f aca="false">IF(F74=0,0,IF(P74="Review required",1,IF(AND(P74="Explained: Starter",ISNUMBER(C74),C74&gt;=1500),1,0)))</f>
        <v>0</v>
      </c>
      <c r="S74" s="0" t="str">
        <f aca="false">IF(R74=0,"",IF(Q74=1,"High",IF(AND(P74="Explained: Starter",C74&gt;=1500),"High",IF(ABS(L74)&gt;=2000,"High",IF(ABS(L74)&gt;=500,"Medium","Low")))))</f>
        <v/>
      </c>
      <c r="T74" s="0" t="n">
        <f aca="false">SUMIFS('Payment Breakdown Prior'!$S$15:$S$104,'Payment Breakdown Prior'!$AE$15:$AE$104,$A74)</f>
        <v>0</v>
      </c>
      <c r="U74" s="0" t="n">
        <f aca="false">SUMIFS('Payment Breakdown Current'!$S$15:$S$104,'Payment Breakdown Current'!$AE$15:$AE$104,$A74)</f>
        <v>0</v>
      </c>
      <c r="V74" s="0" t="str">
        <f aca="false">IFERROR((U74-T74)/T74,"")</f>
        <v/>
      </c>
      <c r="W74" s="0" t="n">
        <f aca="false">(SUMIFS('Payment Breakdown Current'!$S$15:$S$104,'Payment Breakdown Current'!$AE$15:$AE$104,$A74))-(SUMIFS('Payment Breakdown Prior'!$S$15:$S$104,'Payment Breakdown Prior'!$AE$15:$AE$104,$A74))</f>
        <v>0</v>
      </c>
      <c r="X74" s="0" t="n">
        <f aca="false">(SUMIFS('Payment Breakdown Current'!$T$15:$T$104,'Payment Breakdown Current'!$AE$15:$AE$104,$A74))-(SUMIFS('Payment Breakdown Prior'!$T$15:$T$104,'Payment Breakdown Prior'!$AE$15:$AE$104,$A74))</f>
        <v>0</v>
      </c>
      <c r="Y74" s="0" t="n">
        <f aca="false">(SUMIFS('Payment Breakdown Current'!$U$15:$U$104,'Payment Breakdown Current'!$AE$15:$AE$104,$A74))-(SUMIFS('Payment Breakdown Prior'!$U$15:$U$104,'Payment Breakdown Prior'!$AE$15:$AE$104,$A74))</f>
        <v>0</v>
      </c>
      <c r="Z74" s="0" t="n">
        <f aca="false">(SUMIFS('Payment Breakdown Current'!$V$15:$V$104,'Payment Breakdown Current'!$AE$15:$AE$104,$A74))-(SUMIFS('Payment Breakdown Prior'!$V$15:$V$104,'Payment Breakdown Prior'!$AE$15:$AE$104,$A74))</f>
        <v>0</v>
      </c>
      <c r="AA74" s="0" t="n">
        <f aca="false">(SUMIFS('Payment Breakdown Current'!$W$15:$W$104,'Payment Breakdown Current'!$AE$15:$AE$104,$A74))-(SUMIFS('Payment Breakdown Prior'!$W$15:$W$104,'Payment Breakdown Prior'!$AE$15:$AE$104,$A74))</f>
        <v>0</v>
      </c>
      <c r="AB74" s="0" t="n">
        <f aca="false">(SUMIFS('Payment Breakdown Current'!$X$15:$X$104,'Payment Breakdown Current'!$AE$15:$AE$104,$A74))-(SUMIFS('Payment Breakdown Prior'!$X$15:$X$104,'Payment Breakdown Prior'!$AE$15:$AE$104,$A74))</f>
        <v>0</v>
      </c>
      <c r="AC74" s="0" t="n">
        <f aca="false">(SUMIFS('Payment Breakdown Current'!$Y$15:$Y$104,'Payment Breakdown Current'!$AE$15:$AE$104,$A74))-(SUMIFS('Payment Breakdown Prior'!$Y$15:$Y$104,'Payment Breakdown Prior'!$AE$15:$AE$104,$A74))</f>
        <v>0</v>
      </c>
      <c r="AD74" s="0" t="n">
        <f aca="false">(SUMIFS('Payment Breakdown Current'!$Z$15:$Z$104,'Payment Breakdown Current'!$AE$15:$AE$104,$A74))-(SUMIFS('Payment Breakdown Prior'!$Z$15:$Z$104,'Payment Breakdown Prior'!$AE$15:$AE$104,$A74))</f>
        <v>0</v>
      </c>
      <c r="AE74" s="0" t="n">
        <f aca="false">(SUMIFS('Payment Breakdown Current'!$AA$15:$AA$104,'Payment Breakdown Current'!$AE$15:$AE$104,$A74))-(SUMIFS('Payment Breakdown Prior'!$AA$15:$AA$104,'Payment Breakdown Prior'!$AE$15:$AE$104,$A74))</f>
        <v>0</v>
      </c>
      <c r="AF74" s="0" t="n">
        <f aca="false">(SUMIFS('Payment Breakdown Current'!$AB$15:$AB$104,'Payment Breakdown Current'!$AE$15:$AE$104,$A74))-(SUMIFS('Payment Breakdown Prior'!$AB$15:$AB$104,'Payment Breakdown Prior'!$AE$15:$AE$104,$A74))</f>
        <v>0</v>
      </c>
      <c r="AG74" s="0" t="n">
        <f aca="false">(SUMIFS('Payment Breakdown Current'!$AC$15:$AC$104,'Payment Breakdown Current'!$AE$15:$AE$104,$A74))-(SUMIFS('Payment Breakdown Prior'!$AC$15:$AC$104,'Payment Breakdown Prior'!$AE$15:$AE$104,$A74))</f>
        <v>0</v>
      </c>
      <c r="AH74" s="0" t="n">
        <f aca="false">(SUMIFS('Payment Breakdown Current'!$AD$15:$AD$104,'Payment Breakdown Current'!$AE$15:$AE$104,$A74))-(SUMIFS('Payment Breakdown Prior'!$AD$15:$AD$104,'Payment Breakdown Prior'!$AE$15:$AE$104,$A74))</f>
        <v>0</v>
      </c>
      <c r="AI74" s="0" t="n">
        <f aca="false">MAX(ABS(W74),ABS(X74),ABS(Y74),ABS(Z74),ABS(AA74),ABS(AB74),ABS(AC74),ABS(AD74),ABS(AE74),ABS(AF74),ABS(AG74),ABS(AH74))</f>
        <v>0</v>
      </c>
      <c r="AJ74" s="0" t="str">
        <f aca="false">IF(AI74&lt;0.005,"",IF(ABS(W74)=AI74,W$1,IF(ABS(X74)=AI74,X$1,IF(ABS(Y74)=AI74,Y$1,IF(ABS(Z74)=AI74,Z$1,IF(ABS(AA74)=AI74,AA$1,IF(ABS(AB74)=AI74,AB$1,IF(ABS(AC74)=AI74,AC$1,IF(ABS(AD74)=AI74,AD$1,IF(ABS(AE74)=AI74,AE$1,IF(ABS(AF74)=AI74,AF$1,IF(ABS(AG74)=AI74,AG$1,IF(ABS(AH74)=AI74,AH$1,"")))))))))))))</f>
        <v/>
      </c>
      <c r="AK74" s="0" t="str">
        <f aca="false">IF(AI74&lt;0.005,"",IF(ABS(W74)=AI74,W74,IF(ABS(X74)=AI74,X74,IF(ABS(Y74)=AI74,Y74,IF(ABS(Z74)=AI74,Z74,IF(ABS(AA74)=AI74,AA74,IF(ABS(AB74)=AI74,AB74,IF(ABS(AC74)=AI74,AC74,IF(ABS(AD74)=AI74,AD74,IF(ABS(AE74)=AI74,AE74,IF(ABS(AF74)=AI74,AF74,IF(ABS(AG74)=AI74,AG74,IF(ABS(AH74)=AI74,AH74,"")))))))))))))</f>
        <v/>
      </c>
      <c r="AL74" s="0" t="str">
        <f aca="false">IF(R74=1,ABS(L74)-ROW()/100000000,"")</f>
        <v/>
      </c>
    </row>
    <row r="75" customFormat="false" ht="15" hidden="false" customHeight="false" outlineLevel="0" collapsed="false">
      <c r="A75" s="0" t="str">
        <f aca="false">IF('NPV Comparison'!D88="","",'NPV Comparison'!D88)</f>
        <v/>
      </c>
      <c r="B75" s="0" t="str">
        <f aca="false">IF('NPV Comparison'!E88="","",'NPV Comparison'!E88)</f>
        <v/>
      </c>
      <c r="C75" s="0" t="str">
        <f aca="false">IF('NPV Comparison'!F88="","",'NPV Comparison'!F88)</f>
        <v/>
      </c>
      <c r="D75" s="0" t="str">
        <f aca="false">IF($A75="","",IFERROR(INDEX(Structure!$E$13:$E$312,MATCH($A75,Structure!$P$13:$P$312,0)),""))</f>
        <v/>
      </c>
      <c r="E75" s="0" t="n">
        <f aca="false">IF($A75="",0,IF(COUNTIF(Structure!$P$13:$P$312,$A75)=0,0,IF(COUNTIFS(Structure!$P$13:$P$312,$A75,Structure!$N$13:$N$312,"&lt;&gt;Zero Hours")=0,1,0)))</f>
        <v>0</v>
      </c>
      <c r="F75" s="0" t="n">
        <f aca="false">IF($A75="",0,1-E75)</f>
        <v>0</v>
      </c>
      <c r="G75" s="0" t="n">
        <f aca="false">IF($A75="",0,IF(COUNTIF('New Starters'!$D$14:$D$73,$A75)&gt;0,1,0))</f>
        <v>0</v>
      </c>
      <c r="H75" s="0" t="n">
        <f aca="false">IF($A75="",0,IF(COUNTIF(Leavers!$D$12:$D$71,$A75)&gt;0,1,0))</f>
        <v>0</v>
      </c>
      <c r="I75" s="0" t="str">
        <f aca="false">IF($A75="","",IFERROR(INDEX('New Starters'!$K$14:$K$73,MATCH($A75,'New Starters'!$D$14:$D$73,0)),IFERROR(INDEX(Leavers!$K$12:$K$71,MATCH($A75,Leavers!$D$12:$D$71,0)),"")))</f>
        <v/>
      </c>
      <c r="J75" s="0" t="n">
        <f aca="false">IF(AND(G75=1,I75&lt;&gt;"",COUNTIF(Leavers!$K$12:$K$71,I75)&gt;0),1,IF(AND(H75=1,I75&lt;&gt;"",COUNTIF('New Starters'!$K$14:$K$73,I75)&gt;0),1,0))</f>
        <v>0</v>
      </c>
      <c r="K75" s="14" t="n">
        <f aca="false">IF(ISNUMBER(SEARCH("Head Office",D75)),'Control Sheet'!$C$6,'Control Sheet'!$C$5)</f>
        <v>0.2</v>
      </c>
      <c r="L75" s="0" t="str">
        <f aca="false">IF(OR($A75="",AND(B75="",C75="")),"",IF(B75="",C75,IF(C75="",-B75,C75-B75)))</f>
        <v/>
      </c>
      <c r="M75" s="0" t="str">
        <f aca="false">IFERROR(L75/B75,"")</f>
        <v/>
      </c>
      <c r="N75" s="0" t="n">
        <f aca="false">IF($A75="",0,IF(OR(B75="",C75="",C75=0,IF(ISNUMBER(M75),ABS(M75)&gt;K75,FALSE())),1,0))</f>
        <v>0</v>
      </c>
      <c r="O75" s="0" t="n">
        <f aca="false">IF(OR($A75="",L75=""),0,IF(AND(N75=1,ABS(L75)&gt;='Control Sheet'!$C$7,F75=1),1,0))</f>
        <v>0</v>
      </c>
      <c r="P75" s="0" t="str">
        <f aca="false">IF($A75="","",IF(F75=0,"Zero Hours",IF(J75=1,"Explained: Paired transfer",IF(AND(G75=1,H75=0,J75=0),"Explained: Starter",IF(AND(H75=1,G75=0,J75=0),"Explained: Leaver",IF(O75=1,"Review required","OK"))))))</f>
        <v/>
      </c>
      <c r="Q75" s="0" t="n">
        <f aca="false">IF(AND(F75=1,OR(C75="",C75=0),H75=0,J75=0),1,0)</f>
        <v>0</v>
      </c>
      <c r="R75" s="0" t="n">
        <f aca="false">IF(F75=0,0,IF(P75="Review required",1,IF(AND(P75="Explained: Starter",ISNUMBER(C75),C75&gt;=1500),1,0)))</f>
        <v>0</v>
      </c>
      <c r="S75" s="0" t="str">
        <f aca="false">IF(R75=0,"",IF(Q75=1,"High",IF(AND(P75="Explained: Starter",C75&gt;=1500),"High",IF(ABS(L75)&gt;=2000,"High",IF(ABS(L75)&gt;=500,"Medium","Low")))))</f>
        <v/>
      </c>
      <c r="T75" s="0" t="n">
        <f aca="false">SUMIFS('Payment Breakdown Prior'!$S$15:$S$104,'Payment Breakdown Prior'!$AE$15:$AE$104,$A75)</f>
        <v>0</v>
      </c>
      <c r="U75" s="0" t="n">
        <f aca="false">SUMIFS('Payment Breakdown Current'!$S$15:$S$104,'Payment Breakdown Current'!$AE$15:$AE$104,$A75)</f>
        <v>0</v>
      </c>
      <c r="V75" s="0" t="str">
        <f aca="false">IFERROR((U75-T75)/T75,"")</f>
        <v/>
      </c>
      <c r="W75" s="0" t="n">
        <f aca="false">(SUMIFS('Payment Breakdown Current'!$S$15:$S$104,'Payment Breakdown Current'!$AE$15:$AE$104,$A75))-(SUMIFS('Payment Breakdown Prior'!$S$15:$S$104,'Payment Breakdown Prior'!$AE$15:$AE$104,$A75))</f>
        <v>0</v>
      </c>
      <c r="X75" s="0" t="n">
        <f aca="false">(SUMIFS('Payment Breakdown Current'!$T$15:$T$104,'Payment Breakdown Current'!$AE$15:$AE$104,$A75))-(SUMIFS('Payment Breakdown Prior'!$T$15:$T$104,'Payment Breakdown Prior'!$AE$15:$AE$104,$A75))</f>
        <v>0</v>
      </c>
      <c r="Y75" s="0" t="n">
        <f aca="false">(SUMIFS('Payment Breakdown Current'!$U$15:$U$104,'Payment Breakdown Current'!$AE$15:$AE$104,$A75))-(SUMIFS('Payment Breakdown Prior'!$U$15:$U$104,'Payment Breakdown Prior'!$AE$15:$AE$104,$A75))</f>
        <v>0</v>
      </c>
      <c r="Z75" s="0" t="n">
        <f aca="false">(SUMIFS('Payment Breakdown Current'!$V$15:$V$104,'Payment Breakdown Current'!$AE$15:$AE$104,$A75))-(SUMIFS('Payment Breakdown Prior'!$V$15:$V$104,'Payment Breakdown Prior'!$AE$15:$AE$104,$A75))</f>
        <v>0</v>
      </c>
      <c r="AA75" s="0" t="n">
        <f aca="false">(SUMIFS('Payment Breakdown Current'!$W$15:$W$104,'Payment Breakdown Current'!$AE$15:$AE$104,$A75))-(SUMIFS('Payment Breakdown Prior'!$W$15:$W$104,'Payment Breakdown Prior'!$AE$15:$AE$104,$A75))</f>
        <v>0</v>
      </c>
      <c r="AB75" s="0" t="n">
        <f aca="false">(SUMIFS('Payment Breakdown Current'!$X$15:$X$104,'Payment Breakdown Current'!$AE$15:$AE$104,$A75))-(SUMIFS('Payment Breakdown Prior'!$X$15:$X$104,'Payment Breakdown Prior'!$AE$15:$AE$104,$A75))</f>
        <v>0</v>
      </c>
      <c r="AC75" s="0" t="n">
        <f aca="false">(SUMIFS('Payment Breakdown Current'!$Y$15:$Y$104,'Payment Breakdown Current'!$AE$15:$AE$104,$A75))-(SUMIFS('Payment Breakdown Prior'!$Y$15:$Y$104,'Payment Breakdown Prior'!$AE$15:$AE$104,$A75))</f>
        <v>0</v>
      </c>
      <c r="AD75" s="0" t="n">
        <f aca="false">(SUMIFS('Payment Breakdown Current'!$Z$15:$Z$104,'Payment Breakdown Current'!$AE$15:$AE$104,$A75))-(SUMIFS('Payment Breakdown Prior'!$Z$15:$Z$104,'Payment Breakdown Prior'!$AE$15:$AE$104,$A75))</f>
        <v>0</v>
      </c>
      <c r="AE75" s="0" t="n">
        <f aca="false">(SUMIFS('Payment Breakdown Current'!$AA$15:$AA$104,'Payment Breakdown Current'!$AE$15:$AE$104,$A75))-(SUMIFS('Payment Breakdown Prior'!$AA$15:$AA$104,'Payment Breakdown Prior'!$AE$15:$AE$104,$A75))</f>
        <v>0</v>
      </c>
      <c r="AF75" s="0" t="n">
        <f aca="false">(SUMIFS('Payment Breakdown Current'!$AB$15:$AB$104,'Payment Breakdown Current'!$AE$15:$AE$104,$A75))-(SUMIFS('Payment Breakdown Prior'!$AB$15:$AB$104,'Payment Breakdown Prior'!$AE$15:$AE$104,$A75))</f>
        <v>0</v>
      </c>
      <c r="AG75" s="0" t="n">
        <f aca="false">(SUMIFS('Payment Breakdown Current'!$AC$15:$AC$104,'Payment Breakdown Current'!$AE$15:$AE$104,$A75))-(SUMIFS('Payment Breakdown Prior'!$AC$15:$AC$104,'Payment Breakdown Prior'!$AE$15:$AE$104,$A75))</f>
        <v>0</v>
      </c>
      <c r="AH75" s="0" t="n">
        <f aca="false">(SUMIFS('Payment Breakdown Current'!$AD$15:$AD$104,'Payment Breakdown Current'!$AE$15:$AE$104,$A75))-(SUMIFS('Payment Breakdown Prior'!$AD$15:$AD$104,'Payment Breakdown Prior'!$AE$15:$AE$104,$A75))</f>
        <v>0</v>
      </c>
      <c r="AI75" s="0" t="n">
        <f aca="false">MAX(ABS(W75),ABS(X75),ABS(Y75),ABS(Z75),ABS(AA75),ABS(AB75),ABS(AC75),ABS(AD75),ABS(AE75),ABS(AF75),ABS(AG75),ABS(AH75))</f>
        <v>0</v>
      </c>
      <c r="AJ75" s="0" t="str">
        <f aca="false">IF(AI75&lt;0.005,"",IF(ABS(W75)=AI75,W$1,IF(ABS(X75)=AI75,X$1,IF(ABS(Y75)=AI75,Y$1,IF(ABS(Z75)=AI75,Z$1,IF(ABS(AA75)=AI75,AA$1,IF(ABS(AB75)=AI75,AB$1,IF(ABS(AC75)=AI75,AC$1,IF(ABS(AD75)=AI75,AD$1,IF(ABS(AE75)=AI75,AE$1,IF(ABS(AF75)=AI75,AF$1,IF(ABS(AG75)=AI75,AG$1,IF(ABS(AH75)=AI75,AH$1,"")))))))))))))</f>
        <v/>
      </c>
      <c r="AK75" s="0" t="str">
        <f aca="false">IF(AI75&lt;0.005,"",IF(ABS(W75)=AI75,W75,IF(ABS(X75)=AI75,X75,IF(ABS(Y75)=AI75,Y75,IF(ABS(Z75)=AI75,Z75,IF(ABS(AA75)=AI75,AA75,IF(ABS(AB75)=AI75,AB75,IF(ABS(AC75)=AI75,AC75,IF(ABS(AD75)=AI75,AD75,IF(ABS(AE75)=AI75,AE75,IF(ABS(AF75)=AI75,AF75,IF(ABS(AG75)=AI75,AG75,IF(ABS(AH75)=AI75,AH75,"")))))))))))))</f>
        <v/>
      </c>
      <c r="AL75" s="0" t="str">
        <f aca="false">IF(R75=1,ABS(L75)-ROW()/100000000,"")</f>
        <v/>
      </c>
    </row>
    <row r="76" customFormat="false" ht="15" hidden="false" customHeight="false" outlineLevel="0" collapsed="false">
      <c r="A76" s="0" t="str">
        <f aca="false">IF('NPV Comparison'!D89="","",'NPV Comparison'!D89)</f>
        <v/>
      </c>
      <c r="B76" s="0" t="str">
        <f aca="false">IF('NPV Comparison'!E89="","",'NPV Comparison'!E89)</f>
        <v/>
      </c>
      <c r="C76" s="0" t="str">
        <f aca="false">IF('NPV Comparison'!F89="","",'NPV Comparison'!F89)</f>
        <v/>
      </c>
      <c r="D76" s="0" t="str">
        <f aca="false">IF($A76="","",IFERROR(INDEX(Structure!$E$13:$E$312,MATCH($A76,Structure!$P$13:$P$312,0)),""))</f>
        <v/>
      </c>
      <c r="E76" s="0" t="n">
        <f aca="false">IF($A76="",0,IF(COUNTIF(Structure!$P$13:$P$312,$A76)=0,0,IF(COUNTIFS(Structure!$P$13:$P$312,$A76,Structure!$N$13:$N$312,"&lt;&gt;Zero Hours")=0,1,0)))</f>
        <v>0</v>
      </c>
      <c r="F76" s="0" t="n">
        <f aca="false">IF($A76="",0,1-E76)</f>
        <v>0</v>
      </c>
      <c r="G76" s="0" t="n">
        <f aca="false">IF($A76="",0,IF(COUNTIF('New Starters'!$D$14:$D$73,$A76)&gt;0,1,0))</f>
        <v>0</v>
      </c>
      <c r="H76" s="0" t="n">
        <f aca="false">IF($A76="",0,IF(COUNTIF(Leavers!$D$12:$D$71,$A76)&gt;0,1,0))</f>
        <v>0</v>
      </c>
      <c r="I76" s="0" t="str">
        <f aca="false">IF($A76="","",IFERROR(INDEX('New Starters'!$K$14:$K$73,MATCH($A76,'New Starters'!$D$14:$D$73,0)),IFERROR(INDEX(Leavers!$K$12:$K$71,MATCH($A76,Leavers!$D$12:$D$71,0)),"")))</f>
        <v/>
      </c>
      <c r="J76" s="0" t="n">
        <f aca="false">IF(AND(G76=1,I76&lt;&gt;"",COUNTIF(Leavers!$K$12:$K$71,I76)&gt;0),1,IF(AND(H76=1,I76&lt;&gt;"",COUNTIF('New Starters'!$K$14:$K$73,I76)&gt;0),1,0))</f>
        <v>0</v>
      </c>
      <c r="K76" s="14" t="n">
        <f aca="false">IF(ISNUMBER(SEARCH("Head Office",D76)),'Control Sheet'!$C$6,'Control Sheet'!$C$5)</f>
        <v>0.2</v>
      </c>
      <c r="L76" s="0" t="str">
        <f aca="false">IF(OR($A76="",AND(B76="",C76="")),"",IF(B76="",C76,IF(C76="",-B76,C76-B76)))</f>
        <v/>
      </c>
      <c r="M76" s="0" t="str">
        <f aca="false">IFERROR(L76/B76,"")</f>
        <v/>
      </c>
      <c r="N76" s="0" t="n">
        <f aca="false">IF($A76="",0,IF(OR(B76="",C76="",C76=0,IF(ISNUMBER(M76),ABS(M76)&gt;K76,FALSE())),1,0))</f>
        <v>0</v>
      </c>
      <c r="O76" s="0" t="n">
        <f aca="false">IF(OR($A76="",L76=""),0,IF(AND(N76=1,ABS(L76)&gt;='Control Sheet'!$C$7,F76=1),1,0))</f>
        <v>0</v>
      </c>
      <c r="P76" s="0" t="str">
        <f aca="false">IF($A76="","",IF(F76=0,"Zero Hours",IF(J76=1,"Explained: Paired transfer",IF(AND(G76=1,H76=0,J76=0),"Explained: Starter",IF(AND(H76=1,G76=0,J76=0),"Explained: Leaver",IF(O76=1,"Review required","OK"))))))</f>
        <v/>
      </c>
      <c r="Q76" s="0" t="n">
        <f aca="false">IF(AND(F76=1,OR(C76="",C76=0),H76=0,J76=0),1,0)</f>
        <v>0</v>
      </c>
      <c r="R76" s="0" t="n">
        <f aca="false">IF(F76=0,0,IF(P76="Review required",1,IF(AND(P76="Explained: Starter",ISNUMBER(C76),C76&gt;=1500),1,0)))</f>
        <v>0</v>
      </c>
      <c r="S76" s="0" t="str">
        <f aca="false">IF(R76=0,"",IF(Q76=1,"High",IF(AND(P76="Explained: Starter",C76&gt;=1500),"High",IF(ABS(L76)&gt;=2000,"High",IF(ABS(L76)&gt;=500,"Medium","Low")))))</f>
        <v/>
      </c>
      <c r="T76" s="0" t="n">
        <f aca="false">SUMIFS('Payment Breakdown Prior'!$S$15:$S$104,'Payment Breakdown Prior'!$AE$15:$AE$104,$A76)</f>
        <v>0</v>
      </c>
      <c r="U76" s="0" t="n">
        <f aca="false">SUMIFS('Payment Breakdown Current'!$S$15:$S$104,'Payment Breakdown Current'!$AE$15:$AE$104,$A76)</f>
        <v>0</v>
      </c>
      <c r="V76" s="0" t="str">
        <f aca="false">IFERROR((U76-T76)/T76,"")</f>
        <v/>
      </c>
      <c r="W76" s="0" t="n">
        <f aca="false">(SUMIFS('Payment Breakdown Current'!$S$15:$S$104,'Payment Breakdown Current'!$AE$15:$AE$104,$A76))-(SUMIFS('Payment Breakdown Prior'!$S$15:$S$104,'Payment Breakdown Prior'!$AE$15:$AE$104,$A76))</f>
        <v>0</v>
      </c>
      <c r="X76" s="0" t="n">
        <f aca="false">(SUMIFS('Payment Breakdown Current'!$T$15:$T$104,'Payment Breakdown Current'!$AE$15:$AE$104,$A76))-(SUMIFS('Payment Breakdown Prior'!$T$15:$T$104,'Payment Breakdown Prior'!$AE$15:$AE$104,$A76))</f>
        <v>0</v>
      </c>
      <c r="Y76" s="0" t="n">
        <f aca="false">(SUMIFS('Payment Breakdown Current'!$U$15:$U$104,'Payment Breakdown Current'!$AE$15:$AE$104,$A76))-(SUMIFS('Payment Breakdown Prior'!$U$15:$U$104,'Payment Breakdown Prior'!$AE$15:$AE$104,$A76))</f>
        <v>0</v>
      </c>
      <c r="Z76" s="0" t="n">
        <f aca="false">(SUMIFS('Payment Breakdown Current'!$V$15:$V$104,'Payment Breakdown Current'!$AE$15:$AE$104,$A76))-(SUMIFS('Payment Breakdown Prior'!$V$15:$V$104,'Payment Breakdown Prior'!$AE$15:$AE$104,$A76))</f>
        <v>0</v>
      </c>
      <c r="AA76" s="0" t="n">
        <f aca="false">(SUMIFS('Payment Breakdown Current'!$W$15:$W$104,'Payment Breakdown Current'!$AE$15:$AE$104,$A76))-(SUMIFS('Payment Breakdown Prior'!$W$15:$W$104,'Payment Breakdown Prior'!$AE$15:$AE$104,$A76))</f>
        <v>0</v>
      </c>
      <c r="AB76" s="0" t="n">
        <f aca="false">(SUMIFS('Payment Breakdown Current'!$X$15:$X$104,'Payment Breakdown Current'!$AE$15:$AE$104,$A76))-(SUMIFS('Payment Breakdown Prior'!$X$15:$X$104,'Payment Breakdown Prior'!$AE$15:$AE$104,$A76))</f>
        <v>0</v>
      </c>
      <c r="AC76" s="0" t="n">
        <f aca="false">(SUMIFS('Payment Breakdown Current'!$Y$15:$Y$104,'Payment Breakdown Current'!$AE$15:$AE$104,$A76))-(SUMIFS('Payment Breakdown Prior'!$Y$15:$Y$104,'Payment Breakdown Prior'!$AE$15:$AE$104,$A76))</f>
        <v>0</v>
      </c>
      <c r="AD76" s="0" t="n">
        <f aca="false">(SUMIFS('Payment Breakdown Current'!$Z$15:$Z$104,'Payment Breakdown Current'!$AE$15:$AE$104,$A76))-(SUMIFS('Payment Breakdown Prior'!$Z$15:$Z$104,'Payment Breakdown Prior'!$AE$15:$AE$104,$A76))</f>
        <v>0</v>
      </c>
      <c r="AE76" s="0" t="n">
        <f aca="false">(SUMIFS('Payment Breakdown Current'!$AA$15:$AA$104,'Payment Breakdown Current'!$AE$15:$AE$104,$A76))-(SUMIFS('Payment Breakdown Prior'!$AA$15:$AA$104,'Payment Breakdown Prior'!$AE$15:$AE$104,$A76))</f>
        <v>0</v>
      </c>
      <c r="AF76" s="0" t="n">
        <f aca="false">(SUMIFS('Payment Breakdown Current'!$AB$15:$AB$104,'Payment Breakdown Current'!$AE$15:$AE$104,$A76))-(SUMIFS('Payment Breakdown Prior'!$AB$15:$AB$104,'Payment Breakdown Prior'!$AE$15:$AE$104,$A76))</f>
        <v>0</v>
      </c>
      <c r="AG76" s="0" t="n">
        <f aca="false">(SUMIFS('Payment Breakdown Current'!$AC$15:$AC$104,'Payment Breakdown Current'!$AE$15:$AE$104,$A76))-(SUMIFS('Payment Breakdown Prior'!$AC$15:$AC$104,'Payment Breakdown Prior'!$AE$15:$AE$104,$A76))</f>
        <v>0</v>
      </c>
      <c r="AH76" s="0" t="n">
        <f aca="false">(SUMIFS('Payment Breakdown Current'!$AD$15:$AD$104,'Payment Breakdown Current'!$AE$15:$AE$104,$A76))-(SUMIFS('Payment Breakdown Prior'!$AD$15:$AD$104,'Payment Breakdown Prior'!$AE$15:$AE$104,$A76))</f>
        <v>0</v>
      </c>
      <c r="AI76" s="0" t="n">
        <f aca="false">MAX(ABS(W76),ABS(X76),ABS(Y76),ABS(Z76),ABS(AA76),ABS(AB76),ABS(AC76),ABS(AD76),ABS(AE76),ABS(AF76),ABS(AG76),ABS(AH76))</f>
        <v>0</v>
      </c>
      <c r="AJ76" s="0" t="str">
        <f aca="false">IF(AI76&lt;0.005,"",IF(ABS(W76)=AI76,W$1,IF(ABS(X76)=AI76,X$1,IF(ABS(Y76)=AI76,Y$1,IF(ABS(Z76)=AI76,Z$1,IF(ABS(AA76)=AI76,AA$1,IF(ABS(AB76)=AI76,AB$1,IF(ABS(AC76)=AI76,AC$1,IF(ABS(AD76)=AI76,AD$1,IF(ABS(AE76)=AI76,AE$1,IF(ABS(AF76)=AI76,AF$1,IF(ABS(AG76)=AI76,AG$1,IF(ABS(AH76)=AI76,AH$1,"")))))))))))))</f>
        <v/>
      </c>
      <c r="AK76" s="0" t="str">
        <f aca="false">IF(AI76&lt;0.005,"",IF(ABS(W76)=AI76,W76,IF(ABS(X76)=AI76,X76,IF(ABS(Y76)=AI76,Y76,IF(ABS(Z76)=AI76,Z76,IF(ABS(AA76)=AI76,AA76,IF(ABS(AB76)=AI76,AB76,IF(ABS(AC76)=AI76,AC76,IF(ABS(AD76)=AI76,AD76,IF(ABS(AE76)=AI76,AE76,IF(ABS(AF76)=AI76,AF76,IF(ABS(AG76)=AI76,AG76,IF(ABS(AH76)=AI76,AH76,"")))))))))))))</f>
        <v/>
      </c>
      <c r="AL76" s="0" t="str">
        <f aca="false">IF(R76=1,ABS(L76)-ROW()/100000000,"")</f>
        <v/>
      </c>
    </row>
    <row r="77" customFormat="false" ht="15" hidden="false" customHeight="false" outlineLevel="0" collapsed="false">
      <c r="A77" s="0" t="str">
        <f aca="false">IF('NPV Comparison'!D90="","",'NPV Comparison'!D90)</f>
        <v/>
      </c>
      <c r="B77" s="0" t="str">
        <f aca="false">IF('NPV Comparison'!E90="","",'NPV Comparison'!E90)</f>
        <v/>
      </c>
      <c r="C77" s="0" t="str">
        <f aca="false">IF('NPV Comparison'!F90="","",'NPV Comparison'!F90)</f>
        <v/>
      </c>
      <c r="D77" s="0" t="str">
        <f aca="false">IF($A77="","",IFERROR(INDEX(Structure!$E$13:$E$312,MATCH($A77,Structure!$P$13:$P$312,0)),""))</f>
        <v/>
      </c>
      <c r="E77" s="0" t="n">
        <f aca="false">IF($A77="",0,IF(COUNTIF(Structure!$P$13:$P$312,$A77)=0,0,IF(COUNTIFS(Structure!$P$13:$P$312,$A77,Structure!$N$13:$N$312,"&lt;&gt;Zero Hours")=0,1,0)))</f>
        <v>0</v>
      </c>
      <c r="F77" s="0" t="n">
        <f aca="false">IF($A77="",0,1-E77)</f>
        <v>0</v>
      </c>
      <c r="G77" s="0" t="n">
        <f aca="false">IF($A77="",0,IF(COUNTIF('New Starters'!$D$14:$D$73,$A77)&gt;0,1,0))</f>
        <v>0</v>
      </c>
      <c r="H77" s="0" t="n">
        <f aca="false">IF($A77="",0,IF(COUNTIF(Leavers!$D$12:$D$71,$A77)&gt;0,1,0))</f>
        <v>0</v>
      </c>
      <c r="I77" s="0" t="str">
        <f aca="false">IF($A77="","",IFERROR(INDEX('New Starters'!$K$14:$K$73,MATCH($A77,'New Starters'!$D$14:$D$73,0)),IFERROR(INDEX(Leavers!$K$12:$K$71,MATCH($A77,Leavers!$D$12:$D$71,0)),"")))</f>
        <v/>
      </c>
      <c r="J77" s="0" t="n">
        <f aca="false">IF(AND(G77=1,I77&lt;&gt;"",COUNTIF(Leavers!$K$12:$K$71,I77)&gt;0),1,IF(AND(H77=1,I77&lt;&gt;"",COUNTIF('New Starters'!$K$14:$K$73,I77)&gt;0),1,0))</f>
        <v>0</v>
      </c>
      <c r="K77" s="14" t="n">
        <f aca="false">IF(ISNUMBER(SEARCH("Head Office",D77)),'Control Sheet'!$C$6,'Control Sheet'!$C$5)</f>
        <v>0.2</v>
      </c>
      <c r="L77" s="0" t="str">
        <f aca="false">IF(OR($A77="",AND(B77="",C77="")),"",IF(B77="",C77,IF(C77="",-B77,C77-B77)))</f>
        <v/>
      </c>
      <c r="M77" s="0" t="str">
        <f aca="false">IFERROR(L77/B77,"")</f>
        <v/>
      </c>
      <c r="N77" s="0" t="n">
        <f aca="false">IF($A77="",0,IF(OR(B77="",C77="",C77=0,IF(ISNUMBER(M77),ABS(M77)&gt;K77,FALSE())),1,0))</f>
        <v>0</v>
      </c>
      <c r="O77" s="0" t="n">
        <f aca="false">IF(OR($A77="",L77=""),0,IF(AND(N77=1,ABS(L77)&gt;='Control Sheet'!$C$7,F77=1),1,0))</f>
        <v>0</v>
      </c>
      <c r="P77" s="0" t="str">
        <f aca="false">IF($A77="","",IF(F77=0,"Zero Hours",IF(J77=1,"Explained: Paired transfer",IF(AND(G77=1,H77=0,J77=0),"Explained: Starter",IF(AND(H77=1,G77=0,J77=0),"Explained: Leaver",IF(O77=1,"Review required","OK"))))))</f>
        <v/>
      </c>
      <c r="Q77" s="0" t="n">
        <f aca="false">IF(AND(F77=1,OR(C77="",C77=0),H77=0,J77=0),1,0)</f>
        <v>0</v>
      </c>
      <c r="R77" s="0" t="n">
        <f aca="false">IF(F77=0,0,IF(P77="Review required",1,IF(AND(P77="Explained: Starter",ISNUMBER(C77),C77&gt;=1500),1,0)))</f>
        <v>0</v>
      </c>
      <c r="S77" s="0" t="str">
        <f aca="false">IF(R77=0,"",IF(Q77=1,"High",IF(AND(P77="Explained: Starter",C77&gt;=1500),"High",IF(ABS(L77)&gt;=2000,"High",IF(ABS(L77)&gt;=500,"Medium","Low")))))</f>
        <v/>
      </c>
      <c r="T77" s="0" t="n">
        <f aca="false">SUMIFS('Payment Breakdown Prior'!$S$15:$S$104,'Payment Breakdown Prior'!$AE$15:$AE$104,$A77)</f>
        <v>0</v>
      </c>
      <c r="U77" s="0" t="n">
        <f aca="false">SUMIFS('Payment Breakdown Current'!$S$15:$S$104,'Payment Breakdown Current'!$AE$15:$AE$104,$A77)</f>
        <v>0</v>
      </c>
      <c r="V77" s="0" t="str">
        <f aca="false">IFERROR((U77-T77)/T77,"")</f>
        <v/>
      </c>
      <c r="W77" s="0" t="n">
        <f aca="false">(SUMIFS('Payment Breakdown Current'!$S$15:$S$104,'Payment Breakdown Current'!$AE$15:$AE$104,$A77))-(SUMIFS('Payment Breakdown Prior'!$S$15:$S$104,'Payment Breakdown Prior'!$AE$15:$AE$104,$A77))</f>
        <v>0</v>
      </c>
      <c r="X77" s="0" t="n">
        <f aca="false">(SUMIFS('Payment Breakdown Current'!$T$15:$T$104,'Payment Breakdown Current'!$AE$15:$AE$104,$A77))-(SUMIFS('Payment Breakdown Prior'!$T$15:$T$104,'Payment Breakdown Prior'!$AE$15:$AE$104,$A77))</f>
        <v>0</v>
      </c>
      <c r="Y77" s="0" t="n">
        <f aca="false">(SUMIFS('Payment Breakdown Current'!$U$15:$U$104,'Payment Breakdown Current'!$AE$15:$AE$104,$A77))-(SUMIFS('Payment Breakdown Prior'!$U$15:$U$104,'Payment Breakdown Prior'!$AE$15:$AE$104,$A77))</f>
        <v>0</v>
      </c>
      <c r="Z77" s="0" t="n">
        <f aca="false">(SUMIFS('Payment Breakdown Current'!$V$15:$V$104,'Payment Breakdown Current'!$AE$15:$AE$104,$A77))-(SUMIFS('Payment Breakdown Prior'!$V$15:$V$104,'Payment Breakdown Prior'!$AE$15:$AE$104,$A77))</f>
        <v>0</v>
      </c>
      <c r="AA77" s="0" t="n">
        <f aca="false">(SUMIFS('Payment Breakdown Current'!$W$15:$W$104,'Payment Breakdown Current'!$AE$15:$AE$104,$A77))-(SUMIFS('Payment Breakdown Prior'!$W$15:$W$104,'Payment Breakdown Prior'!$AE$15:$AE$104,$A77))</f>
        <v>0</v>
      </c>
      <c r="AB77" s="0" t="n">
        <f aca="false">(SUMIFS('Payment Breakdown Current'!$X$15:$X$104,'Payment Breakdown Current'!$AE$15:$AE$104,$A77))-(SUMIFS('Payment Breakdown Prior'!$X$15:$X$104,'Payment Breakdown Prior'!$AE$15:$AE$104,$A77))</f>
        <v>0</v>
      </c>
      <c r="AC77" s="0" t="n">
        <f aca="false">(SUMIFS('Payment Breakdown Current'!$Y$15:$Y$104,'Payment Breakdown Current'!$AE$15:$AE$104,$A77))-(SUMIFS('Payment Breakdown Prior'!$Y$15:$Y$104,'Payment Breakdown Prior'!$AE$15:$AE$104,$A77))</f>
        <v>0</v>
      </c>
      <c r="AD77" s="0" t="n">
        <f aca="false">(SUMIFS('Payment Breakdown Current'!$Z$15:$Z$104,'Payment Breakdown Current'!$AE$15:$AE$104,$A77))-(SUMIFS('Payment Breakdown Prior'!$Z$15:$Z$104,'Payment Breakdown Prior'!$AE$15:$AE$104,$A77))</f>
        <v>0</v>
      </c>
      <c r="AE77" s="0" t="n">
        <f aca="false">(SUMIFS('Payment Breakdown Current'!$AA$15:$AA$104,'Payment Breakdown Current'!$AE$15:$AE$104,$A77))-(SUMIFS('Payment Breakdown Prior'!$AA$15:$AA$104,'Payment Breakdown Prior'!$AE$15:$AE$104,$A77))</f>
        <v>0</v>
      </c>
      <c r="AF77" s="0" t="n">
        <f aca="false">(SUMIFS('Payment Breakdown Current'!$AB$15:$AB$104,'Payment Breakdown Current'!$AE$15:$AE$104,$A77))-(SUMIFS('Payment Breakdown Prior'!$AB$15:$AB$104,'Payment Breakdown Prior'!$AE$15:$AE$104,$A77))</f>
        <v>0</v>
      </c>
      <c r="AG77" s="0" t="n">
        <f aca="false">(SUMIFS('Payment Breakdown Current'!$AC$15:$AC$104,'Payment Breakdown Current'!$AE$15:$AE$104,$A77))-(SUMIFS('Payment Breakdown Prior'!$AC$15:$AC$104,'Payment Breakdown Prior'!$AE$15:$AE$104,$A77))</f>
        <v>0</v>
      </c>
      <c r="AH77" s="0" t="n">
        <f aca="false">(SUMIFS('Payment Breakdown Current'!$AD$15:$AD$104,'Payment Breakdown Current'!$AE$15:$AE$104,$A77))-(SUMIFS('Payment Breakdown Prior'!$AD$15:$AD$104,'Payment Breakdown Prior'!$AE$15:$AE$104,$A77))</f>
        <v>0</v>
      </c>
      <c r="AI77" s="0" t="n">
        <f aca="false">MAX(ABS(W77),ABS(X77),ABS(Y77),ABS(Z77),ABS(AA77),ABS(AB77),ABS(AC77),ABS(AD77),ABS(AE77),ABS(AF77),ABS(AG77),ABS(AH77))</f>
        <v>0</v>
      </c>
      <c r="AJ77" s="0" t="str">
        <f aca="false">IF(AI77&lt;0.005,"",IF(ABS(W77)=AI77,W$1,IF(ABS(X77)=AI77,X$1,IF(ABS(Y77)=AI77,Y$1,IF(ABS(Z77)=AI77,Z$1,IF(ABS(AA77)=AI77,AA$1,IF(ABS(AB77)=AI77,AB$1,IF(ABS(AC77)=AI77,AC$1,IF(ABS(AD77)=AI77,AD$1,IF(ABS(AE77)=AI77,AE$1,IF(ABS(AF77)=AI77,AF$1,IF(ABS(AG77)=AI77,AG$1,IF(ABS(AH77)=AI77,AH$1,"")))))))))))))</f>
        <v/>
      </c>
      <c r="AK77" s="0" t="str">
        <f aca="false">IF(AI77&lt;0.005,"",IF(ABS(W77)=AI77,W77,IF(ABS(X77)=AI77,X77,IF(ABS(Y77)=AI77,Y77,IF(ABS(Z77)=AI77,Z77,IF(ABS(AA77)=AI77,AA77,IF(ABS(AB77)=AI77,AB77,IF(ABS(AC77)=AI77,AC77,IF(ABS(AD77)=AI77,AD77,IF(ABS(AE77)=AI77,AE77,IF(ABS(AF77)=AI77,AF77,IF(ABS(AG77)=AI77,AG77,IF(ABS(AH77)=AI77,AH77,"")))))))))))))</f>
        <v/>
      </c>
      <c r="AL77" s="0" t="str">
        <f aca="false">IF(R77=1,ABS(L77)-ROW()/100000000,"")</f>
        <v/>
      </c>
    </row>
    <row r="78" customFormat="false" ht="15" hidden="false" customHeight="false" outlineLevel="0" collapsed="false">
      <c r="A78" s="0" t="str">
        <f aca="false">IF('NPV Comparison'!D91="","",'NPV Comparison'!D91)</f>
        <v/>
      </c>
      <c r="B78" s="0" t="str">
        <f aca="false">IF('NPV Comparison'!E91="","",'NPV Comparison'!E91)</f>
        <v/>
      </c>
      <c r="C78" s="0" t="str">
        <f aca="false">IF('NPV Comparison'!F91="","",'NPV Comparison'!F91)</f>
        <v/>
      </c>
      <c r="D78" s="0" t="str">
        <f aca="false">IF($A78="","",IFERROR(INDEX(Structure!$E$13:$E$312,MATCH($A78,Structure!$P$13:$P$312,0)),""))</f>
        <v/>
      </c>
      <c r="E78" s="0" t="n">
        <f aca="false">IF($A78="",0,IF(COUNTIF(Structure!$P$13:$P$312,$A78)=0,0,IF(COUNTIFS(Structure!$P$13:$P$312,$A78,Structure!$N$13:$N$312,"&lt;&gt;Zero Hours")=0,1,0)))</f>
        <v>0</v>
      </c>
      <c r="F78" s="0" t="n">
        <f aca="false">IF($A78="",0,1-E78)</f>
        <v>0</v>
      </c>
      <c r="G78" s="0" t="n">
        <f aca="false">IF($A78="",0,IF(COUNTIF('New Starters'!$D$14:$D$73,$A78)&gt;0,1,0))</f>
        <v>0</v>
      </c>
      <c r="H78" s="0" t="n">
        <f aca="false">IF($A78="",0,IF(COUNTIF(Leavers!$D$12:$D$71,$A78)&gt;0,1,0))</f>
        <v>0</v>
      </c>
      <c r="I78" s="0" t="str">
        <f aca="false">IF($A78="","",IFERROR(INDEX('New Starters'!$K$14:$K$73,MATCH($A78,'New Starters'!$D$14:$D$73,0)),IFERROR(INDEX(Leavers!$K$12:$K$71,MATCH($A78,Leavers!$D$12:$D$71,0)),"")))</f>
        <v/>
      </c>
      <c r="J78" s="0" t="n">
        <f aca="false">IF(AND(G78=1,I78&lt;&gt;"",COUNTIF(Leavers!$K$12:$K$71,I78)&gt;0),1,IF(AND(H78=1,I78&lt;&gt;"",COUNTIF('New Starters'!$K$14:$K$73,I78)&gt;0),1,0))</f>
        <v>0</v>
      </c>
      <c r="K78" s="14" t="n">
        <f aca="false">IF(ISNUMBER(SEARCH("Head Office",D78)),'Control Sheet'!$C$6,'Control Sheet'!$C$5)</f>
        <v>0.2</v>
      </c>
      <c r="L78" s="0" t="str">
        <f aca="false">IF(OR($A78="",AND(B78="",C78="")),"",IF(B78="",C78,IF(C78="",-B78,C78-B78)))</f>
        <v/>
      </c>
      <c r="M78" s="0" t="str">
        <f aca="false">IFERROR(L78/B78,"")</f>
        <v/>
      </c>
      <c r="N78" s="0" t="n">
        <f aca="false">IF($A78="",0,IF(OR(B78="",C78="",C78=0,IF(ISNUMBER(M78),ABS(M78)&gt;K78,FALSE())),1,0))</f>
        <v>0</v>
      </c>
      <c r="O78" s="0" t="n">
        <f aca="false">IF(OR($A78="",L78=""),0,IF(AND(N78=1,ABS(L78)&gt;='Control Sheet'!$C$7,F78=1),1,0))</f>
        <v>0</v>
      </c>
      <c r="P78" s="0" t="str">
        <f aca="false">IF($A78="","",IF(F78=0,"Zero Hours",IF(J78=1,"Explained: Paired transfer",IF(AND(G78=1,H78=0,J78=0),"Explained: Starter",IF(AND(H78=1,G78=0,J78=0),"Explained: Leaver",IF(O78=1,"Review required","OK"))))))</f>
        <v/>
      </c>
      <c r="Q78" s="0" t="n">
        <f aca="false">IF(AND(F78=1,OR(C78="",C78=0),H78=0,J78=0),1,0)</f>
        <v>0</v>
      </c>
      <c r="R78" s="0" t="n">
        <f aca="false">IF(F78=0,0,IF(P78="Review required",1,IF(AND(P78="Explained: Starter",ISNUMBER(C78),C78&gt;=1500),1,0)))</f>
        <v>0</v>
      </c>
      <c r="S78" s="0" t="str">
        <f aca="false">IF(R78=0,"",IF(Q78=1,"High",IF(AND(P78="Explained: Starter",C78&gt;=1500),"High",IF(ABS(L78)&gt;=2000,"High",IF(ABS(L78)&gt;=500,"Medium","Low")))))</f>
        <v/>
      </c>
      <c r="T78" s="0" t="n">
        <f aca="false">SUMIFS('Payment Breakdown Prior'!$S$15:$S$104,'Payment Breakdown Prior'!$AE$15:$AE$104,$A78)</f>
        <v>0</v>
      </c>
      <c r="U78" s="0" t="n">
        <f aca="false">SUMIFS('Payment Breakdown Current'!$S$15:$S$104,'Payment Breakdown Current'!$AE$15:$AE$104,$A78)</f>
        <v>0</v>
      </c>
      <c r="V78" s="0" t="str">
        <f aca="false">IFERROR((U78-T78)/T78,"")</f>
        <v/>
      </c>
      <c r="W78" s="0" t="n">
        <f aca="false">(SUMIFS('Payment Breakdown Current'!$S$15:$S$104,'Payment Breakdown Current'!$AE$15:$AE$104,$A78))-(SUMIFS('Payment Breakdown Prior'!$S$15:$S$104,'Payment Breakdown Prior'!$AE$15:$AE$104,$A78))</f>
        <v>0</v>
      </c>
      <c r="X78" s="0" t="n">
        <f aca="false">(SUMIFS('Payment Breakdown Current'!$T$15:$T$104,'Payment Breakdown Current'!$AE$15:$AE$104,$A78))-(SUMIFS('Payment Breakdown Prior'!$T$15:$T$104,'Payment Breakdown Prior'!$AE$15:$AE$104,$A78))</f>
        <v>0</v>
      </c>
      <c r="Y78" s="0" t="n">
        <f aca="false">(SUMIFS('Payment Breakdown Current'!$U$15:$U$104,'Payment Breakdown Current'!$AE$15:$AE$104,$A78))-(SUMIFS('Payment Breakdown Prior'!$U$15:$U$104,'Payment Breakdown Prior'!$AE$15:$AE$104,$A78))</f>
        <v>0</v>
      </c>
      <c r="Z78" s="0" t="n">
        <f aca="false">(SUMIFS('Payment Breakdown Current'!$V$15:$V$104,'Payment Breakdown Current'!$AE$15:$AE$104,$A78))-(SUMIFS('Payment Breakdown Prior'!$V$15:$V$104,'Payment Breakdown Prior'!$AE$15:$AE$104,$A78))</f>
        <v>0</v>
      </c>
      <c r="AA78" s="0" t="n">
        <f aca="false">(SUMIFS('Payment Breakdown Current'!$W$15:$W$104,'Payment Breakdown Current'!$AE$15:$AE$104,$A78))-(SUMIFS('Payment Breakdown Prior'!$W$15:$W$104,'Payment Breakdown Prior'!$AE$15:$AE$104,$A78))</f>
        <v>0</v>
      </c>
      <c r="AB78" s="0" t="n">
        <f aca="false">(SUMIFS('Payment Breakdown Current'!$X$15:$X$104,'Payment Breakdown Current'!$AE$15:$AE$104,$A78))-(SUMIFS('Payment Breakdown Prior'!$X$15:$X$104,'Payment Breakdown Prior'!$AE$15:$AE$104,$A78))</f>
        <v>0</v>
      </c>
      <c r="AC78" s="0" t="n">
        <f aca="false">(SUMIFS('Payment Breakdown Current'!$Y$15:$Y$104,'Payment Breakdown Current'!$AE$15:$AE$104,$A78))-(SUMIFS('Payment Breakdown Prior'!$Y$15:$Y$104,'Payment Breakdown Prior'!$AE$15:$AE$104,$A78))</f>
        <v>0</v>
      </c>
      <c r="AD78" s="0" t="n">
        <f aca="false">(SUMIFS('Payment Breakdown Current'!$Z$15:$Z$104,'Payment Breakdown Current'!$AE$15:$AE$104,$A78))-(SUMIFS('Payment Breakdown Prior'!$Z$15:$Z$104,'Payment Breakdown Prior'!$AE$15:$AE$104,$A78))</f>
        <v>0</v>
      </c>
      <c r="AE78" s="0" t="n">
        <f aca="false">(SUMIFS('Payment Breakdown Current'!$AA$15:$AA$104,'Payment Breakdown Current'!$AE$15:$AE$104,$A78))-(SUMIFS('Payment Breakdown Prior'!$AA$15:$AA$104,'Payment Breakdown Prior'!$AE$15:$AE$104,$A78))</f>
        <v>0</v>
      </c>
      <c r="AF78" s="0" t="n">
        <f aca="false">(SUMIFS('Payment Breakdown Current'!$AB$15:$AB$104,'Payment Breakdown Current'!$AE$15:$AE$104,$A78))-(SUMIFS('Payment Breakdown Prior'!$AB$15:$AB$104,'Payment Breakdown Prior'!$AE$15:$AE$104,$A78))</f>
        <v>0</v>
      </c>
      <c r="AG78" s="0" t="n">
        <f aca="false">(SUMIFS('Payment Breakdown Current'!$AC$15:$AC$104,'Payment Breakdown Current'!$AE$15:$AE$104,$A78))-(SUMIFS('Payment Breakdown Prior'!$AC$15:$AC$104,'Payment Breakdown Prior'!$AE$15:$AE$104,$A78))</f>
        <v>0</v>
      </c>
      <c r="AH78" s="0" t="n">
        <f aca="false">(SUMIFS('Payment Breakdown Current'!$AD$15:$AD$104,'Payment Breakdown Current'!$AE$15:$AE$104,$A78))-(SUMIFS('Payment Breakdown Prior'!$AD$15:$AD$104,'Payment Breakdown Prior'!$AE$15:$AE$104,$A78))</f>
        <v>0</v>
      </c>
      <c r="AI78" s="0" t="n">
        <f aca="false">MAX(ABS(W78),ABS(X78),ABS(Y78),ABS(Z78),ABS(AA78),ABS(AB78),ABS(AC78),ABS(AD78),ABS(AE78),ABS(AF78),ABS(AG78),ABS(AH78))</f>
        <v>0</v>
      </c>
      <c r="AJ78" s="0" t="str">
        <f aca="false">IF(AI78&lt;0.005,"",IF(ABS(W78)=AI78,W$1,IF(ABS(X78)=AI78,X$1,IF(ABS(Y78)=AI78,Y$1,IF(ABS(Z78)=AI78,Z$1,IF(ABS(AA78)=AI78,AA$1,IF(ABS(AB78)=AI78,AB$1,IF(ABS(AC78)=AI78,AC$1,IF(ABS(AD78)=AI78,AD$1,IF(ABS(AE78)=AI78,AE$1,IF(ABS(AF78)=AI78,AF$1,IF(ABS(AG78)=AI78,AG$1,IF(ABS(AH78)=AI78,AH$1,"")))))))))))))</f>
        <v/>
      </c>
      <c r="AK78" s="0" t="str">
        <f aca="false">IF(AI78&lt;0.005,"",IF(ABS(W78)=AI78,W78,IF(ABS(X78)=AI78,X78,IF(ABS(Y78)=AI78,Y78,IF(ABS(Z78)=AI78,Z78,IF(ABS(AA78)=AI78,AA78,IF(ABS(AB78)=AI78,AB78,IF(ABS(AC78)=AI78,AC78,IF(ABS(AD78)=AI78,AD78,IF(ABS(AE78)=AI78,AE78,IF(ABS(AF78)=AI78,AF78,IF(ABS(AG78)=AI78,AG78,IF(ABS(AH78)=AI78,AH78,"")))))))))))))</f>
        <v/>
      </c>
      <c r="AL78" s="0" t="str">
        <f aca="false">IF(R78=1,ABS(L78)-ROW()/100000000,"")</f>
        <v/>
      </c>
    </row>
    <row r="79" customFormat="false" ht="15" hidden="false" customHeight="false" outlineLevel="0" collapsed="false">
      <c r="A79" s="0" t="str">
        <f aca="false">IF('NPV Comparison'!D92="","",'NPV Comparison'!D92)</f>
        <v/>
      </c>
      <c r="B79" s="0" t="str">
        <f aca="false">IF('NPV Comparison'!E92="","",'NPV Comparison'!E92)</f>
        <v/>
      </c>
      <c r="C79" s="0" t="str">
        <f aca="false">IF('NPV Comparison'!F92="","",'NPV Comparison'!F92)</f>
        <v/>
      </c>
      <c r="D79" s="0" t="str">
        <f aca="false">IF($A79="","",IFERROR(INDEX(Structure!$E$13:$E$312,MATCH($A79,Structure!$P$13:$P$312,0)),""))</f>
        <v/>
      </c>
      <c r="E79" s="0" t="n">
        <f aca="false">IF($A79="",0,IF(COUNTIF(Structure!$P$13:$P$312,$A79)=0,0,IF(COUNTIFS(Structure!$P$13:$P$312,$A79,Structure!$N$13:$N$312,"&lt;&gt;Zero Hours")=0,1,0)))</f>
        <v>0</v>
      </c>
      <c r="F79" s="0" t="n">
        <f aca="false">IF($A79="",0,1-E79)</f>
        <v>0</v>
      </c>
      <c r="G79" s="0" t="n">
        <f aca="false">IF($A79="",0,IF(COUNTIF('New Starters'!$D$14:$D$73,$A79)&gt;0,1,0))</f>
        <v>0</v>
      </c>
      <c r="H79" s="0" t="n">
        <f aca="false">IF($A79="",0,IF(COUNTIF(Leavers!$D$12:$D$71,$A79)&gt;0,1,0))</f>
        <v>0</v>
      </c>
      <c r="I79" s="0" t="str">
        <f aca="false">IF($A79="","",IFERROR(INDEX('New Starters'!$K$14:$K$73,MATCH($A79,'New Starters'!$D$14:$D$73,0)),IFERROR(INDEX(Leavers!$K$12:$K$71,MATCH($A79,Leavers!$D$12:$D$71,0)),"")))</f>
        <v/>
      </c>
      <c r="J79" s="0" t="n">
        <f aca="false">IF(AND(G79=1,I79&lt;&gt;"",COUNTIF(Leavers!$K$12:$K$71,I79)&gt;0),1,IF(AND(H79=1,I79&lt;&gt;"",COUNTIF('New Starters'!$K$14:$K$73,I79)&gt;0),1,0))</f>
        <v>0</v>
      </c>
      <c r="K79" s="14" t="n">
        <f aca="false">IF(ISNUMBER(SEARCH("Head Office",D79)),'Control Sheet'!$C$6,'Control Sheet'!$C$5)</f>
        <v>0.2</v>
      </c>
      <c r="L79" s="0" t="str">
        <f aca="false">IF(OR($A79="",AND(B79="",C79="")),"",IF(B79="",C79,IF(C79="",-B79,C79-B79)))</f>
        <v/>
      </c>
      <c r="M79" s="0" t="str">
        <f aca="false">IFERROR(L79/B79,"")</f>
        <v/>
      </c>
      <c r="N79" s="0" t="n">
        <f aca="false">IF($A79="",0,IF(OR(B79="",C79="",C79=0,IF(ISNUMBER(M79),ABS(M79)&gt;K79,FALSE())),1,0))</f>
        <v>0</v>
      </c>
      <c r="O79" s="0" t="n">
        <f aca="false">IF(OR($A79="",L79=""),0,IF(AND(N79=1,ABS(L79)&gt;='Control Sheet'!$C$7,F79=1),1,0))</f>
        <v>0</v>
      </c>
      <c r="P79" s="0" t="str">
        <f aca="false">IF($A79="","",IF(F79=0,"Zero Hours",IF(J79=1,"Explained: Paired transfer",IF(AND(G79=1,H79=0,J79=0),"Explained: Starter",IF(AND(H79=1,G79=0,J79=0),"Explained: Leaver",IF(O79=1,"Review required","OK"))))))</f>
        <v/>
      </c>
      <c r="Q79" s="0" t="n">
        <f aca="false">IF(AND(F79=1,OR(C79="",C79=0),H79=0,J79=0),1,0)</f>
        <v>0</v>
      </c>
      <c r="R79" s="0" t="n">
        <f aca="false">IF(F79=0,0,IF(P79="Review required",1,IF(AND(P79="Explained: Starter",ISNUMBER(C79),C79&gt;=1500),1,0)))</f>
        <v>0</v>
      </c>
      <c r="S79" s="0" t="str">
        <f aca="false">IF(R79=0,"",IF(Q79=1,"High",IF(AND(P79="Explained: Starter",C79&gt;=1500),"High",IF(ABS(L79)&gt;=2000,"High",IF(ABS(L79)&gt;=500,"Medium","Low")))))</f>
        <v/>
      </c>
      <c r="T79" s="0" t="n">
        <f aca="false">SUMIFS('Payment Breakdown Prior'!$S$15:$S$104,'Payment Breakdown Prior'!$AE$15:$AE$104,$A79)</f>
        <v>0</v>
      </c>
      <c r="U79" s="0" t="n">
        <f aca="false">SUMIFS('Payment Breakdown Current'!$S$15:$S$104,'Payment Breakdown Current'!$AE$15:$AE$104,$A79)</f>
        <v>0</v>
      </c>
      <c r="V79" s="0" t="str">
        <f aca="false">IFERROR((U79-T79)/T79,"")</f>
        <v/>
      </c>
      <c r="W79" s="0" t="n">
        <f aca="false">(SUMIFS('Payment Breakdown Current'!$S$15:$S$104,'Payment Breakdown Current'!$AE$15:$AE$104,$A79))-(SUMIFS('Payment Breakdown Prior'!$S$15:$S$104,'Payment Breakdown Prior'!$AE$15:$AE$104,$A79))</f>
        <v>0</v>
      </c>
      <c r="X79" s="0" t="n">
        <f aca="false">(SUMIFS('Payment Breakdown Current'!$T$15:$T$104,'Payment Breakdown Current'!$AE$15:$AE$104,$A79))-(SUMIFS('Payment Breakdown Prior'!$T$15:$T$104,'Payment Breakdown Prior'!$AE$15:$AE$104,$A79))</f>
        <v>0</v>
      </c>
      <c r="Y79" s="0" t="n">
        <f aca="false">(SUMIFS('Payment Breakdown Current'!$U$15:$U$104,'Payment Breakdown Current'!$AE$15:$AE$104,$A79))-(SUMIFS('Payment Breakdown Prior'!$U$15:$U$104,'Payment Breakdown Prior'!$AE$15:$AE$104,$A79))</f>
        <v>0</v>
      </c>
      <c r="Z79" s="0" t="n">
        <f aca="false">(SUMIFS('Payment Breakdown Current'!$V$15:$V$104,'Payment Breakdown Current'!$AE$15:$AE$104,$A79))-(SUMIFS('Payment Breakdown Prior'!$V$15:$V$104,'Payment Breakdown Prior'!$AE$15:$AE$104,$A79))</f>
        <v>0</v>
      </c>
      <c r="AA79" s="0" t="n">
        <f aca="false">(SUMIFS('Payment Breakdown Current'!$W$15:$W$104,'Payment Breakdown Current'!$AE$15:$AE$104,$A79))-(SUMIFS('Payment Breakdown Prior'!$W$15:$W$104,'Payment Breakdown Prior'!$AE$15:$AE$104,$A79))</f>
        <v>0</v>
      </c>
      <c r="AB79" s="0" t="n">
        <f aca="false">(SUMIFS('Payment Breakdown Current'!$X$15:$X$104,'Payment Breakdown Current'!$AE$15:$AE$104,$A79))-(SUMIFS('Payment Breakdown Prior'!$X$15:$X$104,'Payment Breakdown Prior'!$AE$15:$AE$104,$A79))</f>
        <v>0</v>
      </c>
      <c r="AC79" s="0" t="n">
        <f aca="false">(SUMIFS('Payment Breakdown Current'!$Y$15:$Y$104,'Payment Breakdown Current'!$AE$15:$AE$104,$A79))-(SUMIFS('Payment Breakdown Prior'!$Y$15:$Y$104,'Payment Breakdown Prior'!$AE$15:$AE$104,$A79))</f>
        <v>0</v>
      </c>
      <c r="AD79" s="0" t="n">
        <f aca="false">(SUMIFS('Payment Breakdown Current'!$Z$15:$Z$104,'Payment Breakdown Current'!$AE$15:$AE$104,$A79))-(SUMIFS('Payment Breakdown Prior'!$Z$15:$Z$104,'Payment Breakdown Prior'!$AE$15:$AE$104,$A79))</f>
        <v>0</v>
      </c>
      <c r="AE79" s="0" t="n">
        <f aca="false">(SUMIFS('Payment Breakdown Current'!$AA$15:$AA$104,'Payment Breakdown Current'!$AE$15:$AE$104,$A79))-(SUMIFS('Payment Breakdown Prior'!$AA$15:$AA$104,'Payment Breakdown Prior'!$AE$15:$AE$104,$A79))</f>
        <v>0</v>
      </c>
      <c r="AF79" s="0" t="n">
        <f aca="false">(SUMIFS('Payment Breakdown Current'!$AB$15:$AB$104,'Payment Breakdown Current'!$AE$15:$AE$104,$A79))-(SUMIFS('Payment Breakdown Prior'!$AB$15:$AB$104,'Payment Breakdown Prior'!$AE$15:$AE$104,$A79))</f>
        <v>0</v>
      </c>
      <c r="AG79" s="0" t="n">
        <f aca="false">(SUMIFS('Payment Breakdown Current'!$AC$15:$AC$104,'Payment Breakdown Current'!$AE$15:$AE$104,$A79))-(SUMIFS('Payment Breakdown Prior'!$AC$15:$AC$104,'Payment Breakdown Prior'!$AE$15:$AE$104,$A79))</f>
        <v>0</v>
      </c>
      <c r="AH79" s="0" t="n">
        <f aca="false">(SUMIFS('Payment Breakdown Current'!$AD$15:$AD$104,'Payment Breakdown Current'!$AE$15:$AE$104,$A79))-(SUMIFS('Payment Breakdown Prior'!$AD$15:$AD$104,'Payment Breakdown Prior'!$AE$15:$AE$104,$A79))</f>
        <v>0</v>
      </c>
      <c r="AI79" s="0" t="n">
        <f aca="false">MAX(ABS(W79),ABS(X79),ABS(Y79),ABS(Z79),ABS(AA79),ABS(AB79),ABS(AC79),ABS(AD79),ABS(AE79),ABS(AF79),ABS(AG79),ABS(AH79))</f>
        <v>0</v>
      </c>
      <c r="AJ79" s="0" t="str">
        <f aca="false">IF(AI79&lt;0.005,"",IF(ABS(W79)=AI79,W$1,IF(ABS(X79)=AI79,X$1,IF(ABS(Y79)=AI79,Y$1,IF(ABS(Z79)=AI79,Z$1,IF(ABS(AA79)=AI79,AA$1,IF(ABS(AB79)=AI79,AB$1,IF(ABS(AC79)=AI79,AC$1,IF(ABS(AD79)=AI79,AD$1,IF(ABS(AE79)=AI79,AE$1,IF(ABS(AF79)=AI79,AF$1,IF(ABS(AG79)=AI79,AG$1,IF(ABS(AH79)=AI79,AH$1,"")))))))))))))</f>
        <v/>
      </c>
      <c r="AK79" s="0" t="str">
        <f aca="false">IF(AI79&lt;0.005,"",IF(ABS(W79)=AI79,W79,IF(ABS(X79)=AI79,X79,IF(ABS(Y79)=AI79,Y79,IF(ABS(Z79)=AI79,Z79,IF(ABS(AA79)=AI79,AA79,IF(ABS(AB79)=AI79,AB79,IF(ABS(AC79)=AI79,AC79,IF(ABS(AD79)=AI79,AD79,IF(ABS(AE79)=AI79,AE79,IF(ABS(AF79)=AI79,AF79,IF(ABS(AG79)=AI79,AG79,IF(ABS(AH79)=AI79,AH79,"")))))))))))))</f>
        <v/>
      </c>
      <c r="AL79" s="0" t="str">
        <f aca="false">IF(R79=1,ABS(L79)-ROW()/100000000,"")</f>
        <v/>
      </c>
    </row>
    <row r="80" customFormat="false" ht="15" hidden="false" customHeight="false" outlineLevel="0" collapsed="false">
      <c r="A80" s="0" t="str">
        <f aca="false">IF('NPV Comparison'!D93="","",'NPV Comparison'!D93)</f>
        <v/>
      </c>
      <c r="B80" s="0" t="str">
        <f aca="false">IF('NPV Comparison'!E93="","",'NPV Comparison'!E93)</f>
        <v/>
      </c>
      <c r="C80" s="0" t="str">
        <f aca="false">IF('NPV Comparison'!F93="","",'NPV Comparison'!F93)</f>
        <v/>
      </c>
      <c r="D80" s="0" t="str">
        <f aca="false">IF($A80="","",IFERROR(INDEX(Structure!$E$13:$E$312,MATCH($A80,Structure!$P$13:$P$312,0)),""))</f>
        <v/>
      </c>
      <c r="E80" s="0" t="n">
        <f aca="false">IF($A80="",0,IF(COUNTIF(Structure!$P$13:$P$312,$A80)=0,0,IF(COUNTIFS(Structure!$P$13:$P$312,$A80,Structure!$N$13:$N$312,"&lt;&gt;Zero Hours")=0,1,0)))</f>
        <v>0</v>
      </c>
      <c r="F80" s="0" t="n">
        <f aca="false">IF($A80="",0,1-E80)</f>
        <v>0</v>
      </c>
      <c r="G80" s="0" t="n">
        <f aca="false">IF($A80="",0,IF(COUNTIF('New Starters'!$D$14:$D$73,$A80)&gt;0,1,0))</f>
        <v>0</v>
      </c>
      <c r="H80" s="0" t="n">
        <f aca="false">IF($A80="",0,IF(COUNTIF(Leavers!$D$12:$D$71,$A80)&gt;0,1,0))</f>
        <v>0</v>
      </c>
      <c r="I80" s="0" t="str">
        <f aca="false">IF($A80="","",IFERROR(INDEX('New Starters'!$K$14:$K$73,MATCH($A80,'New Starters'!$D$14:$D$73,0)),IFERROR(INDEX(Leavers!$K$12:$K$71,MATCH($A80,Leavers!$D$12:$D$71,0)),"")))</f>
        <v/>
      </c>
      <c r="J80" s="0" t="n">
        <f aca="false">IF(AND(G80=1,I80&lt;&gt;"",COUNTIF(Leavers!$K$12:$K$71,I80)&gt;0),1,IF(AND(H80=1,I80&lt;&gt;"",COUNTIF('New Starters'!$K$14:$K$73,I80)&gt;0),1,0))</f>
        <v>0</v>
      </c>
      <c r="K80" s="14" t="n">
        <f aca="false">IF(ISNUMBER(SEARCH("Head Office",D80)),'Control Sheet'!$C$6,'Control Sheet'!$C$5)</f>
        <v>0.2</v>
      </c>
      <c r="L80" s="0" t="str">
        <f aca="false">IF(OR($A80="",AND(B80="",C80="")),"",IF(B80="",C80,IF(C80="",-B80,C80-B80)))</f>
        <v/>
      </c>
      <c r="M80" s="0" t="str">
        <f aca="false">IFERROR(L80/B80,"")</f>
        <v/>
      </c>
      <c r="N80" s="0" t="n">
        <f aca="false">IF($A80="",0,IF(OR(B80="",C80="",C80=0,IF(ISNUMBER(M80),ABS(M80)&gt;K80,FALSE())),1,0))</f>
        <v>0</v>
      </c>
      <c r="O80" s="0" t="n">
        <f aca="false">IF(OR($A80="",L80=""),0,IF(AND(N80=1,ABS(L80)&gt;='Control Sheet'!$C$7,F80=1),1,0))</f>
        <v>0</v>
      </c>
      <c r="P80" s="0" t="str">
        <f aca="false">IF($A80="","",IF(F80=0,"Zero Hours",IF(J80=1,"Explained: Paired transfer",IF(AND(G80=1,H80=0,J80=0),"Explained: Starter",IF(AND(H80=1,G80=0,J80=0),"Explained: Leaver",IF(O80=1,"Review required","OK"))))))</f>
        <v/>
      </c>
      <c r="Q80" s="0" t="n">
        <f aca="false">IF(AND(F80=1,OR(C80="",C80=0),H80=0,J80=0),1,0)</f>
        <v>0</v>
      </c>
      <c r="R80" s="0" t="n">
        <f aca="false">IF(F80=0,0,IF(P80="Review required",1,IF(AND(P80="Explained: Starter",ISNUMBER(C80),C80&gt;=1500),1,0)))</f>
        <v>0</v>
      </c>
      <c r="S80" s="0" t="str">
        <f aca="false">IF(R80=0,"",IF(Q80=1,"High",IF(AND(P80="Explained: Starter",C80&gt;=1500),"High",IF(ABS(L80)&gt;=2000,"High",IF(ABS(L80)&gt;=500,"Medium","Low")))))</f>
        <v/>
      </c>
      <c r="T80" s="0" t="n">
        <f aca="false">SUMIFS('Payment Breakdown Prior'!$S$15:$S$104,'Payment Breakdown Prior'!$AE$15:$AE$104,$A80)</f>
        <v>0</v>
      </c>
      <c r="U80" s="0" t="n">
        <f aca="false">SUMIFS('Payment Breakdown Current'!$S$15:$S$104,'Payment Breakdown Current'!$AE$15:$AE$104,$A80)</f>
        <v>0</v>
      </c>
      <c r="V80" s="0" t="str">
        <f aca="false">IFERROR((U80-T80)/T80,"")</f>
        <v/>
      </c>
      <c r="W80" s="0" t="n">
        <f aca="false">(SUMIFS('Payment Breakdown Current'!$S$15:$S$104,'Payment Breakdown Current'!$AE$15:$AE$104,$A80))-(SUMIFS('Payment Breakdown Prior'!$S$15:$S$104,'Payment Breakdown Prior'!$AE$15:$AE$104,$A80))</f>
        <v>0</v>
      </c>
      <c r="X80" s="0" t="n">
        <f aca="false">(SUMIFS('Payment Breakdown Current'!$T$15:$T$104,'Payment Breakdown Current'!$AE$15:$AE$104,$A80))-(SUMIFS('Payment Breakdown Prior'!$T$15:$T$104,'Payment Breakdown Prior'!$AE$15:$AE$104,$A80))</f>
        <v>0</v>
      </c>
      <c r="Y80" s="0" t="n">
        <f aca="false">(SUMIFS('Payment Breakdown Current'!$U$15:$U$104,'Payment Breakdown Current'!$AE$15:$AE$104,$A80))-(SUMIFS('Payment Breakdown Prior'!$U$15:$U$104,'Payment Breakdown Prior'!$AE$15:$AE$104,$A80))</f>
        <v>0</v>
      </c>
      <c r="Z80" s="0" t="n">
        <f aca="false">(SUMIFS('Payment Breakdown Current'!$V$15:$V$104,'Payment Breakdown Current'!$AE$15:$AE$104,$A80))-(SUMIFS('Payment Breakdown Prior'!$V$15:$V$104,'Payment Breakdown Prior'!$AE$15:$AE$104,$A80))</f>
        <v>0</v>
      </c>
      <c r="AA80" s="0" t="n">
        <f aca="false">(SUMIFS('Payment Breakdown Current'!$W$15:$W$104,'Payment Breakdown Current'!$AE$15:$AE$104,$A80))-(SUMIFS('Payment Breakdown Prior'!$W$15:$W$104,'Payment Breakdown Prior'!$AE$15:$AE$104,$A80))</f>
        <v>0</v>
      </c>
      <c r="AB80" s="0" t="n">
        <f aca="false">(SUMIFS('Payment Breakdown Current'!$X$15:$X$104,'Payment Breakdown Current'!$AE$15:$AE$104,$A80))-(SUMIFS('Payment Breakdown Prior'!$X$15:$X$104,'Payment Breakdown Prior'!$AE$15:$AE$104,$A80))</f>
        <v>0</v>
      </c>
      <c r="AC80" s="0" t="n">
        <f aca="false">(SUMIFS('Payment Breakdown Current'!$Y$15:$Y$104,'Payment Breakdown Current'!$AE$15:$AE$104,$A80))-(SUMIFS('Payment Breakdown Prior'!$Y$15:$Y$104,'Payment Breakdown Prior'!$AE$15:$AE$104,$A80))</f>
        <v>0</v>
      </c>
      <c r="AD80" s="0" t="n">
        <f aca="false">(SUMIFS('Payment Breakdown Current'!$Z$15:$Z$104,'Payment Breakdown Current'!$AE$15:$AE$104,$A80))-(SUMIFS('Payment Breakdown Prior'!$Z$15:$Z$104,'Payment Breakdown Prior'!$AE$15:$AE$104,$A80))</f>
        <v>0</v>
      </c>
      <c r="AE80" s="0" t="n">
        <f aca="false">(SUMIFS('Payment Breakdown Current'!$AA$15:$AA$104,'Payment Breakdown Current'!$AE$15:$AE$104,$A80))-(SUMIFS('Payment Breakdown Prior'!$AA$15:$AA$104,'Payment Breakdown Prior'!$AE$15:$AE$104,$A80))</f>
        <v>0</v>
      </c>
      <c r="AF80" s="0" t="n">
        <f aca="false">(SUMIFS('Payment Breakdown Current'!$AB$15:$AB$104,'Payment Breakdown Current'!$AE$15:$AE$104,$A80))-(SUMIFS('Payment Breakdown Prior'!$AB$15:$AB$104,'Payment Breakdown Prior'!$AE$15:$AE$104,$A80))</f>
        <v>0</v>
      </c>
      <c r="AG80" s="0" t="n">
        <f aca="false">(SUMIFS('Payment Breakdown Current'!$AC$15:$AC$104,'Payment Breakdown Current'!$AE$15:$AE$104,$A80))-(SUMIFS('Payment Breakdown Prior'!$AC$15:$AC$104,'Payment Breakdown Prior'!$AE$15:$AE$104,$A80))</f>
        <v>0</v>
      </c>
      <c r="AH80" s="0" t="n">
        <f aca="false">(SUMIFS('Payment Breakdown Current'!$AD$15:$AD$104,'Payment Breakdown Current'!$AE$15:$AE$104,$A80))-(SUMIFS('Payment Breakdown Prior'!$AD$15:$AD$104,'Payment Breakdown Prior'!$AE$15:$AE$104,$A80))</f>
        <v>0</v>
      </c>
      <c r="AI80" s="0" t="n">
        <f aca="false">MAX(ABS(W80),ABS(X80),ABS(Y80),ABS(Z80),ABS(AA80),ABS(AB80),ABS(AC80),ABS(AD80),ABS(AE80),ABS(AF80),ABS(AG80),ABS(AH80))</f>
        <v>0</v>
      </c>
      <c r="AJ80" s="0" t="str">
        <f aca="false">IF(AI80&lt;0.005,"",IF(ABS(W80)=AI80,W$1,IF(ABS(X80)=AI80,X$1,IF(ABS(Y80)=AI80,Y$1,IF(ABS(Z80)=AI80,Z$1,IF(ABS(AA80)=AI80,AA$1,IF(ABS(AB80)=AI80,AB$1,IF(ABS(AC80)=AI80,AC$1,IF(ABS(AD80)=AI80,AD$1,IF(ABS(AE80)=AI80,AE$1,IF(ABS(AF80)=AI80,AF$1,IF(ABS(AG80)=AI80,AG$1,IF(ABS(AH80)=AI80,AH$1,"")))))))))))))</f>
        <v/>
      </c>
      <c r="AK80" s="0" t="str">
        <f aca="false">IF(AI80&lt;0.005,"",IF(ABS(W80)=AI80,W80,IF(ABS(X80)=AI80,X80,IF(ABS(Y80)=AI80,Y80,IF(ABS(Z80)=AI80,Z80,IF(ABS(AA80)=AI80,AA80,IF(ABS(AB80)=AI80,AB80,IF(ABS(AC80)=AI80,AC80,IF(ABS(AD80)=AI80,AD80,IF(ABS(AE80)=AI80,AE80,IF(ABS(AF80)=AI80,AF80,IF(ABS(AG80)=AI80,AG80,IF(ABS(AH80)=AI80,AH80,"")))))))))))))</f>
        <v/>
      </c>
      <c r="AL80" s="0" t="str">
        <f aca="false">IF(R80=1,ABS(L80)-ROW()/100000000,"")</f>
        <v/>
      </c>
    </row>
    <row r="81" customFormat="false" ht="15" hidden="false" customHeight="false" outlineLevel="0" collapsed="false">
      <c r="A81" s="0" t="str">
        <f aca="false">IF('NPV Comparison'!D94="","",'NPV Comparison'!D94)</f>
        <v/>
      </c>
      <c r="B81" s="0" t="str">
        <f aca="false">IF('NPV Comparison'!E94="","",'NPV Comparison'!E94)</f>
        <v/>
      </c>
      <c r="C81" s="0" t="str">
        <f aca="false">IF('NPV Comparison'!F94="","",'NPV Comparison'!F94)</f>
        <v/>
      </c>
      <c r="D81" s="0" t="str">
        <f aca="false">IF($A81="","",IFERROR(INDEX(Structure!$E$13:$E$312,MATCH($A81,Structure!$P$13:$P$312,0)),""))</f>
        <v/>
      </c>
      <c r="E81" s="0" t="n">
        <f aca="false">IF($A81="",0,IF(COUNTIF(Structure!$P$13:$P$312,$A81)=0,0,IF(COUNTIFS(Structure!$P$13:$P$312,$A81,Structure!$N$13:$N$312,"&lt;&gt;Zero Hours")=0,1,0)))</f>
        <v>0</v>
      </c>
      <c r="F81" s="0" t="n">
        <f aca="false">IF($A81="",0,1-E81)</f>
        <v>0</v>
      </c>
      <c r="G81" s="0" t="n">
        <f aca="false">IF($A81="",0,IF(COUNTIF('New Starters'!$D$14:$D$73,$A81)&gt;0,1,0))</f>
        <v>0</v>
      </c>
      <c r="H81" s="0" t="n">
        <f aca="false">IF($A81="",0,IF(COUNTIF(Leavers!$D$12:$D$71,$A81)&gt;0,1,0))</f>
        <v>0</v>
      </c>
      <c r="I81" s="0" t="str">
        <f aca="false">IF($A81="","",IFERROR(INDEX('New Starters'!$K$14:$K$73,MATCH($A81,'New Starters'!$D$14:$D$73,0)),IFERROR(INDEX(Leavers!$K$12:$K$71,MATCH($A81,Leavers!$D$12:$D$71,0)),"")))</f>
        <v/>
      </c>
      <c r="J81" s="0" t="n">
        <f aca="false">IF(AND(G81=1,I81&lt;&gt;"",COUNTIF(Leavers!$K$12:$K$71,I81)&gt;0),1,IF(AND(H81=1,I81&lt;&gt;"",COUNTIF('New Starters'!$K$14:$K$73,I81)&gt;0),1,0))</f>
        <v>0</v>
      </c>
      <c r="K81" s="14" t="n">
        <f aca="false">IF(ISNUMBER(SEARCH("Head Office",D81)),'Control Sheet'!$C$6,'Control Sheet'!$C$5)</f>
        <v>0.2</v>
      </c>
      <c r="L81" s="0" t="str">
        <f aca="false">IF(OR($A81="",AND(B81="",C81="")),"",IF(B81="",C81,IF(C81="",-B81,C81-B81)))</f>
        <v/>
      </c>
      <c r="M81" s="0" t="str">
        <f aca="false">IFERROR(L81/B81,"")</f>
        <v/>
      </c>
      <c r="N81" s="0" t="n">
        <f aca="false">IF($A81="",0,IF(OR(B81="",C81="",C81=0,IF(ISNUMBER(M81),ABS(M81)&gt;K81,FALSE())),1,0))</f>
        <v>0</v>
      </c>
      <c r="O81" s="0" t="n">
        <f aca="false">IF(OR($A81="",L81=""),0,IF(AND(N81=1,ABS(L81)&gt;='Control Sheet'!$C$7,F81=1),1,0))</f>
        <v>0</v>
      </c>
      <c r="P81" s="0" t="str">
        <f aca="false">IF($A81="","",IF(F81=0,"Zero Hours",IF(J81=1,"Explained: Paired transfer",IF(AND(G81=1,H81=0,J81=0),"Explained: Starter",IF(AND(H81=1,G81=0,J81=0),"Explained: Leaver",IF(O81=1,"Review required","OK"))))))</f>
        <v/>
      </c>
      <c r="Q81" s="0" t="n">
        <f aca="false">IF(AND(F81=1,OR(C81="",C81=0),H81=0,J81=0),1,0)</f>
        <v>0</v>
      </c>
      <c r="R81" s="0" t="n">
        <f aca="false">IF(F81=0,0,IF(P81="Review required",1,IF(AND(P81="Explained: Starter",ISNUMBER(C81),C81&gt;=1500),1,0)))</f>
        <v>0</v>
      </c>
      <c r="S81" s="0" t="str">
        <f aca="false">IF(R81=0,"",IF(Q81=1,"High",IF(AND(P81="Explained: Starter",C81&gt;=1500),"High",IF(ABS(L81)&gt;=2000,"High",IF(ABS(L81)&gt;=500,"Medium","Low")))))</f>
        <v/>
      </c>
      <c r="T81" s="0" t="n">
        <f aca="false">SUMIFS('Payment Breakdown Prior'!$S$15:$S$104,'Payment Breakdown Prior'!$AE$15:$AE$104,$A81)</f>
        <v>0</v>
      </c>
      <c r="U81" s="0" t="n">
        <f aca="false">SUMIFS('Payment Breakdown Current'!$S$15:$S$104,'Payment Breakdown Current'!$AE$15:$AE$104,$A81)</f>
        <v>0</v>
      </c>
      <c r="V81" s="0" t="str">
        <f aca="false">IFERROR((U81-T81)/T81,"")</f>
        <v/>
      </c>
      <c r="W81" s="0" t="n">
        <f aca="false">(SUMIFS('Payment Breakdown Current'!$S$15:$S$104,'Payment Breakdown Current'!$AE$15:$AE$104,$A81))-(SUMIFS('Payment Breakdown Prior'!$S$15:$S$104,'Payment Breakdown Prior'!$AE$15:$AE$104,$A81))</f>
        <v>0</v>
      </c>
      <c r="X81" s="0" t="n">
        <f aca="false">(SUMIFS('Payment Breakdown Current'!$T$15:$T$104,'Payment Breakdown Current'!$AE$15:$AE$104,$A81))-(SUMIFS('Payment Breakdown Prior'!$T$15:$T$104,'Payment Breakdown Prior'!$AE$15:$AE$104,$A81))</f>
        <v>0</v>
      </c>
      <c r="Y81" s="0" t="n">
        <f aca="false">(SUMIFS('Payment Breakdown Current'!$U$15:$U$104,'Payment Breakdown Current'!$AE$15:$AE$104,$A81))-(SUMIFS('Payment Breakdown Prior'!$U$15:$U$104,'Payment Breakdown Prior'!$AE$15:$AE$104,$A81))</f>
        <v>0</v>
      </c>
      <c r="Z81" s="0" t="n">
        <f aca="false">(SUMIFS('Payment Breakdown Current'!$V$15:$V$104,'Payment Breakdown Current'!$AE$15:$AE$104,$A81))-(SUMIFS('Payment Breakdown Prior'!$V$15:$V$104,'Payment Breakdown Prior'!$AE$15:$AE$104,$A81))</f>
        <v>0</v>
      </c>
      <c r="AA81" s="0" t="n">
        <f aca="false">(SUMIFS('Payment Breakdown Current'!$W$15:$W$104,'Payment Breakdown Current'!$AE$15:$AE$104,$A81))-(SUMIFS('Payment Breakdown Prior'!$W$15:$W$104,'Payment Breakdown Prior'!$AE$15:$AE$104,$A81))</f>
        <v>0</v>
      </c>
      <c r="AB81" s="0" t="n">
        <f aca="false">(SUMIFS('Payment Breakdown Current'!$X$15:$X$104,'Payment Breakdown Current'!$AE$15:$AE$104,$A81))-(SUMIFS('Payment Breakdown Prior'!$X$15:$X$104,'Payment Breakdown Prior'!$AE$15:$AE$104,$A81))</f>
        <v>0</v>
      </c>
      <c r="AC81" s="0" t="n">
        <f aca="false">(SUMIFS('Payment Breakdown Current'!$Y$15:$Y$104,'Payment Breakdown Current'!$AE$15:$AE$104,$A81))-(SUMIFS('Payment Breakdown Prior'!$Y$15:$Y$104,'Payment Breakdown Prior'!$AE$15:$AE$104,$A81))</f>
        <v>0</v>
      </c>
      <c r="AD81" s="0" t="n">
        <f aca="false">(SUMIFS('Payment Breakdown Current'!$Z$15:$Z$104,'Payment Breakdown Current'!$AE$15:$AE$104,$A81))-(SUMIFS('Payment Breakdown Prior'!$Z$15:$Z$104,'Payment Breakdown Prior'!$AE$15:$AE$104,$A81))</f>
        <v>0</v>
      </c>
      <c r="AE81" s="0" t="n">
        <f aca="false">(SUMIFS('Payment Breakdown Current'!$AA$15:$AA$104,'Payment Breakdown Current'!$AE$15:$AE$104,$A81))-(SUMIFS('Payment Breakdown Prior'!$AA$15:$AA$104,'Payment Breakdown Prior'!$AE$15:$AE$104,$A81))</f>
        <v>0</v>
      </c>
      <c r="AF81" s="0" t="n">
        <f aca="false">(SUMIFS('Payment Breakdown Current'!$AB$15:$AB$104,'Payment Breakdown Current'!$AE$15:$AE$104,$A81))-(SUMIFS('Payment Breakdown Prior'!$AB$15:$AB$104,'Payment Breakdown Prior'!$AE$15:$AE$104,$A81))</f>
        <v>0</v>
      </c>
      <c r="AG81" s="0" t="n">
        <f aca="false">(SUMIFS('Payment Breakdown Current'!$AC$15:$AC$104,'Payment Breakdown Current'!$AE$15:$AE$104,$A81))-(SUMIFS('Payment Breakdown Prior'!$AC$15:$AC$104,'Payment Breakdown Prior'!$AE$15:$AE$104,$A81))</f>
        <v>0</v>
      </c>
      <c r="AH81" s="0" t="n">
        <f aca="false">(SUMIFS('Payment Breakdown Current'!$AD$15:$AD$104,'Payment Breakdown Current'!$AE$15:$AE$104,$A81))-(SUMIFS('Payment Breakdown Prior'!$AD$15:$AD$104,'Payment Breakdown Prior'!$AE$15:$AE$104,$A81))</f>
        <v>0</v>
      </c>
      <c r="AI81" s="0" t="n">
        <f aca="false">MAX(ABS(W81),ABS(X81),ABS(Y81),ABS(Z81),ABS(AA81),ABS(AB81),ABS(AC81),ABS(AD81),ABS(AE81),ABS(AF81),ABS(AG81),ABS(AH81))</f>
        <v>0</v>
      </c>
      <c r="AJ81" s="0" t="str">
        <f aca="false">IF(AI81&lt;0.005,"",IF(ABS(W81)=AI81,W$1,IF(ABS(X81)=AI81,X$1,IF(ABS(Y81)=AI81,Y$1,IF(ABS(Z81)=AI81,Z$1,IF(ABS(AA81)=AI81,AA$1,IF(ABS(AB81)=AI81,AB$1,IF(ABS(AC81)=AI81,AC$1,IF(ABS(AD81)=AI81,AD$1,IF(ABS(AE81)=AI81,AE$1,IF(ABS(AF81)=AI81,AF$1,IF(ABS(AG81)=AI81,AG$1,IF(ABS(AH81)=AI81,AH$1,"")))))))))))))</f>
        <v/>
      </c>
      <c r="AK81" s="0" t="str">
        <f aca="false">IF(AI81&lt;0.005,"",IF(ABS(W81)=AI81,W81,IF(ABS(X81)=AI81,X81,IF(ABS(Y81)=AI81,Y81,IF(ABS(Z81)=AI81,Z81,IF(ABS(AA81)=AI81,AA81,IF(ABS(AB81)=AI81,AB81,IF(ABS(AC81)=AI81,AC81,IF(ABS(AD81)=AI81,AD81,IF(ABS(AE81)=AI81,AE81,IF(ABS(AF81)=AI81,AF81,IF(ABS(AG81)=AI81,AG81,IF(ABS(AH81)=AI81,AH81,"")))))))))))))</f>
        <v/>
      </c>
      <c r="AL81" s="0" t="str">
        <f aca="false">IF(R81=1,ABS(L81)-ROW()/100000000,"")</f>
        <v/>
      </c>
    </row>
    <row r="82" customFormat="false" ht="15" hidden="false" customHeight="false" outlineLevel="0" collapsed="false">
      <c r="A82" s="0" t="str">
        <f aca="false">IF('NPV Comparison'!D95="","",'NPV Comparison'!D95)</f>
        <v/>
      </c>
      <c r="B82" s="0" t="str">
        <f aca="false">IF('NPV Comparison'!E95="","",'NPV Comparison'!E95)</f>
        <v/>
      </c>
      <c r="C82" s="0" t="str">
        <f aca="false">IF('NPV Comparison'!F95="","",'NPV Comparison'!F95)</f>
        <v/>
      </c>
      <c r="D82" s="0" t="str">
        <f aca="false">IF($A82="","",IFERROR(INDEX(Structure!$E$13:$E$312,MATCH($A82,Structure!$P$13:$P$312,0)),""))</f>
        <v/>
      </c>
      <c r="E82" s="0" t="n">
        <f aca="false">IF($A82="",0,IF(COUNTIF(Structure!$P$13:$P$312,$A82)=0,0,IF(COUNTIFS(Structure!$P$13:$P$312,$A82,Structure!$N$13:$N$312,"&lt;&gt;Zero Hours")=0,1,0)))</f>
        <v>0</v>
      </c>
      <c r="F82" s="0" t="n">
        <f aca="false">IF($A82="",0,1-E82)</f>
        <v>0</v>
      </c>
      <c r="G82" s="0" t="n">
        <f aca="false">IF($A82="",0,IF(COUNTIF('New Starters'!$D$14:$D$73,$A82)&gt;0,1,0))</f>
        <v>0</v>
      </c>
      <c r="H82" s="0" t="n">
        <f aca="false">IF($A82="",0,IF(COUNTIF(Leavers!$D$12:$D$71,$A82)&gt;0,1,0))</f>
        <v>0</v>
      </c>
      <c r="I82" s="0" t="str">
        <f aca="false">IF($A82="","",IFERROR(INDEX('New Starters'!$K$14:$K$73,MATCH($A82,'New Starters'!$D$14:$D$73,0)),IFERROR(INDEX(Leavers!$K$12:$K$71,MATCH($A82,Leavers!$D$12:$D$71,0)),"")))</f>
        <v/>
      </c>
      <c r="J82" s="0" t="n">
        <f aca="false">IF(AND(G82=1,I82&lt;&gt;"",COUNTIF(Leavers!$K$12:$K$71,I82)&gt;0),1,IF(AND(H82=1,I82&lt;&gt;"",COUNTIF('New Starters'!$K$14:$K$73,I82)&gt;0),1,0))</f>
        <v>0</v>
      </c>
      <c r="K82" s="14" t="n">
        <f aca="false">IF(ISNUMBER(SEARCH("Head Office",D82)),'Control Sheet'!$C$6,'Control Sheet'!$C$5)</f>
        <v>0.2</v>
      </c>
      <c r="L82" s="0" t="str">
        <f aca="false">IF(OR($A82="",AND(B82="",C82="")),"",IF(B82="",C82,IF(C82="",-B82,C82-B82)))</f>
        <v/>
      </c>
      <c r="M82" s="0" t="str">
        <f aca="false">IFERROR(L82/B82,"")</f>
        <v/>
      </c>
      <c r="N82" s="0" t="n">
        <f aca="false">IF($A82="",0,IF(OR(B82="",C82="",C82=0,IF(ISNUMBER(M82),ABS(M82)&gt;K82,FALSE())),1,0))</f>
        <v>0</v>
      </c>
      <c r="O82" s="0" t="n">
        <f aca="false">IF(OR($A82="",L82=""),0,IF(AND(N82=1,ABS(L82)&gt;='Control Sheet'!$C$7,F82=1),1,0))</f>
        <v>0</v>
      </c>
      <c r="P82" s="0" t="str">
        <f aca="false">IF($A82="","",IF(F82=0,"Zero Hours",IF(J82=1,"Explained: Paired transfer",IF(AND(G82=1,H82=0,J82=0),"Explained: Starter",IF(AND(H82=1,G82=0,J82=0),"Explained: Leaver",IF(O82=1,"Review required","OK"))))))</f>
        <v/>
      </c>
      <c r="Q82" s="0" t="n">
        <f aca="false">IF(AND(F82=1,OR(C82="",C82=0),H82=0,J82=0),1,0)</f>
        <v>0</v>
      </c>
      <c r="R82" s="0" t="n">
        <f aca="false">IF(F82=0,0,IF(P82="Review required",1,IF(AND(P82="Explained: Starter",ISNUMBER(C82),C82&gt;=1500),1,0)))</f>
        <v>0</v>
      </c>
      <c r="S82" s="0" t="str">
        <f aca="false">IF(R82=0,"",IF(Q82=1,"High",IF(AND(P82="Explained: Starter",C82&gt;=1500),"High",IF(ABS(L82)&gt;=2000,"High",IF(ABS(L82)&gt;=500,"Medium","Low")))))</f>
        <v/>
      </c>
      <c r="T82" s="0" t="n">
        <f aca="false">SUMIFS('Payment Breakdown Prior'!$S$15:$S$104,'Payment Breakdown Prior'!$AE$15:$AE$104,$A82)</f>
        <v>0</v>
      </c>
      <c r="U82" s="0" t="n">
        <f aca="false">SUMIFS('Payment Breakdown Current'!$S$15:$S$104,'Payment Breakdown Current'!$AE$15:$AE$104,$A82)</f>
        <v>0</v>
      </c>
      <c r="V82" s="0" t="str">
        <f aca="false">IFERROR((U82-T82)/T82,"")</f>
        <v/>
      </c>
      <c r="W82" s="0" t="n">
        <f aca="false">(SUMIFS('Payment Breakdown Current'!$S$15:$S$104,'Payment Breakdown Current'!$AE$15:$AE$104,$A82))-(SUMIFS('Payment Breakdown Prior'!$S$15:$S$104,'Payment Breakdown Prior'!$AE$15:$AE$104,$A82))</f>
        <v>0</v>
      </c>
      <c r="X82" s="0" t="n">
        <f aca="false">(SUMIFS('Payment Breakdown Current'!$T$15:$T$104,'Payment Breakdown Current'!$AE$15:$AE$104,$A82))-(SUMIFS('Payment Breakdown Prior'!$T$15:$T$104,'Payment Breakdown Prior'!$AE$15:$AE$104,$A82))</f>
        <v>0</v>
      </c>
      <c r="Y82" s="0" t="n">
        <f aca="false">(SUMIFS('Payment Breakdown Current'!$U$15:$U$104,'Payment Breakdown Current'!$AE$15:$AE$104,$A82))-(SUMIFS('Payment Breakdown Prior'!$U$15:$U$104,'Payment Breakdown Prior'!$AE$15:$AE$104,$A82))</f>
        <v>0</v>
      </c>
      <c r="Z82" s="0" t="n">
        <f aca="false">(SUMIFS('Payment Breakdown Current'!$V$15:$V$104,'Payment Breakdown Current'!$AE$15:$AE$104,$A82))-(SUMIFS('Payment Breakdown Prior'!$V$15:$V$104,'Payment Breakdown Prior'!$AE$15:$AE$104,$A82))</f>
        <v>0</v>
      </c>
      <c r="AA82" s="0" t="n">
        <f aca="false">(SUMIFS('Payment Breakdown Current'!$W$15:$W$104,'Payment Breakdown Current'!$AE$15:$AE$104,$A82))-(SUMIFS('Payment Breakdown Prior'!$W$15:$W$104,'Payment Breakdown Prior'!$AE$15:$AE$104,$A82))</f>
        <v>0</v>
      </c>
      <c r="AB82" s="0" t="n">
        <f aca="false">(SUMIFS('Payment Breakdown Current'!$X$15:$X$104,'Payment Breakdown Current'!$AE$15:$AE$104,$A82))-(SUMIFS('Payment Breakdown Prior'!$X$15:$X$104,'Payment Breakdown Prior'!$AE$15:$AE$104,$A82))</f>
        <v>0</v>
      </c>
      <c r="AC82" s="0" t="n">
        <f aca="false">(SUMIFS('Payment Breakdown Current'!$Y$15:$Y$104,'Payment Breakdown Current'!$AE$15:$AE$104,$A82))-(SUMIFS('Payment Breakdown Prior'!$Y$15:$Y$104,'Payment Breakdown Prior'!$AE$15:$AE$104,$A82))</f>
        <v>0</v>
      </c>
      <c r="AD82" s="0" t="n">
        <f aca="false">(SUMIFS('Payment Breakdown Current'!$Z$15:$Z$104,'Payment Breakdown Current'!$AE$15:$AE$104,$A82))-(SUMIFS('Payment Breakdown Prior'!$Z$15:$Z$104,'Payment Breakdown Prior'!$AE$15:$AE$104,$A82))</f>
        <v>0</v>
      </c>
      <c r="AE82" s="0" t="n">
        <f aca="false">(SUMIFS('Payment Breakdown Current'!$AA$15:$AA$104,'Payment Breakdown Current'!$AE$15:$AE$104,$A82))-(SUMIFS('Payment Breakdown Prior'!$AA$15:$AA$104,'Payment Breakdown Prior'!$AE$15:$AE$104,$A82))</f>
        <v>0</v>
      </c>
      <c r="AF82" s="0" t="n">
        <f aca="false">(SUMIFS('Payment Breakdown Current'!$AB$15:$AB$104,'Payment Breakdown Current'!$AE$15:$AE$104,$A82))-(SUMIFS('Payment Breakdown Prior'!$AB$15:$AB$104,'Payment Breakdown Prior'!$AE$15:$AE$104,$A82))</f>
        <v>0</v>
      </c>
      <c r="AG82" s="0" t="n">
        <f aca="false">(SUMIFS('Payment Breakdown Current'!$AC$15:$AC$104,'Payment Breakdown Current'!$AE$15:$AE$104,$A82))-(SUMIFS('Payment Breakdown Prior'!$AC$15:$AC$104,'Payment Breakdown Prior'!$AE$15:$AE$104,$A82))</f>
        <v>0</v>
      </c>
      <c r="AH82" s="0" t="n">
        <f aca="false">(SUMIFS('Payment Breakdown Current'!$AD$15:$AD$104,'Payment Breakdown Current'!$AE$15:$AE$104,$A82))-(SUMIFS('Payment Breakdown Prior'!$AD$15:$AD$104,'Payment Breakdown Prior'!$AE$15:$AE$104,$A82))</f>
        <v>0</v>
      </c>
      <c r="AI82" s="0" t="n">
        <f aca="false">MAX(ABS(W82),ABS(X82),ABS(Y82),ABS(Z82),ABS(AA82),ABS(AB82),ABS(AC82),ABS(AD82),ABS(AE82),ABS(AF82),ABS(AG82),ABS(AH82))</f>
        <v>0</v>
      </c>
      <c r="AJ82" s="0" t="str">
        <f aca="false">IF(AI82&lt;0.005,"",IF(ABS(W82)=AI82,W$1,IF(ABS(X82)=AI82,X$1,IF(ABS(Y82)=AI82,Y$1,IF(ABS(Z82)=AI82,Z$1,IF(ABS(AA82)=AI82,AA$1,IF(ABS(AB82)=AI82,AB$1,IF(ABS(AC82)=AI82,AC$1,IF(ABS(AD82)=AI82,AD$1,IF(ABS(AE82)=AI82,AE$1,IF(ABS(AF82)=AI82,AF$1,IF(ABS(AG82)=AI82,AG$1,IF(ABS(AH82)=AI82,AH$1,"")))))))))))))</f>
        <v/>
      </c>
      <c r="AK82" s="0" t="str">
        <f aca="false">IF(AI82&lt;0.005,"",IF(ABS(W82)=AI82,W82,IF(ABS(X82)=AI82,X82,IF(ABS(Y82)=AI82,Y82,IF(ABS(Z82)=AI82,Z82,IF(ABS(AA82)=AI82,AA82,IF(ABS(AB82)=AI82,AB82,IF(ABS(AC82)=AI82,AC82,IF(ABS(AD82)=AI82,AD82,IF(ABS(AE82)=AI82,AE82,IF(ABS(AF82)=AI82,AF82,IF(ABS(AG82)=AI82,AG82,IF(ABS(AH82)=AI82,AH82,"")))))))))))))</f>
        <v/>
      </c>
      <c r="AL82" s="0" t="str">
        <f aca="false">IF(R82=1,ABS(L82)-ROW()/100000000,"")</f>
        <v/>
      </c>
    </row>
    <row r="83" customFormat="false" ht="15" hidden="false" customHeight="false" outlineLevel="0" collapsed="false">
      <c r="A83" s="0" t="str">
        <f aca="false">IF('NPV Comparison'!D96="","",'NPV Comparison'!D96)</f>
        <v/>
      </c>
      <c r="B83" s="0" t="str">
        <f aca="false">IF('NPV Comparison'!E96="","",'NPV Comparison'!E96)</f>
        <v/>
      </c>
      <c r="C83" s="0" t="str">
        <f aca="false">IF('NPV Comparison'!F96="","",'NPV Comparison'!F96)</f>
        <v/>
      </c>
      <c r="D83" s="0" t="str">
        <f aca="false">IF($A83="","",IFERROR(INDEX(Structure!$E$13:$E$312,MATCH($A83,Structure!$P$13:$P$312,0)),""))</f>
        <v/>
      </c>
      <c r="E83" s="0" t="n">
        <f aca="false">IF($A83="",0,IF(COUNTIF(Structure!$P$13:$P$312,$A83)=0,0,IF(COUNTIFS(Structure!$P$13:$P$312,$A83,Structure!$N$13:$N$312,"&lt;&gt;Zero Hours")=0,1,0)))</f>
        <v>0</v>
      </c>
      <c r="F83" s="0" t="n">
        <f aca="false">IF($A83="",0,1-E83)</f>
        <v>0</v>
      </c>
      <c r="G83" s="0" t="n">
        <f aca="false">IF($A83="",0,IF(COUNTIF('New Starters'!$D$14:$D$73,$A83)&gt;0,1,0))</f>
        <v>0</v>
      </c>
      <c r="H83" s="0" t="n">
        <f aca="false">IF($A83="",0,IF(COUNTIF(Leavers!$D$12:$D$71,$A83)&gt;0,1,0))</f>
        <v>0</v>
      </c>
      <c r="I83" s="0" t="str">
        <f aca="false">IF($A83="","",IFERROR(INDEX('New Starters'!$K$14:$K$73,MATCH($A83,'New Starters'!$D$14:$D$73,0)),IFERROR(INDEX(Leavers!$K$12:$K$71,MATCH($A83,Leavers!$D$12:$D$71,0)),"")))</f>
        <v/>
      </c>
      <c r="J83" s="0" t="n">
        <f aca="false">IF(AND(G83=1,I83&lt;&gt;"",COUNTIF(Leavers!$K$12:$K$71,I83)&gt;0),1,IF(AND(H83=1,I83&lt;&gt;"",COUNTIF('New Starters'!$K$14:$K$73,I83)&gt;0),1,0))</f>
        <v>0</v>
      </c>
      <c r="K83" s="14" t="n">
        <f aca="false">IF(ISNUMBER(SEARCH("Head Office",D83)),'Control Sheet'!$C$6,'Control Sheet'!$C$5)</f>
        <v>0.2</v>
      </c>
      <c r="L83" s="0" t="str">
        <f aca="false">IF(OR($A83="",AND(B83="",C83="")),"",IF(B83="",C83,IF(C83="",-B83,C83-B83)))</f>
        <v/>
      </c>
      <c r="M83" s="0" t="str">
        <f aca="false">IFERROR(L83/B83,"")</f>
        <v/>
      </c>
      <c r="N83" s="0" t="n">
        <f aca="false">IF($A83="",0,IF(OR(B83="",C83="",C83=0,IF(ISNUMBER(M83),ABS(M83)&gt;K83,FALSE())),1,0))</f>
        <v>0</v>
      </c>
      <c r="O83" s="0" t="n">
        <f aca="false">IF(OR($A83="",L83=""),0,IF(AND(N83=1,ABS(L83)&gt;='Control Sheet'!$C$7,F83=1),1,0))</f>
        <v>0</v>
      </c>
      <c r="P83" s="0" t="str">
        <f aca="false">IF($A83="","",IF(F83=0,"Zero Hours",IF(J83=1,"Explained: Paired transfer",IF(AND(G83=1,H83=0,J83=0),"Explained: Starter",IF(AND(H83=1,G83=0,J83=0),"Explained: Leaver",IF(O83=1,"Review required","OK"))))))</f>
        <v/>
      </c>
      <c r="Q83" s="0" t="n">
        <f aca="false">IF(AND(F83=1,OR(C83="",C83=0),H83=0,J83=0),1,0)</f>
        <v>0</v>
      </c>
      <c r="R83" s="0" t="n">
        <f aca="false">IF(F83=0,0,IF(P83="Review required",1,IF(AND(P83="Explained: Starter",ISNUMBER(C83),C83&gt;=1500),1,0)))</f>
        <v>0</v>
      </c>
      <c r="S83" s="0" t="str">
        <f aca="false">IF(R83=0,"",IF(Q83=1,"High",IF(AND(P83="Explained: Starter",C83&gt;=1500),"High",IF(ABS(L83)&gt;=2000,"High",IF(ABS(L83)&gt;=500,"Medium","Low")))))</f>
        <v/>
      </c>
      <c r="T83" s="0" t="n">
        <f aca="false">SUMIFS('Payment Breakdown Prior'!$S$15:$S$104,'Payment Breakdown Prior'!$AE$15:$AE$104,$A83)</f>
        <v>0</v>
      </c>
      <c r="U83" s="0" t="n">
        <f aca="false">SUMIFS('Payment Breakdown Current'!$S$15:$S$104,'Payment Breakdown Current'!$AE$15:$AE$104,$A83)</f>
        <v>0</v>
      </c>
      <c r="V83" s="0" t="str">
        <f aca="false">IFERROR((U83-T83)/T83,"")</f>
        <v/>
      </c>
      <c r="W83" s="0" t="n">
        <f aca="false">(SUMIFS('Payment Breakdown Current'!$S$15:$S$104,'Payment Breakdown Current'!$AE$15:$AE$104,$A83))-(SUMIFS('Payment Breakdown Prior'!$S$15:$S$104,'Payment Breakdown Prior'!$AE$15:$AE$104,$A83))</f>
        <v>0</v>
      </c>
      <c r="X83" s="0" t="n">
        <f aca="false">(SUMIFS('Payment Breakdown Current'!$T$15:$T$104,'Payment Breakdown Current'!$AE$15:$AE$104,$A83))-(SUMIFS('Payment Breakdown Prior'!$T$15:$T$104,'Payment Breakdown Prior'!$AE$15:$AE$104,$A83))</f>
        <v>0</v>
      </c>
      <c r="Y83" s="0" t="n">
        <f aca="false">(SUMIFS('Payment Breakdown Current'!$U$15:$U$104,'Payment Breakdown Current'!$AE$15:$AE$104,$A83))-(SUMIFS('Payment Breakdown Prior'!$U$15:$U$104,'Payment Breakdown Prior'!$AE$15:$AE$104,$A83))</f>
        <v>0</v>
      </c>
      <c r="Z83" s="0" t="n">
        <f aca="false">(SUMIFS('Payment Breakdown Current'!$V$15:$V$104,'Payment Breakdown Current'!$AE$15:$AE$104,$A83))-(SUMIFS('Payment Breakdown Prior'!$V$15:$V$104,'Payment Breakdown Prior'!$AE$15:$AE$104,$A83))</f>
        <v>0</v>
      </c>
      <c r="AA83" s="0" t="n">
        <f aca="false">(SUMIFS('Payment Breakdown Current'!$W$15:$W$104,'Payment Breakdown Current'!$AE$15:$AE$104,$A83))-(SUMIFS('Payment Breakdown Prior'!$W$15:$W$104,'Payment Breakdown Prior'!$AE$15:$AE$104,$A83))</f>
        <v>0</v>
      </c>
      <c r="AB83" s="0" t="n">
        <f aca="false">(SUMIFS('Payment Breakdown Current'!$X$15:$X$104,'Payment Breakdown Current'!$AE$15:$AE$104,$A83))-(SUMIFS('Payment Breakdown Prior'!$X$15:$X$104,'Payment Breakdown Prior'!$AE$15:$AE$104,$A83))</f>
        <v>0</v>
      </c>
      <c r="AC83" s="0" t="n">
        <f aca="false">(SUMIFS('Payment Breakdown Current'!$Y$15:$Y$104,'Payment Breakdown Current'!$AE$15:$AE$104,$A83))-(SUMIFS('Payment Breakdown Prior'!$Y$15:$Y$104,'Payment Breakdown Prior'!$AE$15:$AE$104,$A83))</f>
        <v>0</v>
      </c>
      <c r="AD83" s="0" t="n">
        <f aca="false">(SUMIFS('Payment Breakdown Current'!$Z$15:$Z$104,'Payment Breakdown Current'!$AE$15:$AE$104,$A83))-(SUMIFS('Payment Breakdown Prior'!$Z$15:$Z$104,'Payment Breakdown Prior'!$AE$15:$AE$104,$A83))</f>
        <v>0</v>
      </c>
      <c r="AE83" s="0" t="n">
        <f aca="false">(SUMIFS('Payment Breakdown Current'!$AA$15:$AA$104,'Payment Breakdown Current'!$AE$15:$AE$104,$A83))-(SUMIFS('Payment Breakdown Prior'!$AA$15:$AA$104,'Payment Breakdown Prior'!$AE$15:$AE$104,$A83))</f>
        <v>0</v>
      </c>
      <c r="AF83" s="0" t="n">
        <f aca="false">(SUMIFS('Payment Breakdown Current'!$AB$15:$AB$104,'Payment Breakdown Current'!$AE$15:$AE$104,$A83))-(SUMIFS('Payment Breakdown Prior'!$AB$15:$AB$104,'Payment Breakdown Prior'!$AE$15:$AE$104,$A83))</f>
        <v>0</v>
      </c>
      <c r="AG83" s="0" t="n">
        <f aca="false">(SUMIFS('Payment Breakdown Current'!$AC$15:$AC$104,'Payment Breakdown Current'!$AE$15:$AE$104,$A83))-(SUMIFS('Payment Breakdown Prior'!$AC$15:$AC$104,'Payment Breakdown Prior'!$AE$15:$AE$104,$A83))</f>
        <v>0</v>
      </c>
      <c r="AH83" s="0" t="n">
        <f aca="false">(SUMIFS('Payment Breakdown Current'!$AD$15:$AD$104,'Payment Breakdown Current'!$AE$15:$AE$104,$A83))-(SUMIFS('Payment Breakdown Prior'!$AD$15:$AD$104,'Payment Breakdown Prior'!$AE$15:$AE$104,$A83))</f>
        <v>0</v>
      </c>
      <c r="AI83" s="0" t="n">
        <f aca="false">MAX(ABS(W83),ABS(X83),ABS(Y83),ABS(Z83),ABS(AA83),ABS(AB83),ABS(AC83),ABS(AD83),ABS(AE83),ABS(AF83),ABS(AG83),ABS(AH83))</f>
        <v>0</v>
      </c>
      <c r="AJ83" s="0" t="str">
        <f aca="false">IF(AI83&lt;0.005,"",IF(ABS(W83)=AI83,W$1,IF(ABS(X83)=AI83,X$1,IF(ABS(Y83)=AI83,Y$1,IF(ABS(Z83)=AI83,Z$1,IF(ABS(AA83)=AI83,AA$1,IF(ABS(AB83)=AI83,AB$1,IF(ABS(AC83)=AI83,AC$1,IF(ABS(AD83)=AI83,AD$1,IF(ABS(AE83)=AI83,AE$1,IF(ABS(AF83)=AI83,AF$1,IF(ABS(AG83)=AI83,AG$1,IF(ABS(AH83)=AI83,AH$1,"")))))))))))))</f>
        <v/>
      </c>
      <c r="AK83" s="0" t="str">
        <f aca="false">IF(AI83&lt;0.005,"",IF(ABS(W83)=AI83,W83,IF(ABS(X83)=AI83,X83,IF(ABS(Y83)=AI83,Y83,IF(ABS(Z83)=AI83,Z83,IF(ABS(AA83)=AI83,AA83,IF(ABS(AB83)=AI83,AB83,IF(ABS(AC83)=AI83,AC83,IF(ABS(AD83)=AI83,AD83,IF(ABS(AE83)=AI83,AE83,IF(ABS(AF83)=AI83,AF83,IF(ABS(AG83)=AI83,AG83,IF(ABS(AH83)=AI83,AH83,"")))))))))))))</f>
        <v/>
      </c>
      <c r="AL83" s="0" t="str">
        <f aca="false">IF(R83=1,ABS(L83)-ROW()/100000000,"")</f>
        <v/>
      </c>
    </row>
    <row r="84" customFormat="false" ht="15" hidden="false" customHeight="false" outlineLevel="0" collapsed="false">
      <c r="A84" s="0" t="str">
        <f aca="false">IF('NPV Comparison'!D97="","",'NPV Comparison'!D97)</f>
        <v/>
      </c>
      <c r="B84" s="0" t="str">
        <f aca="false">IF('NPV Comparison'!E97="","",'NPV Comparison'!E97)</f>
        <v/>
      </c>
      <c r="C84" s="0" t="str">
        <f aca="false">IF('NPV Comparison'!F97="","",'NPV Comparison'!F97)</f>
        <v/>
      </c>
      <c r="D84" s="0" t="str">
        <f aca="false">IF($A84="","",IFERROR(INDEX(Structure!$E$13:$E$312,MATCH($A84,Structure!$P$13:$P$312,0)),""))</f>
        <v/>
      </c>
      <c r="E84" s="0" t="n">
        <f aca="false">IF($A84="",0,IF(COUNTIF(Structure!$P$13:$P$312,$A84)=0,0,IF(COUNTIFS(Structure!$P$13:$P$312,$A84,Structure!$N$13:$N$312,"&lt;&gt;Zero Hours")=0,1,0)))</f>
        <v>0</v>
      </c>
      <c r="F84" s="0" t="n">
        <f aca="false">IF($A84="",0,1-E84)</f>
        <v>0</v>
      </c>
      <c r="G84" s="0" t="n">
        <f aca="false">IF($A84="",0,IF(COUNTIF('New Starters'!$D$14:$D$73,$A84)&gt;0,1,0))</f>
        <v>0</v>
      </c>
      <c r="H84" s="0" t="n">
        <f aca="false">IF($A84="",0,IF(COUNTIF(Leavers!$D$12:$D$71,$A84)&gt;0,1,0))</f>
        <v>0</v>
      </c>
      <c r="I84" s="0" t="str">
        <f aca="false">IF($A84="","",IFERROR(INDEX('New Starters'!$K$14:$K$73,MATCH($A84,'New Starters'!$D$14:$D$73,0)),IFERROR(INDEX(Leavers!$K$12:$K$71,MATCH($A84,Leavers!$D$12:$D$71,0)),"")))</f>
        <v/>
      </c>
      <c r="J84" s="0" t="n">
        <f aca="false">IF(AND(G84=1,I84&lt;&gt;"",COUNTIF(Leavers!$K$12:$K$71,I84)&gt;0),1,IF(AND(H84=1,I84&lt;&gt;"",COUNTIF('New Starters'!$K$14:$K$73,I84)&gt;0),1,0))</f>
        <v>0</v>
      </c>
      <c r="K84" s="14" t="n">
        <f aca="false">IF(ISNUMBER(SEARCH("Head Office",D84)),'Control Sheet'!$C$6,'Control Sheet'!$C$5)</f>
        <v>0.2</v>
      </c>
      <c r="L84" s="0" t="str">
        <f aca="false">IF(OR($A84="",AND(B84="",C84="")),"",IF(B84="",C84,IF(C84="",-B84,C84-B84)))</f>
        <v/>
      </c>
      <c r="M84" s="0" t="str">
        <f aca="false">IFERROR(L84/B84,"")</f>
        <v/>
      </c>
      <c r="N84" s="0" t="n">
        <f aca="false">IF($A84="",0,IF(OR(B84="",C84="",C84=0,IF(ISNUMBER(M84),ABS(M84)&gt;K84,FALSE())),1,0))</f>
        <v>0</v>
      </c>
      <c r="O84" s="0" t="n">
        <f aca="false">IF(OR($A84="",L84=""),0,IF(AND(N84=1,ABS(L84)&gt;='Control Sheet'!$C$7,F84=1),1,0))</f>
        <v>0</v>
      </c>
      <c r="P84" s="0" t="str">
        <f aca="false">IF($A84="","",IF(F84=0,"Zero Hours",IF(J84=1,"Explained: Paired transfer",IF(AND(G84=1,H84=0,J84=0),"Explained: Starter",IF(AND(H84=1,G84=0,J84=0),"Explained: Leaver",IF(O84=1,"Review required","OK"))))))</f>
        <v/>
      </c>
      <c r="Q84" s="0" t="n">
        <f aca="false">IF(AND(F84=1,OR(C84="",C84=0),H84=0,J84=0),1,0)</f>
        <v>0</v>
      </c>
      <c r="R84" s="0" t="n">
        <f aca="false">IF(F84=0,0,IF(P84="Review required",1,IF(AND(P84="Explained: Starter",ISNUMBER(C84),C84&gt;=1500),1,0)))</f>
        <v>0</v>
      </c>
      <c r="S84" s="0" t="str">
        <f aca="false">IF(R84=0,"",IF(Q84=1,"High",IF(AND(P84="Explained: Starter",C84&gt;=1500),"High",IF(ABS(L84)&gt;=2000,"High",IF(ABS(L84)&gt;=500,"Medium","Low")))))</f>
        <v/>
      </c>
      <c r="T84" s="0" t="n">
        <f aca="false">SUMIFS('Payment Breakdown Prior'!$S$15:$S$104,'Payment Breakdown Prior'!$AE$15:$AE$104,$A84)</f>
        <v>0</v>
      </c>
      <c r="U84" s="0" t="n">
        <f aca="false">SUMIFS('Payment Breakdown Current'!$S$15:$S$104,'Payment Breakdown Current'!$AE$15:$AE$104,$A84)</f>
        <v>0</v>
      </c>
      <c r="V84" s="0" t="str">
        <f aca="false">IFERROR((U84-T84)/T84,"")</f>
        <v/>
      </c>
      <c r="W84" s="0" t="n">
        <f aca="false">(SUMIFS('Payment Breakdown Current'!$S$15:$S$104,'Payment Breakdown Current'!$AE$15:$AE$104,$A84))-(SUMIFS('Payment Breakdown Prior'!$S$15:$S$104,'Payment Breakdown Prior'!$AE$15:$AE$104,$A84))</f>
        <v>0</v>
      </c>
      <c r="X84" s="0" t="n">
        <f aca="false">(SUMIFS('Payment Breakdown Current'!$T$15:$T$104,'Payment Breakdown Current'!$AE$15:$AE$104,$A84))-(SUMIFS('Payment Breakdown Prior'!$T$15:$T$104,'Payment Breakdown Prior'!$AE$15:$AE$104,$A84))</f>
        <v>0</v>
      </c>
      <c r="Y84" s="0" t="n">
        <f aca="false">(SUMIFS('Payment Breakdown Current'!$U$15:$U$104,'Payment Breakdown Current'!$AE$15:$AE$104,$A84))-(SUMIFS('Payment Breakdown Prior'!$U$15:$U$104,'Payment Breakdown Prior'!$AE$15:$AE$104,$A84))</f>
        <v>0</v>
      </c>
      <c r="Z84" s="0" t="n">
        <f aca="false">(SUMIFS('Payment Breakdown Current'!$V$15:$V$104,'Payment Breakdown Current'!$AE$15:$AE$104,$A84))-(SUMIFS('Payment Breakdown Prior'!$V$15:$V$104,'Payment Breakdown Prior'!$AE$15:$AE$104,$A84))</f>
        <v>0</v>
      </c>
      <c r="AA84" s="0" t="n">
        <f aca="false">(SUMIFS('Payment Breakdown Current'!$W$15:$W$104,'Payment Breakdown Current'!$AE$15:$AE$104,$A84))-(SUMIFS('Payment Breakdown Prior'!$W$15:$W$104,'Payment Breakdown Prior'!$AE$15:$AE$104,$A84))</f>
        <v>0</v>
      </c>
      <c r="AB84" s="0" t="n">
        <f aca="false">(SUMIFS('Payment Breakdown Current'!$X$15:$X$104,'Payment Breakdown Current'!$AE$15:$AE$104,$A84))-(SUMIFS('Payment Breakdown Prior'!$X$15:$X$104,'Payment Breakdown Prior'!$AE$15:$AE$104,$A84))</f>
        <v>0</v>
      </c>
      <c r="AC84" s="0" t="n">
        <f aca="false">(SUMIFS('Payment Breakdown Current'!$Y$15:$Y$104,'Payment Breakdown Current'!$AE$15:$AE$104,$A84))-(SUMIFS('Payment Breakdown Prior'!$Y$15:$Y$104,'Payment Breakdown Prior'!$AE$15:$AE$104,$A84))</f>
        <v>0</v>
      </c>
      <c r="AD84" s="0" t="n">
        <f aca="false">(SUMIFS('Payment Breakdown Current'!$Z$15:$Z$104,'Payment Breakdown Current'!$AE$15:$AE$104,$A84))-(SUMIFS('Payment Breakdown Prior'!$Z$15:$Z$104,'Payment Breakdown Prior'!$AE$15:$AE$104,$A84))</f>
        <v>0</v>
      </c>
      <c r="AE84" s="0" t="n">
        <f aca="false">(SUMIFS('Payment Breakdown Current'!$AA$15:$AA$104,'Payment Breakdown Current'!$AE$15:$AE$104,$A84))-(SUMIFS('Payment Breakdown Prior'!$AA$15:$AA$104,'Payment Breakdown Prior'!$AE$15:$AE$104,$A84))</f>
        <v>0</v>
      </c>
      <c r="AF84" s="0" t="n">
        <f aca="false">(SUMIFS('Payment Breakdown Current'!$AB$15:$AB$104,'Payment Breakdown Current'!$AE$15:$AE$104,$A84))-(SUMIFS('Payment Breakdown Prior'!$AB$15:$AB$104,'Payment Breakdown Prior'!$AE$15:$AE$104,$A84))</f>
        <v>0</v>
      </c>
      <c r="AG84" s="0" t="n">
        <f aca="false">(SUMIFS('Payment Breakdown Current'!$AC$15:$AC$104,'Payment Breakdown Current'!$AE$15:$AE$104,$A84))-(SUMIFS('Payment Breakdown Prior'!$AC$15:$AC$104,'Payment Breakdown Prior'!$AE$15:$AE$104,$A84))</f>
        <v>0</v>
      </c>
      <c r="AH84" s="0" t="n">
        <f aca="false">(SUMIFS('Payment Breakdown Current'!$AD$15:$AD$104,'Payment Breakdown Current'!$AE$15:$AE$104,$A84))-(SUMIFS('Payment Breakdown Prior'!$AD$15:$AD$104,'Payment Breakdown Prior'!$AE$15:$AE$104,$A84))</f>
        <v>0</v>
      </c>
      <c r="AI84" s="0" t="n">
        <f aca="false">MAX(ABS(W84),ABS(X84),ABS(Y84),ABS(Z84),ABS(AA84),ABS(AB84),ABS(AC84),ABS(AD84),ABS(AE84),ABS(AF84),ABS(AG84),ABS(AH84))</f>
        <v>0</v>
      </c>
      <c r="AJ84" s="0" t="str">
        <f aca="false">IF(AI84&lt;0.005,"",IF(ABS(W84)=AI84,W$1,IF(ABS(X84)=AI84,X$1,IF(ABS(Y84)=AI84,Y$1,IF(ABS(Z84)=AI84,Z$1,IF(ABS(AA84)=AI84,AA$1,IF(ABS(AB84)=AI84,AB$1,IF(ABS(AC84)=AI84,AC$1,IF(ABS(AD84)=AI84,AD$1,IF(ABS(AE84)=AI84,AE$1,IF(ABS(AF84)=AI84,AF$1,IF(ABS(AG84)=AI84,AG$1,IF(ABS(AH84)=AI84,AH$1,"")))))))))))))</f>
        <v/>
      </c>
      <c r="AK84" s="0" t="str">
        <f aca="false">IF(AI84&lt;0.005,"",IF(ABS(W84)=AI84,W84,IF(ABS(X84)=AI84,X84,IF(ABS(Y84)=AI84,Y84,IF(ABS(Z84)=AI84,Z84,IF(ABS(AA84)=AI84,AA84,IF(ABS(AB84)=AI84,AB84,IF(ABS(AC84)=AI84,AC84,IF(ABS(AD84)=AI84,AD84,IF(ABS(AE84)=AI84,AE84,IF(ABS(AF84)=AI84,AF84,IF(ABS(AG84)=AI84,AG84,IF(ABS(AH84)=AI84,AH84,"")))))))))))))</f>
        <v/>
      </c>
      <c r="AL84" s="0" t="str">
        <f aca="false">IF(R84=1,ABS(L84)-ROW()/100000000,"")</f>
        <v/>
      </c>
    </row>
    <row r="85" customFormat="false" ht="15" hidden="false" customHeight="false" outlineLevel="0" collapsed="false">
      <c r="A85" s="0" t="str">
        <f aca="false">IF('NPV Comparison'!D98="","",'NPV Comparison'!D98)</f>
        <v/>
      </c>
      <c r="B85" s="0" t="str">
        <f aca="false">IF('NPV Comparison'!E98="","",'NPV Comparison'!E98)</f>
        <v/>
      </c>
      <c r="C85" s="0" t="str">
        <f aca="false">IF('NPV Comparison'!F98="","",'NPV Comparison'!F98)</f>
        <v/>
      </c>
      <c r="D85" s="0" t="str">
        <f aca="false">IF($A85="","",IFERROR(INDEX(Structure!$E$13:$E$312,MATCH($A85,Structure!$P$13:$P$312,0)),""))</f>
        <v/>
      </c>
      <c r="E85" s="0" t="n">
        <f aca="false">IF($A85="",0,IF(COUNTIF(Structure!$P$13:$P$312,$A85)=0,0,IF(COUNTIFS(Structure!$P$13:$P$312,$A85,Structure!$N$13:$N$312,"&lt;&gt;Zero Hours")=0,1,0)))</f>
        <v>0</v>
      </c>
      <c r="F85" s="0" t="n">
        <f aca="false">IF($A85="",0,1-E85)</f>
        <v>0</v>
      </c>
      <c r="G85" s="0" t="n">
        <f aca="false">IF($A85="",0,IF(COUNTIF('New Starters'!$D$14:$D$73,$A85)&gt;0,1,0))</f>
        <v>0</v>
      </c>
      <c r="H85" s="0" t="n">
        <f aca="false">IF($A85="",0,IF(COUNTIF(Leavers!$D$12:$D$71,$A85)&gt;0,1,0))</f>
        <v>0</v>
      </c>
      <c r="I85" s="0" t="str">
        <f aca="false">IF($A85="","",IFERROR(INDEX('New Starters'!$K$14:$K$73,MATCH($A85,'New Starters'!$D$14:$D$73,0)),IFERROR(INDEX(Leavers!$K$12:$K$71,MATCH($A85,Leavers!$D$12:$D$71,0)),"")))</f>
        <v/>
      </c>
      <c r="J85" s="0" t="n">
        <f aca="false">IF(AND(G85=1,I85&lt;&gt;"",COUNTIF(Leavers!$K$12:$K$71,I85)&gt;0),1,IF(AND(H85=1,I85&lt;&gt;"",COUNTIF('New Starters'!$K$14:$K$73,I85)&gt;0),1,0))</f>
        <v>0</v>
      </c>
      <c r="K85" s="14" t="n">
        <f aca="false">IF(ISNUMBER(SEARCH("Head Office",D85)),'Control Sheet'!$C$6,'Control Sheet'!$C$5)</f>
        <v>0.2</v>
      </c>
      <c r="L85" s="0" t="str">
        <f aca="false">IF(OR($A85="",AND(B85="",C85="")),"",IF(B85="",C85,IF(C85="",-B85,C85-B85)))</f>
        <v/>
      </c>
      <c r="M85" s="0" t="str">
        <f aca="false">IFERROR(L85/B85,"")</f>
        <v/>
      </c>
      <c r="N85" s="0" t="n">
        <f aca="false">IF($A85="",0,IF(OR(B85="",C85="",C85=0,IF(ISNUMBER(M85),ABS(M85)&gt;K85,FALSE())),1,0))</f>
        <v>0</v>
      </c>
      <c r="O85" s="0" t="n">
        <f aca="false">IF(OR($A85="",L85=""),0,IF(AND(N85=1,ABS(L85)&gt;='Control Sheet'!$C$7,F85=1),1,0))</f>
        <v>0</v>
      </c>
      <c r="P85" s="0" t="str">
        <f aca="false">IF($A85="","",IF(F85=0,"Zero Hours",IF(J85=1,"Explained: Paired transfer",IF(AND(G85=1,H85=0,J85=0),"Explained: Starter",IF(AND(H85=1,G85=0,J85=0),"Explained: Leaver",IF(O85=1,"Review required","OK"))))))</f>
        <v/>
      </c>
      <c r="Q85" s="0" t="n">
        <f aca="false">IF(AND(F85=1,OR(C85="",C85=0),H85=0,J85=0),1,0)</f>
        <v>0</v>
      </c>
      <c r="R85" s="0" t="n">
        <f aca="false">IF(F85=0,0,IF(P85="Review required",1,IF(AND(P85="Explained: Starter",ISNUMBER(C85),C85&gt;=1500),1,0)))</f>
        <v>0</v>
      </c>
      <c r="S85" s="0" t="str">
        <f aca="false">IF(R85=0,"",IF(Q85=1,"High",IF(AND(P85="Explained: Starter",C85&gt;=1500),"High",IF(ABS(L85)&gt;=2000,"High",IF(ABS(L85)&gt;=500,"Medium","Low")))))</f>
        <v/>
      </c>
      <c r="T85" s="0" t="n">
        <f aca="false">SUMIFS('Payment Breakdown Prior'!$S$15:$S$104,'Payment Breakdown Prior'!$AE$15:$AE$104,$A85)</f>
        <v>0</v>
      </c>
      <c r="U85" s="0" t="n">
        <f aca="false">SUMIFS('Payment Breakdown Current'!$S$15:$S$104,'Payment Breakdown Current'!$AE$15:$AE$104,$A85)</f>
        <v>0</v>
      </c>
      <c r="V85" s="0" t="str">
        <f aca="false">IFERROR((U85-T85)/T85,"")</f>
        <v/>
      </c>
      <c r="W85" s="0" t="n">
        <f aca="false">(SUMIFS('Payment Breakdown Current'!$S$15:$S$104,'Payment Breakdown Current'!$AE$15:$AE$104,$A85))-(SUMIFS('Payment Breakdown Prior'!$S$15:$S$104,'Payment Breakdown Prior'!$AE$15:$AE$104,$A85))</f>
        <v>0</v>
      </c>
      <c r="X85" s="0" t="n">
        <f aca="false">(SUMIFS('Payment Breakdown Current'!$T$15:$T$104,'Payment Breakdown Current'!$AE$15:$AE$104,$A85))-(SUMIFS('Payment Breakdown Prior'!$T$15:$T$104,'Payment Breakdown Prior'!$AE$15:$AE$104,$A85))</f>
        <v>0</v>
      </c>
      <c r="Y85" s="0" t="n">
        <f aca="false">(SUMIFS('Payment Breakdown Current'!$U$15:$U$104,'Payment Breakdown Current'!$AE$15:$AE$104,$A85))-(SUMIFS('Payment Breakdown Prior'!$U$15:$U$104,'Payment Breakdown Prior'!$AE$15:$AE$104,$A85))</f>
        <v>0</v>
      </c>
      <c r="Z85" s="0" t="n">
        <f aca="false">(SUMIFS('Payment Breakdown Current'!$V$15:$V$104,'Payment Breakdown Current'!$AE$15:$AE$104,$A85))-(SUMIFS('Payment Breakdown Prior'!$V$15:$V$104,'Payment Breakdown Prior'!$AE$15:$AE$104,$A85))</f>
        <v>0</v>
      </c>
      <c r="AA85" s="0" t="n">
        <f aca="false">(SUMIFS('Payment Breakdown Current'!$W$15:$W$104,'Payment Breakdown Current'!$AE$15:$AE$104,$A85))-(SUMIFS('Payment Breakdown Prior'!$W$15:$W$104,'Payment Breakdown Prior'!$AE$15:$AE$104,$A85))</f>
        <v>0</v>
      </c>
      <c r="AB85" s="0" t="n">
        <f aca="false">(SUMIFS('Payment Breakdown Current'!$X$15:$X$104,'Payment Breakdown Current'!$AE$15:$AE$104,$A85))-(SUMIFS('Payment Breakdown Prior'!$X$15:$X$104,'Payment Breakdown Prior'!$AE$15:$AE$104,$A85))</f>
        <v>0</v>
      </c>
      <c r="AC85" s="0" t="n">
        <f aca="false">(SUMIFS('Payment Breakdown Current'!$Y$15:$Y$104,'Payment Breakdown Current'!$AE$15:$AE$104,$A85))-(SUMIFS('Payment Breakdown Prior'!$Y$15:$Y$104,'Payment Breakdown Prior'!$AE$15:$AE$104,$A85))</f>
        <v>0</v>
      </c>
      <c r="AD85" s="0" t="n">
        <f aca="false">(SUMIFS('Payment Breakdown Current'!$Z$15:$Z$104,'Payment Breakdown Current'!$AE$15:$AE$104,$A85))-(SUMIFS('Payment Breakdown Prior'!$Z$15:$Z$104,'Payment Breakdown Prior'!$AE$15:$AE$104,$A85))</f>
        <v>0</v>
      </c>
      <c r="AE85" s="0" t="n">
        <f aca="false">(SUMIFS('Payment Breakdown Current'!$AA$15:$AA$104,'Payment Breakdown Current'!$AE$15:$AE$104,$A85))-(SUMIFS('Payment Breakdown Prior'!$AA$15:$AA$104,'Payment Breakdown Prior'!$AE$15:$AE$104,$A85))</f>
        <v>0</v>
      </c>
      <c r="AF85" s="0" t="n">
        <f aca="false">(SUMIFS('Payment Breakdown Current'!$AB$15:$AB$104,'Payment Breakdown Current'!$AE$15:$AE$104,$A85))-(SUMIFS('Payment Breakdown Prior'!$AB$15:$AB$104,'Payment Breakdown Prior'!$AE$15:$AE$104,$A85))</f>
        <v>0</v>
      </c>
      <c r="AG85" s="0" t="n">
        <f aca="false">(SUMIFS('Payment Breakdown Current'!$AC$15:$AC$104,'Payment Breakdown Current'!$AE$15:$AE$104,$A85))-(SUMIFS('Payment Breakdown Prior'!$AC$15:$AC$104,'Payment Breakdown Prior'!$AE$15:$AE$104,$A85))</f>
        <v>0</v>
      </c>
      <c r="AH85" s="0" t="n">
        <f aca="false">(SUMIFS('Payment Breakdown Current'!$AD$15:$AD$104,'Payment Breakdown Current'!$AE$15:$AE$104,$A85))-(SUMIFS('Payment Breakdown Prior'!$AD$15:$AD$104,'Payment Breakdown Prior'!$AE$15:$AE$104,$A85))</f>
        <v>0</v>
      </c>
      <c r="AI85" s="0" t="n">
        <f aca="false">MAX(ABS(W85),ABS(X85),ABS(Y85),ABS(Z85),ABS(AA85),ABS(AB85),ABS(AC85),ABS(AD85),ABS(AE85),ABS(AF85),ABS(AG85),ABS(AH85))</f>
        <v>0</v>
      </c>
      <c r="AJ85" s="0" t="str">
        <f aca="false">IF(AI85&lt;0.005,"",IF(ABS(W85)=AI85,W$1,IF(ABS(X85)=AI85,X$1,IF(ABS(Y85)=AI85,Y$1,IF(ABS(Z85)=AI85,Z$1,IF(ABS(AA85)=AI85,AA$1,IF(ABS(AB85)=AI85,AB$1,IF(ABS(AC85)=AI85,AC$1,IF(ABS(AD85)=AI85,AD$1,IF(ABS(AE85)=AI85,AE$1,IF(ABS(AF85)=AI85,AF$1,IF(ABS(AG85)=AI85,AG$1,IF(ABS(AH85)=AI85,AH$1,"")))))))))))))</f>
        <v/>
      </c>
      <c r="AK85" s="0" t="str">
        <f aca="false">IF(AI85&lt;0.005,"",IF(ABS(W85)=AI85,W85,IF(ABS(X85)=AI85,X85,IF(ABS(Y85)=AI85,Y85,IF(ABS(Z85)=AI85,Z85,IF(ABS(AA85)=AI85,AA85,IF(ABS(AB85)=AI85,AB85,IF(ABS(AC85)=AI85,AC85,IF(ABS(AD85)=AI85,AD85,IF(ABS(AE85)=AI85,AE85,IF(ABS(AF85)=AI85,AF85,IF(ABS(AG85)=AI85,AG85,IF(ABS(AH85)=AI85,AH85,"")))))))))))))</f>
        <v/>
      </c>
      <c r="AL85" s="0" t="str">
        <f aca="false">IF(R85=1,ABS(L85)-ROW()/100000000,"")</f>
        <v/>
      </c>
    </row>
    <row r="86" customFormat="false" ht="15" hidden="false" customHeight="false" outlineLevel="0" collapsed="false">
      <c r="A86" s="0" t="str">
        <f aca="false">IF('NPV Comparison'!D99="","",'NPV Comparison'!D99)</f>
        <v/>
      </c>
      <c r="B86" s="0" t="str">
        <f aca="false">IF('NPV Comparison'!E99="","",'NPV Comparison'!E99)</f>
        <v/>
      </c>
      <c r="C86" s="0" t="str">
        <f aca="false">IF('NPV Comparison'!F99="","",'NPV Comparison'!F99)</f>
        <v/>
      </c>
      <c r="D86" s="0" t="str">
        <f aca="false">IF($A86="","",IFERROR(INDEX(Structure!$E$13:$E$312,MATCH($A86,Structure!$P$13:$P$312,0)),""))</f>
        <v/>
      </c>
      <c r="E86" s="0" t="n">
        <f aca="false">IF($A86="",0,IF(COUNTIF(Structure!$P$13:$P$312,$A86)=0,0,IF(COUNTIFS(Structure!$P$13:$P$312,$A86,Structure!$N$13:$N$312,"&lt;&gt;Zero Hours")=0,1,0)))</f>
        <v>0</v>
      </c>
      <c r="F86" s="0" t="n">
        <f aca="false">IF($A86="",0,1-E86)</f>
        <v>0</v>
      </c>
      <c r="G86" s="0" t="n">
        <f aca="false">IF($A86="",0,IF(COUNTIF('New Starters'!$D$14:$D$73,$A86)&gt;0,1,0))</f>
        <v>0</v>
      </c>
      <c r="H86" s="0" t="n">
        <f aca="false">IF($A86="",0,IF(COUNTIF(Leavers!$D$12:$D$71,$A86)&gt;0,1,0))</f>
        <v>0</v>
      </c>
      <c r="I86" s="0" t="str">
        <f aca="false">IF($A86="","",IFERROR(INDEX('New Starters'!$K$14:$K$73,MATCH($A86,'New Starters'!$D$14:$D$73,0)),IFERROR(INDEX(Leavers!$K$12:$K$71,MATCH($A86,Leavers!$D$12:$D$71,0)),"")))</f>
        <v/>
      </c>
      <c r="J86" s="0" t="n">
        <f aca="false">IF(AND(G86=1,I86&lt;&gt;"",COUNTIF(Leavers!$K$12:$K$71,I86)&gt;0),1,IF(AND(H86=1,I86&lt;&gt;"",COUNTIF('New Starters'!$K$14:$K$73,I86)&gt;0),1,0))</f>
        <v>0</v>
      </c>
      <c r="K86" s="14" t="n">
        <f aca="false">IF(ISNUMBER(SEARCH("Head Office",D86)),'Control Sheet'!$C$6,'Control Sheet'!$C$5)</f>
        <v>0.2</v>
      </c>
      <c r="L86" s="0" t="str">
        <f aca="false">IF(OR($A86="",AND(B86="",C86="")),"",IF(B86="",C86,IF(C86="",-B86,C86-B86)))</f>
        <v/>
      </c>
      <c r="M86" s="0" t="str">
        <f aca="false">IFERROR(L86/B86,"")</f>
        <v/>
      </c>
      <c r="N86" s="0" t="n">
        <f aca="false">IF($A86="",0,IF(OR(B86="",C86="",C86=0,IF(ISNUMBER(M86),ABS(M86)&gt;K86,FALSE())),1,0))</f>
        <v>0</v>
      </c>
      <c r="O86" s="0" t="n">
        <f aca="false">IF(OR($A86="",L86=""),0,IF(AND(N86=1,ABS(L86)&gt;='Control Sheet'!$C$7,F86=1),1,0))</f>
        <v>0</v>
      </c>
      <c r="P86" s="0" t="str">
        <f aca="false">IF($A86="","",IF(F86=0,"Zero Hours",IF(J86=1,"Explained: Paired transfer",IF(AND(G86=1,H86=0,J86=0),"Explained: Starter",IF(AND(H86=1,G86=0,J86=0),"Explained: Leaver",IF(O86=1,"Review required","OK"))))))</f>
        <v/>
      </c>
      <c r="Q86" s="0" t="n">
        <f aca="false">IF(AND(F86=1,OR(C86="",C86=0),H86=0,J86=0),1,0)</f>
        <v>0</v>
      </c>
      <c r="R86" s="0" t="n">
        <f aca="false">IF(F86=0,0,IF(P86="Review required",1,IF(AND(P86="Explained: Starter",ISNUMBER(C86),C86&gt;=1500),1,0)))</f>
        <v>0</v>
      </c>
      <c r="S86" s="0" t="str">
        <f aca="false">IF(R86=0,"",IF(Q86=1,"High",IF(AND(P86="Explained: Starter",C86&gt;=1500),"High",IF(ABS(L86)&gt;=2000,"High",IF(ABS(L86)&gt;=500,"Medium","Low")))))</f>
        <v/>
      </c>
      <c r="T86" s="0" t="n">
        <f aca="false">SUMIFS('Payment Breakdown Prior'!$S$15:$S$104,'Payment Breakdown Prior'!$AE$15:$AE$104,$A86)</f>
        <v>0</v>
      </c>
      <c r="U86" s="0" t="n">
        <f aca="false">SUMIFS('Payment Breakdown Current'!$S$15:$S$104,'Payment Breakdown Current'!$AE$15:$AE$104,$A86)</f>
        <v>0</v>
      </c>
      <c r="V86" s="0" t="str">
        <f aca="false">IFERROR((U86-T86)/T86,"")</f>
        <v/>
      </c>
      <c r="W86" s="0" t="n">
        <f aca="false">(SUMIFS('Payment Breakdown Current'!$S$15:$S$104,'Payment Breakdown Current'!$AE$15:$AE$104,$A86))-(SUMIFS('Payment Breakdown Prior'!$S$15:$S$104,'Payment Breakdown Prior'!$AE$15:$AE$104,$A86))</f>
        <v>0</v>
      </c>
      <c r="X86" s="0" t="n">
        <f aca="false">(SUMIFS('Payment Breakdown Current'!$T$15:$T$104,'Payment Breakdown Current'!$AE$15:$AE$104,$A86))-(SUMIFS('Payment Breakdown Prior'!$T$15:$T$104,'Payment Breakdown Prior'!$AE$15:$AE$104,$A86))</f>
        <v>0</v>
      </c>
      <c r="Y86" s="0" t="n">
        <f aca="false">(SUMIFS('Payment Breakdown Current'!$U$15:$U$104,'Payment Breakdown Current'!$AE$15:$AE$104,$A86))-(SUMIFS('Payment Breakdown Prior'!$U$15:$U$104,'Payment Breakdown Prior'!$AE$15:$AE$104,$A86))</f>
        <v>0</v>
      </c>
      <c r="Z86" s="0" t="n">
        <f aca="false">(SUMIFS('Payment Breakdown Current'!$V$15:$V$104,'Payment Breakdown Current'!$AE$15:$AE$104,$A86))-(SUMIFS('Payment Breakdown Prior'!$V$15:$V$104,'Payment Breakdown Prior'!$AE$15:$AE$104,$A86))</f>
        <v>0</v>
      </c>
      <c r="AA86" s="0" t="n">
        <f aca="false">(SUMIFS('Payment Breakdown Current'!$W$15:$W$104,'Payment Breakdown Current'!$AE$15:$AE$104,$A86))-(SUMIFS('Payment Breakdown Prior'!$W$15:$W$104,'Payment Breakdown Prior'!$AE$15:$AE$104,$A86))</f>
        <v>0</v>
      </c>
      <c r="AB86" s="0" t="n">
        <f aca="false">(SUMIFS('Payment Breakdown Current'!$X$15:$X$104,'Payment Breakdown Current'!$AE$15:$AE$104,$A86))-(SUMIFS('Payment Breakdown Prior'!$X$15:$X$104,'Payment Breakdown Prior'!$AE$15:$AE$104,$A86))</f>
        <v>0</v>
      </c>
      <c r="AC86" s="0" t="n">
        <f aca="false">(SUMIFS('Payment Breakdown Current'!$Y$15:$Y$104,'Payment Breakdown Current'!$AE$15:$AE$104,$A86))-(SUMIFS('Payment Breakdown Prior'!$Y$15:$Y$104,'Payment Breakdown Prior'!$AE$15:$AE$104,$A86))</f>
        <v>0</v>
      </c>
      <c r="AD86" s="0" t="n">
        <f aca="false">(SUMIFS('Payment Breakdown Current'!$Z$15:$Z$104,'Payment Breakdown Current'!$AE$15:$AE$104,$A86))-(SUMIFS('Payment Breakdown Prior'!$Z$15:$Z$104,'Payment Breakdown Prior'!$AE$15:$AE$104,$A86))</f>
        <v>0</v>
      </c>
      <c r="AE86" s="0" t="n">
        <f aca="false">(SUMIFS('Payment Breakdown Current'!$AA$15:$AA$104,'Payment Breakdown Current'!$AE$15:$AE$104,$A86))-(SUMIFS('Payment Breakdown Prior'!$AA$15:$AA$104,'Payment Breakdown Prior'!$AE$15:$AE$104,$A86))</f>
        <v>0</v>
      </c>
      <c r="AF86" s="0" t="n">
        <f aca="false">(SUMIFS('Payment Breakdown Current'!$AB$15:$AB$104,'Payment Breakdown Current'!$AE$15:$AE$104,$A86))-(SUMIFS('Payment Breakdown Prior'!$AB$15:$AB$104,'Payment Breakdown Prior'!$AE$15:$AE$104,$A86))</f>
        <v>0</v>
      </c>
      <c r="AG86" s="0" t="n">
        <f aca="false">(SUMIFS('Payment Breakdown Current'!$AC$15:$AC$104,'Payment Breakdown Current'!$AE$15:$AE$104,$A86))-(SUMIFS('Payment Breakdown Prior'!$AC$15:$AC$104,'Payment Breakdown Prior'!$AE$15:$AE$104,$A86))</f>
        <v>0</v>
      </c>
      <c r="AH86" s="0" t="n">
        <f aca="false">(SUMIFS('Payment Breakdown Current'!$AD$15:$AD$104,'Payment Breakdown Current'!$AE$15:$AE$104,$A86))-(SUMIFS('Payment Breakdown Prior'!$AD$15:$AD$104,'Payment Breakdown Prior'!$AE$15:$AE$104,$A86))</f>
        <v>0</v>
      </c>
      <c r="AI86" s="0" t="n">
        <f aca="false">MAX(ABS(W86),ABS(X86),ABS(Y86),ABS(Z86),ABS(AA86),ABS(AB86),ABS(AC86),ABS(AD86),ABS(AE86),ABS(AF86),ABS(AG86),ABS(AH86))</f>
        <v>0</v>
      </c>
      <c r="AJ86" s="0" t="str">
        <f aca="false">IF(AI86&lt;0.005,"",IF(ABS(W86)=AI86,W$1,IF(ABS(X86)=AI86,X$1,IF(ABS(Y86)=AI86,Y$1,IF(ABS(Z86)=AI86,Z$1,IF(ABS(AA86)=AI86,AA$1,IF(ABS(AB86)=AI86,AB$1,IF(ABS(AC86)=AI86,AC$1,IF(ABS(AD86)=AI86,AD$1,IF(ABS(AE86)=AI86,AE$1,IF(ABS(AF86)=AI86,AF$1,IF(ABS(AG86)=AI86,AG$1,IF(ABS(AH86)=AI86,AH$1,"")))))))))))))</f>
        <v/>
      </c>
      <c r="AK86" s="0" t="str">
        <f aca="false">IF(AI86&lt;0.005,"",IF(ABS(W86)=AI86,W86,IF(ABS(X86)=AI86,X86,IF(ABS(Y86)=AI86,Y86,IF(ABS(Z86)=AI86,Z86,IF(ABS(AA86)=AI86,AA86,IF(ABS(AB86)=AI86,AB86,IF(ABS(AC86)=AI86,AC86,IF(ABS(AD86)=AI86,AD86,IF(ABS(AE86)=AI86,AE86,IF(ABS(AF86)=AI86,AF86,IF(ABS(AG86)=AI86,AG86,IF(ABS(AH86)=AI86,AH86,"")))))))))))))</f>
        <v/>
      </c>
      <c r="AL86" s="0" t="str">
        <f aca="false">IF(R86=1,ABS(L86)-ROW()/100000000,"")</f>
        <v/>
      </c>
    </row>
    <row r="87" customFormat="false" ht="15" hidden="false" customHeight="false" outlineLevel="0" collapsed="false">
      <c r="A87" s="0" t="str">
        <f aca="false">IF('NPV Comparison'!D100="","",'NPV Comparison'!D100)</f>
        <v/>
      </c>
      <c r="B87" s="0" t="str">
        <f aca="false">IF('NPV Comparison'!E100="","",'NPV Comparison'!E100)</f>
        <v/>
      </c>
      <c r="C87" s="0" t="str">
        <f aca="false">IF('NPV Comparison'!F100="","",'NPV Comparison'!F100)</f>
        <v/>
      </c>
      <c r="D87" s="0" t="str">
        <f aca="false">IF($A87="","",IFERROR(INDEX(Structure!$E$13:$E$312,MATCH($A87,Structure!$P$13:$P$312,0)),""))</f>
        <v/>
      </c>
      <c r="E87" s="0" t="n">
        <f aca="false">IF($A87="",0,IF(COUNTIF(Structure!$P$13:$P$312,$A87)=0,0,IF(COUNTIFS(Structure!$P$13:$P$312,$A87,Structure!$N$13:$N$312,"&lt;&gt;Zero Hours")=0,1,0)))</f>
        <v>0</v>
      </c>
      <c r="F87" s="0" t="n">
        <f aca="false">IF($A87="",0,1-E87)</f>
        <v>0</v>
      </c>
      <c r="G87" s="0" t="n">
        <f aca="false">IF($A87="",0,IF(COUNTIF('New Starters'!$D$14:$D$73,$A87)&gt;0,1,0))</f>
        <v>0</v>
      </c>
      <c r="H87" s="0" t="n">
        <f aca="false">IF($A87="",0,IF(COUNTIF(Leavers!$D$12:$D$71,$A87)&gt;0,1,0))</f>
        <v>0</v>
      </c>
      <c r="I87" s="0" t="str">
        <f aca="false">IF($A87="","",IFERROR(INDEX('New Starters'!$K$14:$K$73,MATCH($A87,'New Starters'!$D$14:$D$73,0)),IFERROR(INDEX(Leavers!$K$12:$K$71,MATCH($A87,Leavers!$D$12:$D$71,0)),"")))</f>
        <v/>
      </c>
      <c r="J87" s="0" t="n">
        <f aca="false">IF(AND(G87=1,I87&lt;&gt;"",COUNTIF(Leavers!$K$12:$K$71,I87)&gt;0),1,IF(AND(H87=1,I87&lt;&gt;"",COUNTIF('New Starters'!$K$14:$K$73,I87)&gt;0),1,0))</f>
        <v>0</v>
      </c>
      <c r="K87" s="14" t="n">
        <f aca="false">IF(ISNUMBER(SEARCH("Head Office",D87)),'Control Sheet'!$C$6,'Control Sheet'!$C$5)</f>
        <v>0.2</v>
      </c>
      <c r="L87" s="0" t="str">
        <f aca="false">IF(OR($A87="",AND(B87="",C87="")),"",IF(B87="",C87,IF(C87="",-B87,C87-B87)))</f>
        <v/>
      </c>
      <c r="M87" s="0" t="str">
        <f aca="false">IFERROR(L87/B87,"")</f>
        <v/>
      </c>
      <c r="N87" s="0" t="n">
        <f aca="false">IF($A87="",0,IF(OR(B87="",C87="",C87=0,IF(ISNUMBER(M87),ABS(M87)&gt;K87,FALSE())),1,0))</f>
        <v>0</v>
      </c>
      <c r="O87" s="0" t="n">
        <f aca="false">IF(OR($A87="",L87=""),0,IF(AND(N87=1,ABS(L87)&gt;='Control Sheet'!$C$7,F87=1),1,0))</f>
        <v>0</v>
      </c>
      <c r="P87" s="0" t="str">
        <f aca="false">IF($A87="","",IF(F87=0,"Zero Hours",IF(J87=1,"Explained: Paired transfer",IF(AND(G87=1,H87=0,J87=0),"Explained: Starter",IF(AND(H87=1,G87=0,J87=0),"Explained: Leaver",IF(O87=1,"Review required","OK"))))))</f>
        <v/>
      </c>
      <c r="Q87" s="0" t="n">
        <f aca="false">IF(AND(F87=1,OR(C87="",C87=0),H87=0,J87=0),1,0)</f>
        <v>0</v>
      </c>
      <c r="R87" s="0" t="n">
        <f aca="false">IF(F87=0,0,IF(P87="Review required",1,IF(AND(P87="Explained: Starter",ISNUMBER(C87),C87&gt;=1500),1,0)))</f>
        <v>0</v>
      </c>
      <c r="S87" s="0" t="str">
        <f aca="false">IF(R87=0,"",IF(Q87=1,"High",IF(AND(P87="Explained: Starter",C87&gt;=1500),"High",IF(ABS(L87)&gt;=2000,"High",IF(ABS(L87)&gt;=500,"Medium","Low")))))</f>
        <v/>
      </c>
      <c r="T87" s="0" t="n">
        <f aca="false">SUMIFS('Payment Breakdown Prior'!$S$15:$S$104,'Payment Breakdown Prior'!$AE$15:$AE$104,$A87)</f>
        <v>0</v>
      </c>
      <c r="U87" s="0" t="n">
        <f aca="false">SUMIFS('Payment Breakdown Current'!$S$15:$S$104,'Payment Breakdown Current'!$AE$15:$AE$104,$A87)</f>
        <v>0</v>
      </c>
      <c r="V87" s="0" t="str">
        <f aca="false">IFERROR((U87-T87)/T87,"")</f>
        <v/>
      </c>
      <c r="W87" s="0" t="n">
        <f aca="false">(SUMIFS('Payment Breakdown Current'!$S$15:$S$104,'Payment Breakdown Current'!$AE$15:$AE$104,$A87))-(SUMIFS('Payment Breakdown Prior'!$S$15:$S$104,'Payment Breakdown Prior'!$AE$15:$AE$104,$A87))</f>
        <v>0</v>
      </c>
      <c r="X87" s="0" t="n">
        <f aca="false">(SUMIFS('Payment Breakdown Current'!$T$15:$T$104,'Payment Breakdown Current'!$AE$15:$AE$104,$A87))-(SUMIFS('Payment Breakdown Prior'!$T$15:$T$104,'Payment Breakdown Prior'!$AE$15:$AE$104,$A87))</f>
        <v>0</v>
      </c>
      <c r="Y87" s="0" t="n">
        <f aca="false">(SUMIFS('Payment Breakdown Current'!$U$15:$U$104,'Payment Breakdown Current'!$AE$15:$AE$104,$A87))-(SUMIFS('Payment Breakdown Prior'!$U$15:$U$104,'Payment Breakdown Prior'!$AE$15:$AE$104,$A87))</f>
        <v>0</v>
      </c>
      <c r="Z87" s="0" t="n">
        <f aca="false">(SUMIFS('Payment Breakdown Current'!$V$15:$V$104,'Payment Breakdown Current'!$AE$15:$AE$104,$A87))-(SUMIFS('Payment Breakdown Prior'!$V$15:$V$104,'Payment Breakdown Prior'!$AE$15:$AE$104,$A87))</f>
        <v>0</v>
      </c>
      <c r="AA87" s="0" t="n">
        <f aca="false">(SUMIFS('Payment Breakdown Current'!$W$15:$W$104,'Payment Breakdown Current'!$AE$15:$AE$104,$A87))-(SUMIFS('Payment Breakdown Prior'!$W$15:$W$104,'Payment Breakdown Prior'!$AE$15:$AE$104,$A87))</f>
        <v>0</v>
      </c>
      <c r="AB87" s="0" t="n">
        <f aca="false">(SUMIFS('Payment Breakdown Current'!$X$15:$X$104,'Payment Breakdown Current'!$AE$15:$AE$104,$A87))-(SUMIFS('Payment Breakdown Prior'!$X$15:$X$104,'Payment Breakdown Prior'!$AE$15:$AE$104,$A87))</f>
        <v>0</v>
      </c>
      <c r="AC87" s="0" t="n">
        <f aca="false">(SUMIFS('Payment Breakdown Current'!$Y$15:$Y$104,'Payment Breakdown Current'!$AE$15:$AE$104,$A87))-(SUMIFS('Payment Breakdown Prior'!$Y$15:$Y$104,'Payment Breakdown Prior'!$AE$15:$AE$104,$A87))</f>
        <v>0</v>
      </c>
      <c r="AD87" s="0" t="n">
        <f aca="false">(SUMIFS('Payment Breakdown Current'!$Z$15:$Z$104,'Payment Breakdown Current'!$AE$15:$AE$104,$A87))-(SUMIFS('Payment Breakdown Prior'!$Z$15:$Z$104,'Payment Breakdown Prior'!$AE$15:$AE$104,$A87))</f>
        <v>0</v>
      </c>
      <c r="AE87" s="0" t="n">
        <f aca="false">(SUMIFS('Payment Breakdown Current'!$AA$15:$AA$104,'Payment Breakdown Current'!$AE$15:$AE$104,$A87))-(SUMIFS('Payment Breakdown Prior'!$AA$15:$AA$104,'Payment Breakdown Prior'!$AE$15:$AE$104,$A87))</f>
        <v>0</v>
      </c>
      <c r="AF87" s="0" t="n">
        <f aca="false">(SUMIFS('Payment Breakdown Current'!$AB$15:$AB$104,'Payment Breakdown Current'!$AE$15:$AE$104,$A87))-(SUMIFS('Payment Breakdown Prior'!$AB$15:$AB$104,'Payment Breakdown Prior'!$AE$15:$AE$104,$A87))</f>
        <v>0</v>
      </c>
      <c r="AG87" s="0" t="n">
        <f aca="false">(SUMIFS('Payment Breakdown Current'!$AC$15:$AC$104,'Payment Breakdown Current'!$AE$15:$AE$104,$A87))-(SUMIFS('Payment Breakdown Prior'!$AC$15:$AC$104,'Payment Breakdown Prior'!$AE$15:$AE$104,$A87))</f>
        <v>0</v>
      </c>
      <c r="AH87" s="0" t="n">
        <f aca="false">(SUMIFS('Payment Breakdown Current'!$AD$15:$AD$104,'Payment Breakdown Current'!$AE$15:$AE$104,$A87))-(SUMIFS('Payment Breakdown Prior'!$AD$15:$AD$104,'Payment Breakdown Prior'!$AE$15:$AE$104,$A87))</f>
        <v>0</v>
      </c>
      <c r="AI87" s="0" t="n">
        <f aca="false">MAX(ABS(W87),ABS(X87),ABS(Y87),ABS(Z87),ABS(AA87),ABS(AB87),ABS(AC87),ABS(AD87),ABS(AE87),ABS(AF87),ABS(AG87),ABS(AH87))</f>
        <v>0</v>
      </c>
      <c r="AJ87" s="0" t="str">
        <f aca="false">IF(AI87&lt;0.005,"",IF(ABS(W87)=AI87,W$1,IF(ABS(X87)=AI87,X$1,IF(ABS(Y87)=AI87,Y$1,IF(ABS(Z87)=AI87,Z$1,IF(ABS(AA87)=AI87,AA$1,IF(ABS(AB87)=AI87,AB$1,IF(ABS(AC87)=AI87,AC$1,IF(ABS(AD87)=AI87,AD$1,IF(ABS(AE87)=AI87,AE$1,IF(ABS(AF87)=AI87,AF$1,IF(ABS(AG87)=AI87,AG$1,IF(ABS(AH87)=AI87,AH$1,"")))))))))))))</f>
        <v/>
      </c>
      <c r="AK87" s="0" t="str">
        <f aca="false">IF(AI87&lt;0.005,"",IF(ABS(W87)=AI87,W87,IF(ABS(X87)=AI87,X87,IF(ABS(Y87)=AI87,Y87,IF(ABS(Z87)=AI87,Z87,IF(ABS(AA87)=AI87,AA87,IF(ABS(AB87)=AI87,AB87,IF(ABS(AC87)=AI87,AC87,IF(ABS(AD87)=AI87,AD87,IF(ABS(AE87)=AI87,AE87,IF(ABS(AF87)=AI87,AF87,IF(ABS(AG87)=AI87,AG87,IF(ABS(AH87)=AI87,AH87,"")))))))))))))</f>
        <v/>
      </c>
      <c r="AL87" s="0" t="str">
        <f aca="false">IF(R87=1,ABS(L87)-ROW()/100000000,"")</f>
        <v/>
      </c>
    </row>
    <row r="88" customFormat="false" ht="15" hidden="false" customHeight="false" outlineLevel="0" collapsed="false">
      <c r="A88" s="0" t="str">
        <f aca="false">IF('NPV Comparison'!D101="","",'NPV Comparison'!D101)</f>
        <v/>
      </c>
      <c r="B88" s="0" t="str">
        <f aca="false">IF('NPV Comparison'!E101="","",'NPV Comparison'!E101)</f>
        <v/>
      </c>
      <c r="C88" s="0" t="str">
        <f aca="false">IF('NPV Comparison'!F101="","",'NPV Comparison'!F101)</f>
        <v/>
      </c>
      <c r="D88" s="0" t="str">
        <f aca="false">IF($A88="","",IFERROR(INDEX(Structure!$E$13:$E$312,MATCH($A88,Structure!$P$13:$P$312,0)),""))</f>
        <v/>
      </c>
      <c r="E88" s="0" t="n">
        <f aca="false">IF($A88="",0,IF(COUNTIF(Structure!$P$13:$P$312,$A88)=0,0,IF(COUNTIFS(Structure!$P$13:$P$312,$A88,Structure!$N$13:$N$312,"&lt;&gt;Zero Hours")=0,1,0)))</f>
        <v>0</v>
      </c>
      <c r="F88" s="0" t="n">
        <f aca="false">IF($A88="",0,1-E88)</f>
        <v>0</v>
      </c>
      <c r="G88" s="0" t="n">
        <f aca="false">IF($A88="",0,IF(COUNTIF('New Starters'!$D$14:$D$73,$A88)&gt;0,1,0))</f>
        <v>0</v>
      </c>
      <c r="H88" s="0" t="n">
        <f aca="false">IF($A88="",0,IF(COUNTIF(Leavers!$D$12:$D$71,$A88)&gt;0,1,0))</f>
        <v>0</v>
      </c>
      <c r="I88" s="0" t="str">
        <f aca="false">IF($A88="","",IFERROR(INDEX('New Starters'!$K$14:$K$73,MATCH($A88,'New Starters'!$D$14:$D$73,0)),IFERROR(INDEX(Leavers!$K$12:$K$71,MATCH($A88,Leavers!$D$12:$D$71,0)),"")))</f>
        <v/>
      </c>
      <c r="J88" s="0" t="n">
        <f aca="false">IF(AND(G88=1,I88&lt;&gt;"",COUNTIF(Leavers!$K$12:$K$71,I88)&gt;0),1,IF(AND(H88=1,I88&lt;&gt;"",COUNTIF('New Starters'!$K$14:$K$73,I88)&gt;0),1,0))</f>
        <v>0</v>
      </c>
      <c r="K88" s="14" t="n">
        <f aca="false">IF(ISNUMBER(SEARCH("Head Office",D88)),'Control Sheet'!$C$6,'Control Sheet'!$C$5)</f>
        <v>0.2</v>
      </c>
      <c r="L88" s="0" t="str">
        <f aca="false">IF(OR($A88="",AND(B88="",C88="")),"",IF(B88="",C88,IF(C88="",-B88,C88-B88)))</f>
        <v/>
      </c>
      <c r="M88" s="0" t="str">
        <f aca="false">IFERROR(L88/B88,"")</f>
        <v/>
      </c>
      <c r="N88" s="0" t="n">
        <f aca="false">IF($A88="",0,IF(OR(B88="",C88="",C88=0,IF(ISNUMBER(M88),ABS(M88)&gt;K88,FALSE())),1,0))</f>
        <v>0</v>
      </c>
      <c r="O88" s="0" t="n">
        <f aca="false">IF(OR($A88="",L88=""),0,IF(AND(N88=1,ABS(L88)&gt;='Control Sheet'!$C$7,F88=1),1,0))</f>
        <v>0</v>
      </c>
      <c r="P88" s="0" t="str">
        <f aca="false">IF($A88="","",IF(F88=0,"Zero Hours",IF(J88=1,"Explained: Paired transfer",IF(AND(G88=1,H88=0,J88=0),"Explained: Starter",IF(AND(H88=1,G88=0,J88=0),"Explained: Leaver",IF(O88=1,"Review required","OK"))))))</f>
        <v/>
      </c>
      <c r="Q88" s="0" t="n">
        <f aca="false">IF(AND(F88=1,OR(C88="",C88=0),H88=0,J88=0),1,0)</f>
        <v>0</v>
      </c>
      <c r="R88" s="0" t="n">
        <f aca="false">IF(F88=0,0,IF(P88="Review required",1,IF(AND(P88="Explained: Starter",ISNUMBER(C88),C88&gt;=1500),1,0)))</f>
        <v>0</v>
      </c>
      <c r="S88" s="0" t="str">
        <f aca="false">IF(R88=0,"",IF(Q88=1,"High",IF(AND(P88="Explained: Starter",C88&gt;=1500),"High",IF(ABS(L88)&gt;=2000,"High",IF(ABS(L88)&gt;=500,"Medium","Low")))))</f>
        <v/>
      </c>
      <c r="T88" s="0" t="n">
        <f aca="false">SUMIFS('Payment Breakdown Prior'!$S$15:$S$104,'Payment Breakdown Prior'!$AE$15:$AE$104,$A88)</f>
        <v>0</v>
      </c>
      <c r="U88" s="0" t="n">
        <f aca="false">SUMIFS('Payment Breakdown Current'!$S$15:$S$104,'Payment Breakdown Current'!$AE$15:$AE$104,$A88)</f>
        <v>0</v>
      </c>
      <c r="V88" s="0" t="str">
        <f aca="false">IFERROR((U88-T88)/T88,"")</f>
        <v/>
      </c>
      <c r="W88" s="0" t="n">
        <f aca="false">(SUMIFS('Payment Breakdown Current'!$S$15:$S$104,'Payment Breakdown Current'!$AE$15:$AE$104,$A88))-(SUMIFS('Payment Breakdown Prior'!$S$15:$S$104,'Payment Breakdown Prior'!$AE$15:$AE$104,$A88))</f>
        <v>0</v>
      </c>
      <c r="X88" s="0" t="n">
        <f aca="false">(SUMIFS('Payment Breakdown Current'!$T$15:$T$104,'Payment Breakdown Current'!$AE$15:$AE$104,$A88))-(SUMIFS('Payment Breakdown Prior'!$T$15:$T$104,'Payment Breakdown Prior'!$AE$15:$AE$104,$A88))</f>
        <v>0</v>
      </c>
      <c r="Y88" s="0" t="n">
        <f aca="false">(SUMIFS('Payment Breakdown Current'!$U$15:$U$104,'Payment Breakdown Current'!$AE$15:$AE$104,$A88))-(SUMIFS('Payment Breakdown Prior'!$U$15:$U$104,'Payment Breakdown Prior'!$AE$15:$AE$104,$A88))</f>
        <v>0</v>
      </c>
      <c r="Z88" s="0" t="n">
        <f aca="false">(SUMIFS('Payment Breakdown Current'!$V$15:$V$104,'Payment Breakdown Current'!$AE$15:$AE$104,$A88))-(SUMIFS('Payment Breakdown Prior'!$V$15:$V$104,'Payment Breakdown Prior'!$AE$15:$AE$104,$A88))</f>
        <v>0</v>
      </c>
      <c r="AA88" s="0" t="n">
        <f aca="false">(SUMIFS('Payment Breakdown Current'!$W$15:$W$104,'Payment Breakdown Current'!$AE$15:$AE$104,$A88))-(SUMIFS('Payment Breakdown Prior'!$W$15:$W$104,'Payment Breakdown Prior'!$AE$15:$AE$104,$A88))</f>
        <v>0</v>
      </c>
      <c r="AB88" s="0" t="n">
        <f aca="false">(SUMIFS('Payment Breakdown Current'!$X$15:$X$104,'Payment Breakdown Current'!$AE$15:$AE$104,$A88))-(SUMIFS('Payment Breakdown Prior'!$X$15:$X$104,'Payment Breakdown Prior'!$AE$15:$AE$104,$A88))</f>
        <v>0</v>
      </c>
      <c r="AC88" s="0" t="n">
        <f aca="false">(SUMIFS('Payment Breakdown Current'!$Y$15:$Y$104,'Payment Breakdown Current'!$AE$15:$AE$104,$A88))-(SUMIFS('Payment Breakdown Prior'!$Y$15:$Y$104,'Payment Breakdown Prior'!$AE$15:$AE$104,$A88))</f>
        <v>0</v>
      </c>
      <c r="AD88" s="0" t="n">
        <f aca="false">(SUMIFS('Payment Breakdown Current'!$Z$15:$Z$104,'Payment Breakdown Current'!$AE$15:$AE$104,$A88))-(SUMIFS('Payment Breakdown Prior'!$Z$15:$Z$104,'Payment Breakdown Prior'!$AE$15:$AE$104,$A88))</f>
        <v>0</v>
      </c>
      <c r="AE88" s="0" t="n">
        <f aca="false">(SUMIFS('Payment Breakdown Current'!$AA$15:$AA$104,'Payment Breakdown Current'!$AE$15:$AE$104,$A88))-(SUMIFS('Payment Breakdown Prior'!$AA$15:$AA$104,'Payment Breakdown Prior'!$AE$15:$AE$104,$A88))</f>
        <v>0</v>
      </c>
      <c r="AF88" s="0" t="n">
        <f aca="false">(SUMIFS('Payment Breakdown Current'!$AB$15:$AB$104,'Payment Breakdown Current'!$AE$15:$AE$104,$A88))-(SUMIFS('Payment Breakdown Prior'!$AB$15:$AB$104,'Payment Breakdown Prior'!$AE$15:$AE$104,$A88))</f>
        <v>0</v>
      </c>
      <c r="AG88" s="0" t="n">
        <f aca="false">(SUMIFS('Payment Breakdown Current'!$AC$15:$AC$104,'Payment Breakdown Current'!$AE$15:$AE$104,$A88))-(SUMIFS('Payment Breakdown Prior'!$AC$15:$AC$104,'Payment Breakdown Prior'!$AE$15:$AE$104,$A88))</f>
        <v>0</v>
      </c>
      <c r="AH88" s="0" t="n">
        <f aca="false">(SUMIFS('Payment Breakdown Current'!$AD$15:$AD$104,'Payment Breakdown Current'!$AE$15:$AE$104,$A88))-(SUMIFS('Payment Breakdown Prior'!$AD$15:$AD$104,'Payment Breakdown Prior'!$AE$15:$AE$104,$A88))</f>
        <v>0</v>
      </c>
      <c r="AI88" s="0" t="n">
        <f aca="false">MAX(ABS(W88),ABS(X88),ABS(Y88),ABS(Z88),ABS(AA88),ABS(AB88),ABS(AC88),ABS(AD88),ABS(AE88),ABS(AF88),ABS(AG88),ABS(AH88))</f>
        <v>0</v>
      </c>
      <c r="AJ88" s="0" t="str">
        <f aca="false">IF(AI88&lt;0.005,"",IF(ABS(W88)=AI88,W$1,IF(ABS(X88)=AI88,X$1,IF(ABS(Y88)=AI88,Y$1,IF(ABS(Z88)=AI88,Z$1,IF(ABS(AA88)=AI88,AA$1,IF(ABS(AB88)=AI88,AB$1,IF(ABS(AC88)=AI88,AC$1,IF(ABS(AD88)=AI88,AD$1,IF(ABS(AE88)=AI88,AE$1,IF(ABS(AF88)=AI88,AF$1,IF(ABS(AG88)=AI88,AG$1,IF(ABS(AH88)=AI88,AH$1,"")))))))))))))</f>
        <v/>
      </c>
      <c r="AK88" s="0" t="str">
        <f aca="false">IF(AI88&lt;0.005,"",IF(ABS(W88)=AI88,W88,IF(ABS(X88)=AI88,X88,IF(ABS(Y88)=AI88,Y88,IF(ABS(Z88)=AI88,Z88,IF(ABS(AA88)=AI88,AA88,IF(ABS(AB88)=AI88,AB88,IF(ABS(AC88)=AI88,AC88,IF(ABS(AD88)=AI88,AD88,IF(ABS(AE88)=AI88,AE88,IF(ABS(AF88)=AI88,AF88,IF(ABS(AG88)=AI88,AG88,IF(ABS(AH88)=AI88,AH88,"")))))))))))))</f>
        <v/>
      </c>
      <c r="AL88" s="0" t="str">
        <f aca="false">IF(R88=1,ABS(L88)-ROW()/100000000,"")</f>
        <v/>
      </c>
    </row>
    <row r="89" customFormat="false" ht="15" hidden="false" customHeight="false" outlineLevel="0" collapsed="false">
      <c r="A89" s="0" t="str">
        <f aca="false">IF('NPV Comparison'!D102="","",'NPV Comparison'!D102)</f>
        <v/>
      </c>
      <c r="B89" s="0" t="str">
        <f aca="false">IF('NPV Comparison'!E102="","",'NPV Comparison'!E102)</f>
        <v/>
      </c>
      <c r="C89" s="0" t="str">
        <f aca="false">IF('NPV Comparison'!F102="","",'NPV Comparison'!F102)</f>
        <v/>
      </c>
      <c r="D89" s="0" t="str">
        <f aca="false">IF($A89="","",IFERROR(INDEX(Structure!$E$13:$E$312,MATCH($A89,Structure!$P$13:$P$312,0)),""))</f>
        <v/>
      </c>
      <c r="E89" s="0" t="n">
        <f aca="false">IF($A89="",0,IF(COUNTIF(Structure!$P$13:$P$312,$A89)=0,0,IF(COUNTIFS(Structure!$P$13:$P$312,$A89,Structure!$N$13:$N$312,"&lt;&gt;Zero Hours")=0,1,0)))</f>
        <v>0</v>
      </c>
      <c r="F89" s="0" t="n">
        <f aca="false">IF($A89="",0,1-E89)</f>
        <v>0</v>
      </c>
      <c r="G89" s="0" t="n">
        <f aca="false">IF($A89="",0,IF(COUNTIF('New Starters'!$D$14:$D$73,$A89)&gt;0,1,0))</f>
        <v>0</v>
      </c>
      <c r="H89" s="0" t="n">
        <f aca="false">IF($A89="",0,IF(COUNTIF(Leavers!$D$12:$D$71,$A89)&gt;0,1,0))</f>
        <v>0</v>
      </c>
      <c r="I89" s="0" t="str">
        <f aca="false">IF($A89="","",IFERROR(INDEX('New Starters'!$K$14:$K$73,MATCH($A89,'New Starters'!$D$14:$D$73,0)),IFERROR(INDEX(Leavers!$K$12:$K$71,MATCH($A89,Leavers!$D$12:$D$71,0)),"")))</f>
        <v/>
      </c>
      <c r="J89" s="0" t="n">
        <f aca="false">IF(AND(G89=1,I89&lt;&gt;"",COUNTIF(Leavers!$K$12:$K$71,I89)&gt;0),1,IF(AND(H89=1,I89&lt;&gt;"",COUNTIF('New Starters'!$K$14:$K$73,I89)&gt;0),1,0))</f>
        <v>0</v>
      </c>
      <c r="K89" s="14" t="n">
        <f aca="false">IF(ISNUMBER(SEARCH("Head Office",D89)),'Control Sheet'!$C$6,'Control Sheet'!$C$5)</f>
        <v>0.2</v>
      </c>
      <c r="L89" s="0" t="str">
        <f aca="false">IF(OR($A89="",AND(B89="",C89="")),"",IF(B89="",C89,IF(C89="",-B89,C89-B89)))</f>
        <v/>
      </c>
      <c r="M89" s="0" t="str">
        <f aca="false">IFERROR(L89/B89,"")</f>
        <v/>
      </c>
      <c r="N89" s="0" t="n">
        <f aca="false">IF($A89="",0,IF(OR(B89="",C89="",C89=0,IF(ISNUMBER(M89),ABS(M89)&gt;K89,FALSE())),1,0))</f>
        <v>0</v>
      </c>
      <c r="O89" s="0" t="n">
        <f aca="false">IF(OR($A89="",L89=""),0,IF(AND(N89=1,ABS(L89)&gt;='Control Sheet'!$C$7,F89=1),1,0))</f>
        <v>0</v>
      </c>
      <c r="P89" s="0" t="str">
        <f aca="false">IF($A89="","",IF(F89=0,"Zero Hours",IF(J89=1,"Explained: Paired transfer",IF(AND(G89=1,H89=0,J89=0),"Explained: Starter",IF(AND(H89=1,G89=0,J89=0),"Explained: Leaver",IF(O89=1,"Review required","OK"))))))</f>
        <v/>
      </c>
      <c r="Q89" s="0" t="n">
        <f aca="false">IF(AND(F89=1,OR(C89="",C89=0),H89=0,J89=0),1,0)</f>
        <v>0</v>
      </c>
      <c r="R89" s="0" t="n">
        <f aca="false">IF(F89=0,0,IF(P89="Review required",1,IF(AND(P89="Explained: Starter",ISNUMBER(C89),C89&gt;=1500),1,0)))</f>
        <v>0</v>
      </c>
      <c r="S89" s="0" t="str">
        <f aca="false">IF(R89=0,"",IF(Q89=1,"High",IF(AND(P89="Explained: Starter",C89&gt;=1500),"High",IF(ABS(L89)&gt;=2000,"High",IF(ABS(L89)&gt;=500,"Medium","Low")))))</f>
        <v/>
      </c>
      <c r="T89" s="0" t="n">
        <f aca="false">SUMIFS('Payment Breakdown Prior'!$S$15:$S$104,'Payment Breakdown Prior'!$AE$15:$AE$104,$A89)</f>
        <v>0</v>
      </c>
      <c r="U89" s="0" t="n">
        <f aca="false">SUMIFS('Payment Breakdown Current'!$S$15:$S$104,'Payment Breakdown Current'!$AE$15:$AE$104,$A89)</f>
        <v>0</v>
      </c>
      <c r="V89" s="0" t="str">
        <f aca="false">IFERROR((U89-T89)/T89,"")</f>
        <v/>
      </c>
      <c r="W89" s="0" t="n">
        <f aca="false">(SUMIFS('Payment Breakdown Current'!$S$15:$S$104,'Payment Breakdown Current'!$AE$15:$AE$104,$A89))-(SUMIFS('Payment Breakdown Prior'!$S$15:$S$104,'Payment Breakdown Prior'!$AE$15:$AE$104,$A89))</f>
        <v>0</v>
      </c>
      <c r="X89" s="0" t="n">
        <f aca="false">(SUMIFS('Payment Breakdown Current'!$T$15:$T$104,'Payment Breakdown Current'!$AE$15:$AE$104,$A89))-(SUMIFS('Payment Breakdown Prior'!$T$15:$T$104,'Payment Breakdown Prior'!$AE$15:$AE$104,$A89))</f>
        <v>0</v>
      </c>
      <c r="Y89" s="0" t="n">
        <f aca="false">(SUMIFS('Payment Breakdown Current'!$U$15:$U$104,'Payment Breakdown Current'!$AE$15:$AE$104,$A89))-(SUMIFS('Payment Breakdown Prior'!$U$15:$U$104,'Payment Breakdown Prior'!$AE$15:$AE$104,$A89))</f>
        <v>0</v>
      </c>
      <c r="Z89" s="0" t="n">
        <f aca="false">(SUMIFS('Payment Breakdown Current'!$V$15:$V$104,'Payment Breakdown Current'!$AE$15:$AE$104,$A89))-(SUMIFS('Payment Breakdown Prior'!$V$15:$V$104,'Payment Breakdown Prior'!$AE$15:$AE$104,$A89))</f>
        <v>0</v>
      </c>
      <c r="AA89" s="0" t="n">
        <f aca="false">(SUMIFS('Payment Breakdown Current'!$W$15:$W$104,'Payment Breakdown Current'!$AE$15:$AE$104,$A89))-(SUMIFS('Payment Breakdown Prior'!$W$15:$W$104,'Payment Breakdown Prior'!$AE$15:$AE$104,$A89))</f>
        <v>0</v>
      </c>
      <c r="AB89" s="0" t="n">
        <f aca="false">(SUMIFS('Payment Breakdown Current'!$X$15:$X$104,'Payment Breakdown Current'!$AE$15:$AE$104,$A89))-(SUMIFS('Payment Breakdown Prior'!$X$15:$X$104,'Payment Breakdown Prior'!$AE$15:$AE$104,$A89))</f>
        <v>0</v>
      </c>
      <c r="AC89" s="0" t="n">
        <f aca="false">(SUMIFS('Payment Breakdown Current'!$Y$15:$Y$104,'Payment Breakdown Current'!$AE$15:$AE$104,$A89))-(SUMIFS('Payment Breakdown Prior'!$Y$15:$Y$104,'Payment Breakdown Prior'!$AE$15:$AE$104,$A89))</f>
        <v>0</v>
      </c>
      <c r="AD89" s="0" t="n">
        <f aca="false">(SUMIFS('Payment Breakdown Current'!$Z$15:$Z$104,'Payment Breakdown Current'!$AE$15:$AE$104,$A89))-(SUMIFS('Payment Breakdown Prior'!$Z$15:$Z$104,'Payment Breakdown Prior'!$AE$15:$AE$104,$A89))</f>
        <v>0</v>
      </c>
      <c r="AE89" s="0" t="n">
        <f aca="false">(SUMIFS('Payment Breakdown Current'!$AA$15:$AA$104,'Payment Breakdown Current'!$AE$15:$AE$104,$A89))-(SUMIFS('Payment Breakdown Prior'!$AA$15:$AA$104,'Payment Breakdown Prior'!$AE$15:$AE$104,$A89))</f>
        <v>0</v>
      </c>
      <c r="AF89" s="0" t="n">
        <f aca="false">(SUMIFS('Payment Breakdown Current'!$AB$15:$AB$104,'Payment Breakdown Current'!$AE$15:$AE$104,$A89))-(SUMIFS('Payment Breakdown Prior'!$AB$15:$AB$104,'Payment Breakdown Prior'!$AE$15:$AE$104,$A89))</f>
        <v>0</v>
      </c>
      <c r="AG89" s="0" t="n">
        <f aca="false">(SUMIFS('Payment Breakdown Current'!$AC$15:$AC$104,'Payment Breakdown Current'!$AE$15:$AE$104,$A89))-(SUMIFS('Payment Breakdown Prior'!$AC$15:$AC$104,'Payment Breakdown Prior'!$AE$15:$AE$104,$A89))</f>
        <v>0</v>
      </c>
      <c r="AH89" s="0" t="n">
        <f aca="false">(SUMIFS('Payment Breakdown Current'!$AD$15:$AD$104,'Payment Breakdown Current'!$AE$15:$AE$104,$A89))-(SUMIFS('Payment Breakdown Prior'!$AD$15:$AD$104,'Payment Breakdown Prior'!$AE$15:$AE$104,$A89))</f>
        <v>0</v>
      </c>
      <c r="AI89" s="0" t="n">
        <f aca="false">MAX(ABS(W89),ABS(X89),ABS(Y89),ABS(Z89),ABS(AA89),ABS(AB89),ABS(AC89),ABS(AD89),ABS(AE89),ABS(AF89),ABS(AG89),ABS(AH89))</f>
        <v>0</v>
      </c>
      <c r="AJ89" s="0" t="str">
        <f aca="false">IF(AI89&lt;0.005,"",IF(ABS(W89)=AI89,W$1,IF(ABS(X89)=AI89,X$1,IF(ABS(Y89)=AI89,Y$1,IF(ABS(Z89)=AI89,Z$1,IF(ABS(AA89)=AI89,AA$1,IF(ABS(AB89)=AI89,AB$1,IF(ABS(AC89)=AI89,AC$1,IF(ABS(AD89)=AI89,AD$1,IF(ABS(AE89)=AI89,AE$1,IF(ABS(AF89)=AI89,AF$1,IF(ABS(AG89)=AI89,AG$1,IF(ABS(AH89)=AI89,AH$1,"")))))))))))))</f>
        <v/>
      </c>
      <c r="AK89" s="0" t="str">
        <f aca="false">IF(AI89&lt;0.005,"",IF(ABS(W89)=AI89,W89,IF(ABS(X89)=AI89,X89,IF(ABS(Y89)=AI89,Y89,IF(ABS(Z89)=AI89,Z89,IF(ABS(AA89)=AI89,AA89,IF(ABS(AB89)=AI89,AB89,IF(ABS(AC89)=AI89,AC89,IF(ABS(AD89)=AI89,AD89,IF(ABS(AE89)=AI89,AE89,IF(ABS(AF89)=AI89,AF89,IF(ABS(AG89)=AI89,AG89,IF(ABS(AH89)=AI89,AH89,"")))))))))))))</f>
        <v/>
      </c>
      <c r="AL89" s="0" t="str">
        <f aca="false">IF(R89=1,ABS(L89)-ROW()/100000000,"")</f>
        <v/>
      </c>
    </row>
    <row r="90" customFormat="false" ht="15" hidden="false" customHeight="false" outlineLevel="0" collapsed="false">
      <c r="A90" s="0" t="str">
        <f aca="false">IF('NPV Comparison'!D103="","",'NPV Comparison'!D103)</f>
        <v/>
      </c>
      <c r="B90" s="0" t="str">
        <f aca="false">IF('NPV Comparison'!E103="","",'NPV Comparison'!E103)</f>
        <v/>
      </c>
      <c r="C90" s="0" t="str">
        <f aca="false">IF('NPV Comparison'!F103="","",'NPV Comparison'!F103)</f>
        <v/>
      </c>
      <c r="D90" s="0" t="str">
        <f aca="false">IF($A90="","",IFERROR(INDEX(Structure!$E$13:$E$312,MATCH($A90,Structure!$P$13:$P$312,0)),""))</f>
        <v/>
      </c>
      <c r="E90" s="0" t="n">
        <f aca="false">IF($A90="",0,IF(COUNTIF(Structure!$P$13:$P$312,$A90)=0,0,IF(COUNTIFS(Structure!$P$13:$P$312,$A90,Structure!$N$13:$N$312,"&lt;&gt;Zero Hours")=0,1,0)))</f>
        <v>0</v>
      </c>
      <c r="F90" s="0" t="n">
        <f aca="false">IF($A90="",0,1-E90)</f>
        <v>0</v>
      </c>
      <c r="G90" s="0" t="n">
        <f aca="false">IF($A90="",0,IF(COUNTIF('New Starters'!$D$14:$D$73,$A90)&gt;0,1,0))</f>
        <v>0</v>
      </c>
      <c r="H90" s="0" t="n">
        <f aca="false">IF($A90="",0,IF(COUNTIF(Leavers!$D$12:$D$71,$A90)&gt;0,1,0))</f>
        <v>0</v>
      </c>
      <c r="I90" s="0" t="str">
        <f aca="false">IF($A90="","",IFERROR(INDEX('New Starters'!$K$14:$K$73,MATCH($A90,'New Starters'!$D$14:$D$73,0)),IFERROR(INDEX(Leavers!$K$12:$K$71,MATCH($A90,Leavers!$D$12:$D$71,0)),"")))</f>
        <v/>
      </c>
      <c r="J90" s="0" t="n">
        <f aca="false">IF(AND(G90=1,I90&lt;&gt;"",COUNTIF(Leavers!$K$12:$K$71,I90)&gt;0),1,IF(AND(H90=1,I90&lt;&gt;"",COUNTIF('New Starters'!$K$14:$K$73,I90)&gt;0),1,0))</f>
        <v>0</v>
      </c>
      <c r="K90" s="14" t="n">
        <f aca="false">IF(ISNUMBER(SEARCH("Head Office",D90)),'Control Sheet'!$C$6,'Control Sheet'!$C$5)</f>
        <v>0.2</v>
      </c>
      <c r="L90" s="0" t="str">
        <f aca="false">IF(OR($A90="",AND(B90="",C90="")),"",IF(B90="",C90,IF(C90="",-B90,C90-B90)))</f>
        <v/>
      </c>
      <c r="M90" s="0" t="str">
        <f aca="false">IFERROR(L90/B90,"")</f>
        <v/>
      </c>
      <c r="N90" s="0" t="n">
        <f aca="false">IF($A90="",0,IF(OR(B90="",C90="",C90=0,IF(ISNUMBER(M90),ABS(M90)&gt;K90,FALSE())),1,0))</f>
        <v>0</v>
      </c>
      <c r="O90" s="0" t="n">
        <f aca="false">IF(OR($A90="",L90=""),0,IF(AND(N90=1,ABS(L90)&gt;='Control Sheet'!$C$7,F90=1),1,0))</f>
        <v>0</v>
      </c>
      <c r="P90" s="0" t="str">
        <f aca="false">IF($A90="","",IF(F90=0,"Zero Hours",IF(J90=1,"Explained: Paired transfer",IF(AND(G90=1,H90=0,J90=0),"Explained: Starter",IF(AND(H90=1,G90=0,J90=0),"Explained: Leaver",IF(O90=1,"Review required","OK"))))))</f>
        <v/>
      </c>
      <c r="Q90" s="0" t="n">
        <f aca="false">IF(AND(F90=1,OR(C90="",C90=0),H90=0,J90=0),1,0)</f>
        <v>0</v>
      </c>
      <c r="R90" s="0" t="n">
        <f aca="false">IF(F90=0,0,IF(P90="Review required",1,IF(AND(P90="Explained: Starter",ISNUMBER(C90),C90&gt;=1500),1,0)))</f>
        <v>0</v>
      </c>
      <c r="S90" s="0" t="str">
        <f aca="false">IF(R90=0,"",IF(Q90=1,"High",IF(AND(P90="Explained: Starter",C90&gt;=1500),"High",IF(ABS(L90)&gt;=2000,"High",IF(ABS(L90)&gt;=500,"Medium","Low")))))</f>
        <v/>
      </c>
      <c r="T90" s="0" t="n">
        <f aca="false">SUMIFS('Payment Breakdown Prior'!$S$15:$S$104,'Payment Breakdown Prior'!$AE$15:$AE$104,$A90)</f>
        <v>0</v>
      </c>
      <c r="U90" s="0" t="n">
        <f aca="false">SUMIFS('Payment Breakdown Current'!$S$15:$S$104,'Payment Breakdown Current'!$AE$15:$AE$104,$A90)</f>
        <v>0</v>
      </c>
      <c r="V90" s="0" t="str">
        <f aca="false">IFERROR((U90-T90)/T90,"")</f>
        <v/>
      </c>
      <c r="W90" s="0" t="n">
        <f aca="false">(SUMIFS('Payment Breakdown Current'!$S$15:$S$104,'Payment Breakdown Current'!$AE$15:$AE$104,$A90))-(SUMIFS('Payment Breakdown Prior'!$S$15:$S$104,'Payment Breakdown Prior'!$AE$15:$AE$104,$A90))</f>
        <v>0</v>
      </c>
      <c r="X90" s="0" t="n">
        <f aca="false">(SUMIFS('Payment Breakdown Current'!$T$15:$T$104,'Payment Breakdown Current'!$AE$15:$AE$104,$A90))-(SUMIFS('Payment Breakdown Prior'!$T$15:$T$104,'Payment Breakdown Prior'!$AE$15:$AE$104,$A90))</f>
        <v>0</v>
      </c>
      <c r="Y90" s="0" t="n">
        <f aca="false">(SUMIFS('Payment Breakdown Current'!$U$15:$U$104,'Payment Breakdown Current'!$AE$15:$AE$104,$A90))-(SUMIFS('Payment Breakdown Prior'!$U$15:$U$104,'Payment Breakdown Prior'!$AE$15:$AE$104,$A90))</f>
        <v>0</v>
      </c>
      <c r="Z90" s="0" t="n">
        <f aca="false">(SUMIFS('Payment Breakdown Current'!$V$15:$V$104,'Payment Breakdown Current'!$AE$15:$AE$104,$A90))-(SUMIFS('Payment Breakdown Prior'!$V$15:$V$104,'Payment Breakdown Prior'!$AE$15:$AE$104,$A90))</f>
        <v>0</v>
      </c>
      <c r="AA90" s="0" t="n">
        <f aca="false">(SUMIFS('Payment Breakdown Current'!$W$15:$W$104,'Payment Breakdown Current'!$AE$15:$AE$104,$A90))-(SUMIFS('Payment Breakdown Prior'!$W$15:$W$104,'Payment Breakdown Prior'!$AE$15:$AE$104,$A90))</f>
        <v>0</v>
      </c>
      <c r="AB90" s="0" t="n">
        <f aca="false">(SUMIFS('Payment Breakdown Current'!$X$15:$X$104,'Payment Breakdown Current'!$AE$15:$AE$104,$A90))-(SUMIFS('Payment Breakdown Prior'!$X$15:$X$104,'Payment Breakdown Prior'!$AE$15:$AE$104,$A90))</f>
        <v>0</v>
      </c>
      <c r="AC90" s="0" t="n">
        <f aca="false">(SUMIFS('Payment Breakdown Current'!$Y$15:$Y$104,'Payment Breakdown Current'!$AE$15:$AE$104,$A90))-(SUMIFS('Payment Breakdown Prior'!$Y$15:$Y$104,'Payment Breakdown Prior'!$AE$15:$AE$104,$A90))</f>
        <v>0</v>
      </c>
      <c r="AD90" s="0" t="n">
        <f aca="false">(SUMIFS('Payment Breakdown Current'!$Z$15:$Z$104,'Payment Breakdown Current'!$AE$15:$AE$104,$A90))-(SUMIFS('Payment Breakdown Prior'!$Z$15:$Z$104,'Payment Breakdown Prior'!$AE$15:$AE$104,$A90))</f>
        <v>0</v>
      </c>
      <c r="AE90" s="0" t="n">
        <f aca="false">(SUMIFS('Payment Breakdown Current'!$AA$15:$AA$104,'Payment Breakdown Current'!$AE$15:$AE$104,$A90))-(SUMIFS('Payment Breakdown Prior'!$AA$15:$AA$104,'Payment Breakdown Prior'!$AE$15:$AE$104,$A90))</f>
        <v>0</v>
      </c>
      <c r="AF90" s="0" t="n">
        <f aca="false">(SUMIFS('Payment Breakdown Current'!$AB$15:$AB$104,'Payment Breakdown Current'!$AE$15:$AE$104,$A90))-(SUMIFS('Payment Breakdown Prior'!$AB$15:$AB$104,'Payment Breakdown Prior'!$AE$15:$AE$104,$A90))</f>
        <v>0</v>
      </c>
      <c r="AG90" s="0" t="n">
        <f aca="false">(SUMIFS('Payment Breakdown Current'!$AC$15:$AC$104,'Payment Breakdown Current'!$AE$15:$AE$104,$A90))-(SUMIFS('Payment Breakdown Prior'!$AC$15:$AC$104,'Payment Breakdown Prior'!$AE$15:$AE$104,$A90))</f>
        <v>0</v>
      </c>
      <c r="AH90" s="0" t="n">
        <f aca="false">(SUMIFS('Payment Breakdown Current'!$AD$15:$AD$104,'Payment Breakdown Current'!$AE$15:$AE$104,$A90))-(SUMIFS('Payment Breakdown Prior'!$AD$15:$AD$104,'Payment Breakdown Prior'!$AE$15:$AE$104,$A90))</f>
        <v>0</v>
      </c>
      <c r="AI90" s="0" t="n">
        <f aca="false">MAX(ABS(W90),ABS(X90),ABS(Y90),ABS(Z90),ABS(AA90),ABS(AB90),ABS(AC90),ABS(AD90),ABS(AE90),ABS(AF90),ABS(AG90),ABS(AH90))</f>
        <v>0</v>
      </c>
      <c r="AJ90" s="0" t="str">
        <f aca="false">IF(AI90&lt;0.005,"",IF(ABS(W90)=AI90,W$1,IF(ABS(X90)=AI90,X$1,IF(ABS(Y90)=AI90,Y$1,IF(ABS(Z90)=AI90,Z$1,IF(ABS(AA90)=AI90,AA$1,IF(ABS(AB90)=AI90,AB$1,IF(ABS(AC90)=AI90,AC$1,IF(ABS(AD90)=AI90,AD$1,IF(ABS(AE90)=AI90,AE$1,IF(ABS(AF90)=AI90,AF$1,IF(ABS(AG90)=AI90,AG$1,IF(ABS(AH90)=AI90,AH$1,"")))))))))))))</f>
        <v/>
      </c>
      <c r="AK90" s="0" t="str">
        <f aca="false">IF(AI90&lt;0.005,"",IF(ABS(W90)=AI90,W90,IF(ABS(X90)=AI90,X90,IF(ABS(Y90)=AI90,Y90,IF(ABS(Z90)=AI90,Z90,IF(ABS(AA90)=AI90,AA90,IF(ABS(AB90)=AI90,AB90,IF(ABS(AC90)=AI90,AC90,IF(ABS(AD90)=AI90,AD90,IF(ABS(AE90)=AI90,AE90,IF(ABS(AF90)=AI90,AF90,IF(ABS(AG90)=AI90,AG90,IF(ABS(AH90)=AI90,AH90,"")))))))))))))</f>
        <v/>
      </c>
      <c r="AL90" s="0" t="str">
        <f aca="false">IF(R90=1,ABS(L90)-ROW()/100000000,"")</f>
        <v/>
      </c>
    </row>
    <row r="91" customFormat="false" ht="15" hidden="false" customHeight="false" outlineLevel="0" collapsed="false">
      <c r="A91" s="0" t="str">
        <f aca="false">IF('NPV Comparison'!D104="","",'NPV Comparison'!D104)</f>
        <v/>
      </c>
      <c r="B91" s="0" t="str">
        <f aca="false">IF('NPV Comparison'!E104="","",'NPV Comparison'!E104)</f>
        <v/>
      </c>
      <c r="C91" s="0" t="str">
        <f aca="false">IF('NPV Comparison'!F104="","",'NPV Comparison'!F104)</f>
        <v/>
      </c>
      <c r="D91" s="0" t="str">
        <f aca="false">IF($A91="","",IFERROR(INDEX(Structure!$E$13:$E$312,MATCH($A91,Structure!$P$13:$P$312,0)),""))</f>
        <v/>
      </c>
      <c r="E91" s="0" t="n">
        <f aca="false">IF($A91="",0,IF(COUNTIF(Structure!$P$13:$P$312,$A91)=0,0,IF(COUNTIFS(Structure!$P$13:$P$312,$A91,Structure!$N$13:$N$312,"&lt;&gt;Zero Hours")=0,1,0)))</f>
        <v>0</v>
      </c>
      <c r="F91" s="0" t="n">
        <f aca="false">IF($A91="",0,1-E91)</f>
        <v>0</v>
      </c>
      <c r="G91" s="0" t="n">
        <f aca="false">IF($A91="",0,IF(COUNTIF('New Starters'!$D$14:$D$73,$A91)&gt;0,1,0))</f>
        <v>0</v>
      </c>
      <c r="H91" s="0" t="n">
        <f aca="false">IF($A91="",0,IF(COUNTIF(Leavers!$D$12:$D$71,$A91)&gt;0,1,0))</f>
        <v>0</v>
      </c>
      <c r="I91" s="0" t="str">
        <f aca="false">IF($A91="","",IFERROR(INDEX('New Starters'!$K$14:$K$73,MATCH($A91,'New Starters'!$D$14:$D$73,0)),IFERROR(INDEX(Leavers!$K$12:$K$71,MATCH($A91,Leavers!$D$12:$D$71,0)),"")))</f>
        <v/>
      </c>
      <c r="J91" s="0" t="n">
        <f aca="false">IF(AND(G91=1,I91&lt;&gt;"",COUNTIF(Leavers!$K$12:$K$71,I91)&gt;0),1,IF(AND(H91=1,I91&lt;&gt;"",COUNTIF('New Starters'!$K$14:$K$73,I91)&gt;0),1,0))</f>
        <v>0</v>
      </c>
      <c r="K91" s="14" t="n">
        <f aca="false">IF(ISNUMBER(SEARCH("Head Office",D91)),'Control Sheet'!$C$6,'Control Sheet'!$C$5)</f>
        <v>0.2</v>
      </c>
      <c r="L91" s="0" t="str">
        <f aca="false">IF(OR($A91="",AND(B91="",C91="")),"",IF(B91="",C91,IF(C91="",-B91,C91-B91)))</f>
        <v/>
      </c>
      <c r="M91" s="0" t="str">
        <f aca="false">IFERROR(L91/B91,"")</f>
        <v/>
      </c>
      <c r="N91" s="0" t="n">
        <f aca="false">IF($A91="",0,IF(OR(B91="",C91="",C91=0,IF(ISNUMBER(M91),ABS(M91)&gt;K91,FALSE())),1,0))</f>
        <v>0</v>
      </c>
      <c r="O91" s="0" t="n">
        <f aca="false">IF(OR($A91="",L91=""),0,IF(AND(N91=1,ABS(L91)&gt;='Control Sheet'!$C$7,F91=1),1,0))</f>
        <v>0</v>
      </c>
      <c r="P91" s="0" t="str">
        <f aca="false">IF($A91="","",IF(F91=0,"Zero Hours",IF(J91=1,"Explained: Paired transfer",IF(AND(G91=1,H91=0,J91=0),"Explained: Starter",IF(AND(H91=1,G91=0,J91=0),"Explained: Leaver",IF(O91=1,"Review required","OK"))))))</f>
        <v/>
      </c>
      <c r="Q91" s="0" t="n">
        <f aca="false">IF(AND(F91=1,OR(C91="",C91=0),H91=0,J91=0),1,0)</f>
        <v>0</v>
      </c>
      <c r="R91" s="0" t="n">
        <f aca="false">IF(F91=0,0,IF(P91="Review required",1,IF(AND(P91="Explained: Starter",ISNUMBER(C91),C91&gt;=1500),1,0)))</f>
        <v>0</v>
      </c>
      <c r="S91" s="0" t="str">
        <f aca="false">IF(R91=0,"",IF(Q91=1,"High",IF(AND(P91="Explained: Starter",C91&gt;=1500),"High",IF(ABS(L91)&gt;=2000,"High",IF(ABS(L91)&gt;=500,"Medium","Low")))))</f>
        <v/>
      </c>
      <c r="T91" s="0" t="n">
        <f aca="false">SUMIFS('Payment Breakdown Prior'!$S$15:$S$104,'Payment Breakdown Prior'!$AE$15:$AE$104,$A91)</f>
        <v>0</v>
      </c>
      <c r="U91" s="0" t="n">
        <f aca="false">SUMIFS('Payment Breakdown Current'!$S$15:$S$104,'Payment Breakdown Current'!$AE$15:$AE$104,$A91)</f>
        <v>0</v>
      </c>
      <c r="V91" s="0" t="str">
        <f aca="false">IFERROR((U91-T91)/T91,"")</f>
        <v/>
      </c>
      <c r="W91" s="0" t="n">
        <f aca="false">(SUMIFS('Payment Breakdown Current'!$S$15:$S$104,'Payment Breakdown Current'!$AE$15:$AE$104,$A91))-(SUMIFS('Payment Breakdown Prior'!$S$15:$S$104,'Payment Breakdown Prior'!$AE$15:$AE$104,$A91))</f>
        <v>0</v>
      </c>
      <c r="X91" s="0" t="n">
        <f aca="false">(SUMIFS('Payment Breakdown Current'!$T$15:$T$104,'Payment Breakdown Current'!$AE$15:$AE$104,$A91))-(SUMIFS('Payment Breakdown Prior'!$T$15:$T$104,'Payment Breakdown Prior'!$AE$15:$AE$104,$A91))</f>
        <v>0</v>
      </c>
      <c r="Y91" s="0" t="n">
        <f aca="false">(SUMIFS('Payment Breakdown Current'!$U$15:$U$104,'Payment Breakdown Current'!$AE$15:$AE$104,$A91))-(SUMIFS('Payment Breakdown Prior'!$U$15:$U$104,'Payment Breakdown Prior'!$AE$15:$AE$104,$A91))</f>
        <v>0</v>
      </c>
      <c r="Z91" s="0" t="n">
        <f aca="false">(SUMIFS('Payment Breakdown Current'!$V$15:$V$104,'Payment Breakdown Current'!$AE$15:$AE$104,$A91))-(SUMIFS('Payment Breakdown Prior'!$V$15:$V$104,'Payment Breakdown Prior'!$AE$15:$AE$104,$A91))</f>
        <v>0</v>
      </c>
      <c r="AA91" s="0" t="n">
        <f aca="false">(SUMIFS('Payment Breakdown Current'!$W$15:$W$104,'Payment Breakdown Current'!$AE$15:$AE$104,$A91))-(SUMIFS('Payment Breakdown Prior'!$W$15:$W$104,'Payment Breakdown Prior'!$AE$15:$AE$104,$A91))</f>
        <v>0</v>
      </c>
      <c r="AB91" s="0" t="n">
        <f aca="false">(SUMIFS('Payment Breakdown Current'!$X$15:$X$104,'Payment Breakdown Current'!$AE$15:$AE$104,$A91))-(SUMIFS('Payment Breakdown Prior'!$X$15:$X$104,'Payment Breakdown Prior'!$AE$15:$AE$104,$A91))</f>
        <v>0</v>
      </c>
      <c r="AC91" s="0" t="n">
        <f aca="false">(SUMIFS('Payment Breakdown Current'!$Y$15:$Y$104,'Payment Breakdown Current'!$AE$15:$AE$104,$A91))-(SUMIFS('Payment Breakdown Prior'!$Y$15:$Y$104,'Payment Breakdown Prior'!$AE$15:$AE$104,$A91))</f>
        <v>0</v>
      </c>
      <c r="AD91" s="0" t="n">
        <f aca="false">(SUMIFS('Payment Breakdown Current'!$Z$15:$Z$104,'Payment Breakdown Current'!$AE$15:$AE$104,$A91))-(SUMIFS('Payment Breakdown Prior'!$Z$15:$Z$104,'Payment Breakdown Prior'!$AE$15:$AE$104,$A91))</f>
        <v>0</v>
      </c>
      <c r="AE91" s="0" t="n">
        <f aca="false">(SUMIFS('Payment Breakdown Current'!$AA$15:$AA$104,'Payment Breakdown Current'!$AE$15:$AE$104,$A91))-(SUMIFS('Payment Breakdown Prior'!$AA$15:$AA$104,'Payment Breakdown Prior'!$AE$15:$AE$104,$A91))</f>
        <v>0</v>
      </c>
      <c r="AF91" s="0" t="n">
        <f aca="false">(SUMIFS('Payment Breakdown Current'!$AB$15:$AB$104,'Payment Breakdown Current'!$AE$15:$AE$104,$A91))-(SUMIFS('Payment Breakdown Prior'!$AB$15:$AB$104,'Payment Breakdown Prior'!$AE$15:$AE$104,$A91))</f>
        <v>0</v>
      </c>
      <c r="AG91" s="0" t="n">
        <f aca="false">(SUMIFS('Payment Breakdown Current'!$AC$15:$AC$104,'Payment Breakdown Current'!$AE$15:$AE$104,$A91))-(SUMIFS('Payment Breakdown Prior'!$AC$15:$AC$104,'Payment Breakdown Prior'!$AE$15:$AE$104,$A91))</f>
        <v>0</v>
      </c>
      <c r="AH91" s="0" t="n">
        <f aca="false">(SUMIFS('Payment Breakdown Current'!$AD$15:$AD$104,'Payment Breakdown Current'!$AE$15:$AE$104,$A91))-(SUMIFS('Payment Breakdown Prior'!$AD$15:$AD$104,'Payment Breakdown Prior'!$AE$15:$AE$104,$A91))</f>
        <v>0</v>
      </c>
      <c r="AI91" s="0" t="n">
        <f aca="false">MAX(ABS(W91),ABS(X91),ABS(Y91),ABS(Z91),ABS(AA91),ABS(AB91),ABS(AC91),ABS(AD91),ABS(AE91),ABS(AF91),ABS(AG91),ABS(AH91))</f>
        <v>0</v>
      </c>
      <c r="AJ91" s="0" t="str">
        <f aca="false">IF(AI91&lt;0.005,"",IF(ABS(W91)=AI91,W$1,IF(ABS(X91)=AI91,X$1,IF(ABS(Y91)=AI91,Y$1,IF(ABS(Z91)=AI91,Z$1,IF(ABS(AA91)=AI91,AA$1,IF(ABS(AB91)=AI91,AB$1,IF(ABS(AC91)=AI91,AC$1,IF(ABS(AD91)=AI91,AD$1,IF(ABS(AE91)=AI91,AE$1,IF(ABS(AF91)=AI91,AF$1,IF(ABS(AG91)=AI91,AG$1,IF(ABS(AH91)=AI91,AH$1,"")))))))))))))</f>
        <v/>
      </c>
      <c r="AK91" s="0" t="str">
        <f aca="false">IF(AI91&lt;0.005,"",IF(ABS(W91)=AI91,W91,IF(ABS(X91)=AI91,X91,IF(ABS(Y91)=AI91,Y91,IF(ABS(Z91)=AI91,Z91,IF(ABS(AA91)=AI91,AA91,IF(ABS(AB91)=AI91,AB91,IF(ABS(AC91)=AI91,AC91,IF(ABS(AD91)=AI91,AD91,IF(ABS(AE91)=AI91,AE91,IF(ABS(AF91)=AI91,AF91,IF(ABS(AG91)=AI91,AG91,IF(ABS(AH91)=AI91,AH91,"")))))))))))))</f>
        <v/>
      </c>
      <c r="AL91" s="0" t="str">
        <f aca="false">IF(R91=1,ABS(L91)-ROW()/100000000,"")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15D"/>
    <pageSetUpPr fitToPage="false"/>
  </sheetPr>
  <dimension ref="A1:L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5" min="3" style="0" width="15"/>
    <col collapsed="false" customWidth="true" hidden="false" outlineLevel="0" max="8" min="6" style="0" width="12"/>
    <col collapsed="false" customWidth="true" hidden="false" outlineLevel="0" max="9" min="9" style="0" width="22"/>
    <col collapsed="false" customWidth="true" hidden="tru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3" t="s">
        <v>79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2"/>
      <c r="B5" s="4" t="s">
        <v>80</v>
      </c>
      <c r="C5" s="2"/>
      <c r="D5" s="15" t="n">
        <f aca="false">COUNTIF(_Helpers!$F$2:$F$91,1)</f>
        <v>56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2"/>
      <c r="B6" s="4" t="s">
        <v>81</v>
      </c>
      <c r="C6" s="2"/>
      <c r="D6" s="15" t="n">
        <f aca="false">SUMPRODUCT((_Helpers!$F$2:$F$91=1)*(_Helpers!$P$2:$P$91&lt;&gt;"OK")*(_Helpers!$P$2:$P$91&lt;&gt;""))</f>
        <v>18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2"/>
      <c r="B7" s="4" t="s">
        <v>82</v>
      </c>
      <c r="C7" s="2"/>
      <c r="D7" s="15" t="n">
        <f aca="false">SUMPRODUCT((_Helpers!$F$2:$F$91=1)*(LEFT(_Helpers!$P$2:$P$91,9)="Explained"))</f>
        <v>12</v>
      </c>
      <c r="E7" s="2"/>
      <c r="F7" s="2"/>
      <c r="G7" s="2"/>
      <c r="H7" s="2"/>
      <c r="I7" s="2"/>
      <c r="J7" s="2"/>
      <c r="K7" s="2"/>
      <c r="L7" s="2"/>
    </row>
    <row r="8" customFormat="false" ht="15" hidden="false" customHeight="false" outlineLevel="0" collapsed="false">
      <c r="A8" s="2"/>
      <c r="B8" s="4" t="s">
        <v>83</v>
      </c>
      <c r="C8" s="2"/>
      <c r="D8" s="15" t="n">
        <f aca="false">COUNTIF(_Helpers!$E$2:$E$91,1)</f>
        <v>4</v>
      </c>
      <c r="E8" s="2"/>
      <c r="F8" s="2"/>
      <c r="G8" s="2"/>
      <c r="H8" s="2"/>
      <c r="I8" s="2"/>
      <c r="J8" s="2"/>
      <c r="K8" s="2"/>
      <c r="L8" s="2"/>
    </row>
    <row r="9" customFormat="false" ht="15" hidden="false" customHeight="false" outlineLevel="0" collapsed="false">
      <c r="A9" s="2"/>
      <c r="B9" s="4" t="s">
        <v>84</v>
      </c>
      <c r="C9" s="2"/>
      <c r="D9" s="15" t="n">
        <f aca="false">COUNTIF(_Helpers!$R$2:$R$91,1)</f>
        <v>9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2"/>
      <c r="B12" s="3" t="s">
        <v>85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21.75" hidden="false" customHeight="true" outlineLevel="0" collapsed="false">
      <c r="A13" s="2"/>
      <c r="B13" s="16" t="s">
        <v>86</v>
      </c>
      <c r="C13" s="16" t="s">
        <v>87</v>
      </c>
      <c r="D13" s="16" t="s">
        <v>43</v>
      </c>
      <c r="E13" s="16" t="s">
        <v>88</v>
      </c>
      <c r="F13" s="16" t="s">
        <v>89</v>
      </c>
      <c r="G13" s="16" t="s">
        <v>90</v>
      </c>
      <c r="H13" s="16" t="s">
        <v>91</v>
      </c>
      <c r="I13" s="16" t="s">
        <v>55</v>
      </c>
      <c r="J13" s="16" t="s">
        <v>58</v>
      </c>
      <c r="K13" s="16" t="s">
        <v>92</v>
      </c>
      <c r="L13" s="2"/>
    </row>
    <row r="14" customFormat="false" ht="15" hidden="false" customHeight="false" outlineLevel="0" collapsed="false">
      <c r="A14" s="2"/>
      <c r="B14" s="2" t="n">
        <v>1</v>
      </c>
      <c r="C14" s="11" t="str">
        <f aca="false">IF($J14="","",INDEX(_Helpers!$A$2:$A$91,$J14-2+1))</f>
        <v>P73092</v>
      </c>
      <c r="D14" s="11" t="str">
        <f aca="false">IF($J14="","",INDEX(_Helpers!$D$2:$D$91,$J14-2+1))</f>
        <v>Kings Road Dental Practice</v>
      </c>
      <c r="E14" s="17" t="str">
        <f aca="false">IF($J14="","",INDEX(_Helpers!$B$2:$B$91,$J14-2+1))</f>
        <v/>
      </c>
      <c r="F14" s="17" t="n">
        <f aca="false">IF($J14="","",INDEX(_Helpers!$C$2:$C$91,$J14-2+1))</f>
        <v>2515.59</v>
      </c>
      <c r="G14" s="17" t="n">
        <f aca="false">IF($J14="","",INDEX(_Helpers!$L$2:$L$91,$J14-2+1))</f>
        <v>2515.59</v>
      </c>
      <c r="H14" s="18" t="str">
        <f aca="false">IF($J14="","",INDEX(_Helpers!$M$2:$M$91,$J14-2+1))</f>
        <v/>
      </c>
      <c r="I14" s="11" t="str">
        <f aca="false">IF($J14="","",INDEX(_Helpers!$P$2:$P$91,$J14-2+1))</f>
        <v>Explained: Starter</v>
      </c>
      <c r="J14" s="19" t="n">
        <f aca="false">IFERROR(MATCH(IFERROR(LARGE(_Helpers!$AL$2:$AL$91,1),""),_Helpers!$AL$2:$AL$91,0)+1,"")</f>
        <v>44</v>
      </c>
      <c r="K14" s="11" t="str">
        <f aca="false">IF($J14="","",INDEX(_Helpers!$S$2:$S$91,$J14-2+1))</f>
        <v>High</v>
      </c>
      <c r="L14" s="11" t="str">
        <f aca="false">IF($J14="","",INDEX(_Helpers!$AJ$2:$AJ$91,$J14-2+1))</f>
        <v>Basic Salary</v>
      </c>
    </row>
    <row r="15" customFormat="false" ht="15" hidden="false" customHeight="false" outlineLevel="0" collapsed="false">
      <c r="A15" s="2"/>
      <c r="B15" s="2" t="n">
        <v>2</v>
      </c>
      <c r="C15" s="11" t="str">
        <f aca="false">IF($J15="","",INDEX(_Helpers!$A$2:$A$91,$J15-2+1))</f>
        <v>P84847</v>
      </c>
      <c r="D15" s="11" t="str">
        <f aca="false">IF($J15="","",INDEX(_Helpers!$D$2:$D$91,$J15-2+1))</f>
        <v>Kings Road Dental Practice</v>
      </c>
      <c r="E15" s="17" t="n">
        <f aca="false">IF($J15="","",INDEX(_Helpers!$B$2:$B$91,$J15-2+1))</f>
        <v>2722.62</v>
      </c>
      <c r="F15" s="17" t="n">
        <f aca="false">IF($J15="","",INDEX(_Helpers!$C$2:$C$91,$J15-2+1))</f>
        <v>4968.78</v>
      </c>
      <c r="G15" s="17" t="n">
        <f aca="false">IF($J15="","",INDEX(_Helpers!$L$2:$L$91,$J15-2+1))</f>
        <v>2246.16</v>
      </c>
      <c r="H15" s="18" t="n">
        <f aca="false">IF($J15="","",INDEX(_Helpers!$M$2:$M$91,$J15-2+1))</f>
        <v>0.824999449060097</v>
      </c>
      <c r="I15" s="11" t="str">
        <f aca="false">IF($J15="","",INDEX(_Helpers!$P$2:$P$91,$J15-2+1))</f>
        <v>Review required</v>
      </c>
      <c r="J15" s="19" t="n">
        <f aca="false">IFERROR(MATCH(IFERROR(LARGE(_Helpers!$AL$2:$AL$91,2),""),_Helpers!$AL$2:$AL$91,0)+1,"")</f>
        <v>36</v>
      </c>
      <c r="K15" s="11" t="str">
        <f aca="false">IF($J15="","",INDEX(_Helpers!$S$2:$S$91,$J15-2+1))</f>
        <v>High</v>
      </c>
      <c r="L15" s="11" t="str">
        <f aca="false">IF($J15="","",INDEX(_Helpers!$AJ$2:$AJ$91,$J15-2+1))</f>
        <v>Mileage Expenses</v>
      </c>
    </row>
    <row r="16" customFormat="false" ht="15" hidden="false" customHeight="false" outlineLevel="0" collapsed="false">
      <c r="A16" s="2"/>
      <c r="B16" s="2" t="n">
        <v>3</v>
      </c>
      <c r="C16" s="11" t="str">
        <f aca="false">IF($J16="","",INDEX(_Helpers!$A$2:$A$91,$J16-2+1))</f>
        <v>P97538</v>
      </c>
      <c r="D16" s="11" t="str">
        <f aca="false">IF($J16="","",INDEX(_Helpers!$D$2:$D$91,$J16-2+1))</f>
        <v>Elm Park Dental Practice</v>
      </c>
      <c r="E16" s="17" t="n">
        <f aca="false">IF($J16="","",INDEX(_Helpers!$B$2:$B$91,$J16-2+1))</f>
        <v>2223.15</v>
      </c>
      <c r="F16" s="17" t="n">
        <f aca="false">IF($J16="","",INDEX(_Helpers!$C$2:$C$91,$J16-2+1))</f>
        <v>0</v>
      </c>
      <c r="G16" s="17" t="n">
        <f aca="false">IF($J16="","",INDEX(_Helpers!$L$2:$L$91,$J16-2+1))</f>
        <v>-2223.15</v>
      </c>
      <c r="H16" s="18" t="n">
        <f aca="false">IF($J16="","",INDEX(_Helpers!$M$2:$M$91,$J16-2+1))</f>
        <v>-1</v>
      </c>
      <c r="I16" s="11" t="str">
        <f aca="false">IF($J16="","",INDEX(_Helpers!$P$2:$P$91,$J16-2+1))</f>
        <v>Review required</v>
      </c>
      <c r="J16" s="19" t="n">
        <f aca="false">IFERROR(MATCH(IFERROR(LARGE(_Helpers!$AL$2:$AL$91,3),""),_Helpers!$AL$2:$AL$91,0)+1,"")</f>
        <v>61</v>
      </c>
      <c r="K16" s="11" t="str">
        <f aca="false">IF($J16="","",INDEX(_Helpers!$S$2:$S$91,$J16-2+1))</f>
        <v>High</v>
      </c>
      <c r="L16" s="11" t="str">
        <f aca="false">IF($J16="","",INDEX(_Helpers!$AJ$2:$AJ$91,$J16-2+1))</f>
        <v>Basic Salary</v>
      </c>
    </row>
    <row r="17" customFormat="false" ht="15" hidden="false" customHeight="false" outlineLevel="0" collapsed="false">
      <c r="A17" s="2"/>
      <c r="B17" s="2" t="n">
        <v>4</v>
      </c>
      <c r="C17" s="11" t="str">
        <f aca="false">IF($J17="","",INDEX(_Helpers!$A$2:$A$91,$J17-2+1))</f>
        <v>P81200</v>
      </c>
      <c r="D17" s="11" t="str">
        <f aca="false">IF($J17="","",INDEX(_Helpers!$D$2:$D$91,$J17-2+1))</f>
        <v>Kings Road Dental Practice</v>
      </c>
      <c r="E17" s="17" t="n">
        <f aca="false">IF($J17="","",INDEX(_Helpers!$B$2:$B$91,$J17-2+1))</f>
        <v>2150.55</v>
      </c>
      <c r="F17" s="17" t="n">
        <f aca="false">IF($J17="","",INDEX(_Helpers!$C$2:$C$91,$J17-2+1))</f>
        <v>0</v>
      </c>
      <c r="G17" s="17" t="n">
        <f aca="false">IF($J17="","",INDEX(_Helpers!$L$2:$L$91,$J17-2+1))</f>
        <v>-2150.55</v>
      </c>
      <c r="H17" s="18" t="n">
        <f aca="false">IF($J17="","",INDEX(_Helpers!$M$2:$M$91,$J17-2+1))</f>
        <v>-1</v>
      </c>
      <c r="I17" s="11" t="str">
        <f aca="false">IF($J17="","",INDEX(_Helpers!$P$2:$P$91,$J17-2+1))</f>
        <v>Review required</v>
      </c>
      <c r="J17" s="19" t="n">
        <f aca="false">IFERROR(MATCH(IFERROR(LARGE(_Helpers!$AL$2:$AL$91,4),""),_Helpers!$AL$2:$AL$91,0)+1,"")</f>
        <v>60</v>
      </c>
      <c r="K17" s="11" t="str">
        <f aca="false">IF($J17="","",INDEX(_Helpers!$S$2:$S$91,$J17-2+1))</f>
        <v>High</v>
      </c>
      <c r="L17" s="11" t="str">
        <f aca="false">IF($J17="","",INDEX(_Helpers!$AJ$2:$AJ$91,$J17-2+1))</f>
        <v>Basic Salary</v>
      </c>
    </row>
    <row r="18" customFormat="false" ht="15" hidden="false" customHeight="false" outlineLevel="0" collapsed="false">
      <c r="A18" s="2"/>
      <c r="B18" s="2" t="n">
        <v>5</v>
      </c>
      <c r="C18" s="11" t="str">
        <f aca="false">IF($J18="","",INDEX(_Helpers!$A$2:$A$91,$J18-2+1))</f>
        <v>P16630</v>
      </c>
      <c r="D18" s="11" t="str">
        <f aca="false">IF($J18="","",INDEX(_Helpers!$D$2:$D$91,$J18-2+1))</f>
        <v>Hakim Group Head Office</v>
      </c>
      <c r="E18" s="17" t="str">
        <f aca="false">IF($J18="","",INDEX(_Helpers!$B$2:$B$91,$J18-2+1))</f>
        <v/>
      </c>
      <c r="F18" s="17" t="n">
        <f aca="false">IF($J18="","",INDEX(_Helpers!$C$2:$C$91,$J18-2+1))</f>
        <v>1806.4</v>
      </c>
      <c r="G18" s="17" t="n">
        <f aca="false">IF($J18="","",INDEX(_Helpers!$L$2:$L$91,$J18-2+1))</f>
        <v>1806.4</v>
      </c>
      <c r="H18" s="18" t="str">
        <f aca="false">IF($J18="","",INDEX(_Helpers!$M$2:$M$91,$J18-2+1))</f>
        <v/>
      </c>
      <c r="I18" s="11" t="str">
        <f aca="false">IF($J18="","",INDEX(_Helpers!$P$2:$P$91,$J18-2+1))</f>
        <v>Explained: Starter</v>
      </c>
      <c r="J18" s="19" t="n">
        <f aca="false">IFERROR(MATCH(IFERROR(LARGE(_Helpers!$AL$2:$AL$91,5),""),_Helpers!$AL$2:$AL$91,0)+1,"")</f>
        <v>42</v>
      </c>
      <c r="K18" s="11" t="str">
        <f aca="false">IF($J18="","",INDEX(_Helpers!$S$2:$S$91,$J18-2+1))</f>
        <v>High</v>
      </c>
      <c r="L18" s="11" t="str">
        <f aca="false">IF($J18="","",INDEX(_Helpers!$AJ$2:$AJ$91,$J18-2+1))</f>
        <v>Basic Salary</v>
      </c>
    </row>
    <row r="19" customFormat="false" ht="15" hidden="false" customHeight="false" outlineLevel="0" collapsed="false">
      <c r="A19" s="2"/>
      <c r="B19" s="2" t="n">
        <v>6</v>
      </c>
      <c r="C19" s="11" t="str">
        <f aca="false">IF($J19="","",INDEX(_Helpers!$A$2:$A$91,$J19-2+1))</f>
        <v>P22224</v>
      </c>
      <c r="D19" s="11" t="str">
        <f aca="false">IF($J19="","",INDEX(_Helpers!$D$2:$D$91,$J19-2+1))</f>
        <v>Hakim Group Head Office</v>
      </c>
      <c r="E19" s="17" t="str">
        <f aca="false">IF($J19="","",INDEX(_Helpers!$B$2:$B$91,$J19-2+1))</f>
        <v/>
      </c>
      <c r="F19" s="17" t="n">
        <f aca="false">IF($J19="","",INDEX(_Helpers!$C$2:$C$91,$J19-2+1))</f>
        <v>1774.79</v>
      </c>
      <c r="G19" s="17" t="n">
        <f aca="false">IF($J19="","",INDEX(_Helpers!$L$2:$L$91,$J19-2+1))</f>
        <v>1774.79</v>
      </c>
      <c r="H19" s="18" t="str">
        <f aca="false">IF($J19="","",INDEX(_Helpers!$M$2:$M$91,$J19-2+1))</f>
        <v/>
      </c>
      <c r="I19" s="11" t="str">
        <f aca="false">IF($J19="","",INDEX(_Helpers!$P$2:$P$91,$J19-2+1))</f>
        <v>Explained: Starter</v>
      </c>
      <c r="J19" s="19" t="n">
        <f aca="false">IFERROR(MATCH(IFERROR(LARGE(_Helpers!$AL$2:$AL$91,6),""),_Helpers!$AL$2:$AL$91,0)+1,"")</f>
        <v>43</v>
      </c>
      <c r="K19" s="11" t="str">
        <f aca="false">IF($J19="","",INDEX(_Helpers!$S$2:$S$91,$J19-2+1))</f>
        <v>High</v>
      </c>
      <c r="L19" s="11" t="str">
        <f aca="false">IF($J19="","",INDEX(_Helpers!$AJ$2:$AJ$91,$J19-2+1))</f>
        <v>Basic Salary</v>
      </c>
    </row>
    <row r="20" customFormat="false" ht="15" hidden="false" customHeight="false" outlineLevel="0" collapsed="false">
      <c r="A20" s="2"/>
      <c r="B20" s="2" t="n">
        <v>7</v>
      </c>
      <c r="C20" s="11" t="str">
        <f aca="false">IF($J20="","",INDEX(_Helpers!$A$2:$A$91,$J20-2+1))</f>
        <v>P94696</v>
      </c>
      <c r="D20" s="11" t="str">
        <f aca="false">IF($J20="","",INDEX(_Helpers!$D$2:$D$91,$J20-2+1))</f>
        <v>Oakfield Dental Practice</v>
      </c>
      <c r="E20" s="17" t="n">
        <f aca="false">IF($J20="","",INDEX(_Helpers!$B$2:$B$91,$J20-2+1))</f>
        <v>2408.04</v>
      </c>
      <c r="F20" s="17" t="n">
        <f aca="false">IF($J20="","",INDEX(_Helpers!$C$2:$C$91,$J20-2+1))</f>
        <v>3491.66</v>
      </c>
      <c r="G20" s="17" t="n">
        <f aca="false">IF($J20="","",INDEX(_Helpers!$L$2:$L$91,$J20-2+1))</f>
        <v>1083.62</v>
      </c>
      <c r="H20" s="18" t="n">
        <f aca="false">IF($J20="","",INDEX(_Helpers!$M$2:$M$91,$J20-2+1))</f>
        <v>0.450000830550988</v>
      </c>
      <c r="I20" s="11" t="str">
        <f aca="false">IF($J20="","",INDEX(_Helpers!$P$2:$P$91,$J20-2+1))</f>
        <v>Review required</v>
      </c>
      <c r="J20" s="19" t="n">
        <f aca="false">IFERROR(MATCH(IFERROR(LARGE(_Helpers!$AL$2:$AL$91,7),""),_Helpers!$AL$2:$AL$91,0)+1,"")</f>
        <v>39</v>
      </c>
      <c r="K20" s="11" t="str">
        <f aca="false">IF($J20="","",INDEX(_Helpers!$S$2:$S$91,$J20-2+1))</f>
        <v>Medium</v>
      </c>
      <c r="L20" s="11" t="str">
        <f aca="false">IF($J20="","",INDEX(_Helpers!$AJ$2:$AJ$91,$J20-2+1))</f>
        <v>On Call Allowance</v>
      </c>
    </row>
    <row r="21" customFormat="false" ht="15" hidden="false" customHeight="false" outlineLevel="0" collapsed="false">
      <c r="A21" s="2"/>
      <c r="B21" s="2" t="n">
        <v>8</v>
      </c>
      <c r="C21" s="11" t="str">
        <f aca="false">IF($J21="","",INDEX(_Helpers!$A$2:$A$91,$J21-2+1))</f>
        <v>P56438</v>
      </c>
      <c r="D21" s="11" t="str">
        <f aca="false">IF($J21="","",INDEX(_Helpers!$D$2:$D$91,$J21-2+1))</f>
        <v>Oakfield Dental Practice</v>
      </c>
      <c r="E21" s="17" t="n">
        <f aca="false">IF($J21="","",INDEX(_Helpers!$B$2:$B$91,$J21-2+1))</f>
        <v>2390.78</v>
      </c>
      <c r="F21" s="17" t="n">
        <f aca="false">IF($J21="","",INDEX(_Helpers!$C$2:$C$91,$J21-2+1))</f>
        <v>3018.36</v>
      </c>
      <c r="G21" s="17" t="n">
        <f aca="false">IF($J21="","",INDEX(_Helpers!$L$2:$L$91,$J21-2+1))</f>
        <v>627.58</v>
      </c>
      <c r="H21" s="18" t="n">
        <f aca="false">IF($J21="","",INDEX(_Helpers!$M$2:$M$91,$J21-2+1))</f>
        <v>0.262500104568383</v>
      </c>
      <c r="I21" s="11" t="str">
        <f aca="false">IF($J21="","",INDEX(_Helpers!$P$2:$P$91,$J21-2+1))</f>
        <v>Review required</v>
      </c>
      <c r="J21" s="19" t="n">
        <f aca="false">IFERROR(MATCH(IFERROR(LARGE(_Helpers!$AL$2:$AL$91,8),""),_Helpers!$AL$2:$AL$91,0)+1,"")</f>
        <v>38</v>
      </c>
      <c r="K21" s="11" t="str">
        <f aca="false">IF($J21="","",INDEX(_Helpers!$S$2:$S$91,$J21-2+1))</f>
        <v>Medium</v>
      </c>
      <c r="L21" s="11" t="str">
        <f aca="false">IF($J21="","",INDEX(_Helpers!$AJ$2:$AJ$91,$J21-2+1))</f>
        <v>Unsocial Hours Premium</v>
      </c>
    </row>
    <row r="22" customFormat="false" ht="15" hidden="false" customHeight="false" outlineLevel="0" collapsed="false">
      <c r="A22" s="2"/>
      <c r="B22" s="2" t="n">
        <v>9</v>
      </c>
      <c r="C22" s="11" t="str">
        <f aca="false">IF($J22="","",INDEX(_Helpers!$A$2:$A$91,$J22-2+1))</f>
        <v>P73624</v>
      </c>
      <c r="D22" s="11" t="str">
        <f aca="false">IF($J22="","",INDEX(_Helpers!$D$2:$D$91,$J22-2+1))</f>
        <v>Hakim Group Head Office</v>
      </c>
      <c r="E22" s="17" t="n">
        <f aca="false">IF($J22="","",INDEX(_Helpers!$B$2:$B$91,$J22-2+1))</f>
        <v>1934.17</v>
      </c>
      <c r="F22" s="17" t="n">
        <f aca="false">IF($J22="","",INDEX(_Helpers!$C$2:$C$91,$J22-2+1))</f>
        <v>1680.31</v>
      </c>
      <c r="G22" s="17" t="n">
        <f aca="false">IF($J22="","",INDEX(_Helpers!$L$2:$L$91,$J22-2+1))</f>
        <v>-253.86</v>
      </c>
      <c r="H22" s="18" t="n">
        <f aca="false">IF($J22="","",INDEX(_Helpers!$M$2:$M$91,$J22-2+1))</f>
        <v>-0.131250096940807</v>
      </c>
      <c r="I22" s="11" t="str">
        <f aca="false">IF($J22="","",INDEX(_Helpers!$P$2:$P$91,$J22-2+1))</f>
        <v>Review required</v>
      </c>
      <c r="J22" s="19" t="n">
        <f aca="false">IFERROR(MATCH(IFERROR(LARGE(_Helpers!$AL$2:$AL$91,9),""),_Helpers!$AL$2:$AL$91,0)+1,"")</f>
        <v>35</v>
      </c>
      <c r="K22" s="11" t="str">
        <f aca="false">IF($J22="","",INDEX(_Helpers!$S$2:$S$91,$J22-2+1))</f>
        <v>Low</v>
      </c>
      <c r="L22" s="11" t="str">
        <f aca="false">IF($J22="","",INDEX(_Helpers!$AJ$2:$AJ$91,$J22-2+1))</f>
        <v>Basic Salary</v>
      </c>
    </row>
    <row r="23" customFormat="false" ht="15" hidden="false" customHeight="false" outlineLevel="0" collapsed="false">
      <c r="A23" s="2"/>
      <c r="B23" s="2" t="n">
        <v>10</v>
      </c>
      <c r="C23" s="11" t="str">
        <f aca="false">IF($J23="","",INDEX(_Helpers!$A$2:$A$91,$J23-2+1))</f>
        <v>P23434</v>
      </c>
      <c r="D23" s="11" t="str">
        <f aca="false">IF($J23="","",INDEX(_Helpers!$D$2:$D$91,$J23-2+1))</f>
        <v>Riverside Dental Practice</v>
      </c>
      <c r="E23" s="17" t="n">
        <f aca="false">IF($J23="","",INDEX(_Helpers!$B$2:$B$91,$J23-2+1))</f>
        <v>1840.81</v>
      </c>
      <c r="F23" s="17" t="n">
        <f aca="false">IF($J23="","",INDEX(_Helpers!$C$2:$C$91,$J23-2+1))</f>
        <v>1625.82</v>
      </c>
      <c r="G23" s="17" t="n">
        <f aca="false">IF($J23="","",INDEX(_Helpers!$L$2:$L$91,$J23-2+1))</f>
        <v>-214.99</v>
      </c>
      <c r="H23" s="18" t="n">
        <f aca="false">IF($J23="","",INDEX(_Helpers!$M$2:$M$91,$J23-2+1))</f>
        <v>-0.116790977884736</v>
      </c>
      <c r="I23" s="11" t="str">
        <f aca="false">IF($J23="","",INDEX(_Helpers!$P$2:$P$91,$J23-2+1))</f>
        <v>OK</v>
      </c>
      <c r="J23" s="19" t="n">
        <f aca="false">IFERROR(MATCH(IFERROR(LARGE(_Helpers!$AL$2:$AL$91,10),""),_Helpers!$AL$2:$AL$91,0)+1,"")</f>
        <v>2</v>
      </c>
      <c r="K23" s="11" t="str">
        <f aca="false">IF($J23="","",INDEX(_Helpers!$S$2:$S$91,$J23-2+1))</f>
        <v/>
      </c>
      <c r="L23" s="11" t="str">
        <f aca="false">IF($J23="","",INDEX(_Helpers!$AJ$2:$AJ$91,$J23-2+1))</f>
        <v>Basic Salary</v>
      </c>
    </row>
    <row r="24" customFormat="false" ht="15" hidden="false" customHeight="false" outlineLevel="0" collapsed="false">
      <c r="A24" s="2"/>
      <c r="B24" s="2" t="n">
        <v>11</v>
      </c>
      <c r="C24" s="11" t="str">
        <f aca="false">IF($J24="","",INDEX(_Helpers!$A$2:$A$91,$J24-2+1))</f>
        <v>P23434</v>
      </c>
      <c r="D24" s="11" t="str">
        <f aca="false">IF($J24="","",INDEX(_Helpers!$D$2:$D$91,$J24-2+1))</f>
        <v>Riverside Dental Practice</v>
      </c>
      <c r="E24" s="17" t="n">
        <f aca="false">IF($J24="","",INDEX(_Helpers!$B$2:$B$91,$J24-2+1))</f>
        <v>1840.81</v>
      </c>
      <c r="F24" s="17" t="n">
        <f aca="false">IF($J24="","",INDEX(_Helpers!$C$2:$C$91,$J24-2+1))</f>
        <v>1625.82</v>
      </c>
      <c r="G24" s="17" t="n">
        <f aca="false">IF($J24="","",INDEX(_Helpers!$L$2:$L$91,$J24-2+1))</f>
        <v>-214.99</v>
      </c>
      <c r="H24" s="18" t="n">
        <f aca="false">IF($J24="","",INDEX(_Helpers!$M$2:$M$91,$J24-2+1))</f>
        <v>-0.116790977884736</v>
      </c>
      <c r="I24" s="11" t="str">
        <f aca="false">IF($J24="","",INDEX(_Helpers!$P$2:$P$91,$J24-2+1))</f>
        <v>OK</v>
      </c>
      <c r="J24" s="19" t="n">
        <f aca="false">IFERROR(MATCH(IFERROR(LARGE(_Helpers!$AL$2:$AL$91,11),""),_Helpers!$AL$2:$AL$91,0)+1,"")</f>
        <v>2</v>
      </c>
      <c r="K24" s="11" t="str">
        <f aca="false">IF($J24="","",INDEX(_Helpers!$S$2:$S$91,$J24-2+1))</f>
        <v/>
      </c>
      <c r="L24" s="11" t="str">
        <f aca="false">IF($J24="","",INDEX(_Helpers!$AJ$2:$AJ$91,$J24-2+1))</f>
        <v>Basic Salary</v>
      </c>
    </row>
    <row r="25" customFormat="false" ht="15" hidden="false" customHeight="false" outlineLevel="0" collapsed="false">
      <c r="A25" s="2"/>
      <c r="B25" s="2" t="n">
        <v>12</v>
      </c>
      <c r="C25" s="11" t="str">
        <f aca="false">IF($J25="","",INDEX(_Helpers!$A$2:$A$91,$J25-2+1))</f>
        <v>P23434</v>
      </c>
      <c r="D25" s="11" t="str">
        <f aca="false">IF($J25="","",INDEX(_Helpers!$D$2:$D$91,$J25-2+1))</f>
        <v>Riverside Dental Practice</v>
      </c>
      <c r="E25" s="17" t="n">
        <f aca="false">IF($J25="","",INDEX(_Helpers!$B$2:$B$91,$J25-2+1))</f>
        <v>1840.81</v>
      </c>
      <c r="F25" s="17" t="n">
        <f aca="false">IF($J25="","",INDEX(_Helpers!$C$2:$C$91,$J25-2+1))</f>
        <v>1625.82</v>
      </c>
      <c r="G25" s="17" t="n">
        <f aca="false">IF($J25="","",INDEX(_Helpers!$L$2:$L$91,$J25-2+1))</f>
        <v>-214.99</v>
      </c>
      <c r="H25" s="18" t="n">
        <f aca="false">IF($J25="","",INDEX(_Helpers!$M$2:$M$91,$J25-2+1))</f>
        <v>-0.116790977884736</v>
      </c>
      <c r="I25" s="11" t="str">
        <f aca="false">IF($J25="","",INDEX(_Helpers!$P$2:$P$91,$J25-2+1))</f>
        <v>OK</v>
      </c>
      <c r="J25" s="19" t="n">
        <f aca="false">IFERROR(MATCH(IFERROR(LARGE(_Helpers!$AL$2:$AL$91,12),""),_Helpers!$AL$2:$AL$91,0)+1,"")</f>
        <v>2</v>
      </c>
      <c r="K25" s="11" t="str">
        <f aca="false">IF($J25="","",INDEX(_Helpers!$S$2:$S$91,$J25-2+1))</f>
        <v/>
      </c>
      <c r="L25" s="11" t="str">
        <f aca="false">IF($J25="","",INDEX(_Helpers!$AJ$2:$AJ$91,$J25-2+1))</f>
        <v>Basic Salary</v>
      </c>
    </row>
    <row r="26" customFormat="false" ht="15" hidden="false" customHeight="false" outlineLevel="0" collapsed="false">
      <c r="A26" s="2"/>
      <c r="B26" s="2" t="n">
        <v>13</v>
      </c>
      <c r="C26" s="11" t="str">
        <f aca="false">IF($J26="","",INDEX(_Helpers!$A$2:$A$91,$J26-2+1))</f>
        <v>P23434</v>
      </c>
      <c r="D26" s="11" t="str">
        <f aca="false">IF($J26="","",INDEX(_Helpers!$D$2:$D$91,$J26-2+1))</f>
        <v>Riverside Dental Practice</v>
      </c>
      <c r="E26" s="17" t="n">
        <f aca="false">IF($J26="","",INDEX(_Helpers!$B$2:$B$91,$J26-2+1))</f>
        <v>1840.81</v>
      </c>
      <c r="F26" s="17" t="n">
        <f aca="false">IF($J26="","",INDEX(_Helpers!$C$2:$C$91,$J26-2+1))</f>
        <v>1625.82</v>
      </c>
      <c r="G26" s="17" t="n">
        <f aca="false">IF($J26="","",INDEX(_Helpers!$L$2:$L$91,$J26-2+1))</f>
        <v>-214.99</v>
      </c>
      <c r="H26" s="18" t="n">
        <f aca="false">IF($J26="","",INDEX(_Helpers!$M$2:$M$91,$J26-2+1))</f>
        <v>-0.116790977884736</v>
      </c>
      <c r="I26" s="11" t="str">
        <f aca="false">IF($J26="","",INDEX(_Helpers!$P$2:$P$91,$J26-2+1))</f>
        <v>OK</v>
      </c>
      <c r="J26" s="19" t="n">
        <f aca="false">IFERROR(MATCH(IFERROR(LARGE(_Helpers!$AL$2:$AL$91,13),""),_Helpers!$AL$2:$AL$91,0)+1,"")</f>
        <v>2</v>
      </c>
      <c r="K26" s="11" t="str">
        <f aca="false">IF($J26="","",INDEX(_Helpers!$S$2:$S$91,$J26-2+1))</f>
        <v/>
      </c>
      <c r="L26" s="11" t="str">
        <f aca="false">IF($J26="","",INDEX(_Helpers!$AJ$2:$AJ$91,$J26-2+1))</f>
        <v>Basic Salary</v>
      </c>
    </row>
    <row r="27" customFormat="false" ht="15" hidden="false" customHeight="false" outlineLevel="0" collapsed="false">
      <c r="A27" s="2"/>
      <c r="B27" s="2" t="n">
        <v>14</v>
      </c>
      <c r="C27" s="11" t="str">
        <f aca="false">IF($J27="","",INDEX(_Helpers!$A$2:$A$91,$J27-2+1))</f>
        <v>P23434</v>
      </c>
      <c r="D27" s="11" t="str">
        <f aca="false">IF($J27="","",INDEX(_Helpers!$D$2:$D$91,$J27-2+1))</f>
        <v>Riverside Dental Practice</v>
      </c>
      <c r="E27" s="17" t="n">
        <f aca="false">IF($J27="","",INDEX(_Helpers!$B$2:$B$91,$J27-2+1))</f>
        <v>1840.81</v>
      </c>
      <c r="F27" s="17" t="n">
        <f aca="false">IF($J27="","",INDEX(_Helpers!$C$2:$C$91,$J27-2+1))</f>
        <v>1625.82</v>
      </c>
      <c r="G27" s="17" t="n">
        <f aca="false">IF($J27="","",INDEX(_Helpers!$L$2:$L$91,$J27-2+1))</f>
        <v>-214.99</v>
      </c>
      <c r="H27" s="18" t="n">
        <f aca="false">IF($J27="","",INDEX(_Helpers!$M$2:$M$91,$J27-2+1))</f>
        <v>-0.116790977884736</v>
      </c>
      <c r="I27" s="11" t="str">
        <f aca="false">IF($J27="","",INDEX(_Helpers!$P$2:$P$91,$J27-2+1))</f>
        <v>OK</v>
      </c>
      <c r="J27" s="19" t="n">
        <f aca="false">IFERROR(MATCH(IFERROR(LARGE(_Helpers!$AL$2:$AL$91,14),""),_Helpers!$AL$2:$AL$91,0)+1,"")</f>
        <v>2</v>
      </c>
      <c r="K27" s="11" t="str">
        <f aca="false">IF($J27="","",INDEX(_Helpers!$S$2:$S$91,$J27-2+1))</f>
        <v/>
      </c>
      <c r="L27" s="11" t="str">
        <f aca="false">IF($J27="","",INDEX(_Helpers!$AJ$2:$AJ$91,$J27-2+1))</f>
        <v>Basic Salary</v>
      </c>
    </row>
    <row r="28" customFormat="false" ht="15" hidden="false" customHeight="false" outlineLevel="0" collapsed="false">
      <c r="A28" s="2"/>
      <c r="B28" s="2" t="n">
        <v>15</v>
      </c>
      <c r="C28" s="11" t="str">
        <f aca="false">IF($J28="","",INDEX(_Helpers!$A$2:$A$91,$J28-2+1))</f>
        <v>P23434</v>
      </c>
      <c r="D28" s="11" t="str">
        <f aca="false">IF($J28="","",INDEX(_Helpers!$D$2:$D$91,$J28-2+1))</f>
        <v>Riverside Dental Practice</v>
      </c>
      <c r="E28" s="17" t="n">
        <f aca="false">IF($J28="","",INDEX(_Helpers!$B$2:$B$91,$J28-2+1))</f>
        <v>1840.81</v>
      </c>
      <c r="F28" s="17" t="n">
        <f aca="false">IF($J28="","",INDEX(_Helpers!$C$2:$C$91,$J28-2+1))</f>
        <v>1625.82</v>
      </c>
      <c r="G28" s="17" t="n">
        <f aca="false">IF($J28="","",INDEX(_Helpers!$L$2:$L$91,$J28-2+1))</f>
        <v>-214.99</v>
      </c>
      <c r="H28" s="18" t="n">
        <f aca="false">IF($J28="","",INDEX(_Helpers!$M$2:$M$91,$J28-2+1))</f>
        <v>-0.116790977884736</v>
      </c>
      <c r="I28" s="11" t="str">
        <f aca="false">IF($J28="","",INDEX(_Helpers!$P$2:$P$91,$J28-2+1))</f>
        <v>OK</v>
      </c>
      <c r="J28" s="19" t="n">
        <f aca="false">IFERROR(MATCH(IFERROR(LARGE(_Helpers!$AL$2:$AL$91,15),""),_Helpers!$AL$2:$AL$91,0)+1,"")</f>
        <v>2</v>
      </c>
      <c r="K28" s="11" t="str">
        <f aca="false">IF($J28="","",INDEX(_Helpers!$S$2:$S$91,$J28-2+1))</f>
        <v/>
      </c>
      <c r="L28" s="11" t="str">
        <f aca="false">IF($J28="","",INDEX(_Helpers!$AJ$2:$AJ$91,$J28-2+1))</f>
        <v>Basic Salary</v>
      </c>
    </row>
    <row r="29" customFormat="false" ht="15" hidden="false" customHeight="false" outlineLevel="0" collapsed="false">
      <c r="A29" s="2"/>
      <c r="B29" s="2" t="n">
        <v>16</v>
      </c>
      <c r="C29" s="11" t="str">
        <f aca="false">IF($J29="","",INDEX(_Helpers!$A$2:$A$91,$J29-2+1))</f>
        <v>P23434</v>
      </c>
      <c r="D29" s="11" t="str">
        <f aca="false">IF($J29="","",INDEX(_Helpers!$D$2:$D$91,$J29-2+1))</f>
        <v>Riverside Dental Practice</v>
      </c>
      <c r="E29" s="17" t="n">
        <f aca="false">IF($J29="","",INDEX(_Helpers!$B$2:$B$91,$J29-2+1))</f>
        <v>1840.81</v>
      </c>
      <c r="F29" s="17" t="n">
        <f aca="false">IF($J29="","",INDEX(_Helpers!$C$2:$C$91,$J29-2+1))</f>
        <v>1625.82</v>
      </c>
      <c r="G29" s="17" t="n">
        <f aca="false">IF($J29="","",INDEX(_Helpers!$L$2:$L$91,$J29-2+1))</f>
        <v>-214.99</v>
      </c>
      <c r="H29" s="18" t="n">
        <f aca="false">IF($J29="","",INDEX(_Helpers!$M$2:$M$91,$J29-2+1))</f>
        <v>-0.116790977884736</v>
      </c>
      <c r="I29" s="11" t="str">
        <f aca="false">IF($J29="","",INDEX(_Helpers!$P$2:$P$91,$J29-2+1))</f>
        <v>OK</v>
      </c>
      <c r="J29" s="19" t="n">
        <f aca="false">IFERROR(MATCH(IFERROR(LARGE(_Helpers!$AL$2:$AL$91,16),""),_Helpers!$AL$2:$AL$91,0)+1,"")</f>
        <v>2</v>
      </c>
      <c r="K29" s="11" t="str">
        <f aca="false">IF($J29="","",INDEX(_Helpers!$S$2:$S$91,$J29-2+1))</f>
        <v/>
      </c>
      <c r="L29" s="11" t="str">
        <f aca="false">IF($J29="","",INDEX(_Helpers!$AJ$2:$AJ$91,$J29-2+1))</f>
        <v>Basic Salary</v>
      </c>
    </row>
    <row r="30" customFormat="false" ht="15" hidden="false" customHeight="false" outlineLevel="0" collapsed="false">
      <c r="A30" s="2"/>
      <c r="B30" s="2" t="n">
        <v>17</v>
      </c>
      <c r="C30" s="11" t="str">
        <f aca="false">IF($J30="","",INDEX(_Helpers!$A$2:$A$91,$J30-2+1))</f>
        <v>P23434</v>
      </c>
      <c r="D30" s="11" t="str">
        <f aca="false">IF($J30="","",INDEX(_Helpers!$D$2:$D$91,$J30-2+1))</f>
        <v>Riverside Dental Practice</v>
      </c>
      <c r="E30" s="17" t="n">
        <f aca="false">IF($J30="","",INDEX(_Helpers!$B$2:$B$91,$J30-2+1))</f>
        <v>1840.81</v>
      </c>
      <c r="F30" s="17" t="n">
        <f aca="false">IF($J30="","",INDEX(_Helpers!$C$2:$C$91,$J30-2+1))</f>
        <v>1625.82</v>
      </c>
      <c r="G30" s="17" t="n">
        <f aca="false">IF($J30="","",INDEX(_Helpers!$L$2:$L$91,$J30-2+1))</f>
        <v>-214.99</v>
      </c>
      <c r="H30" s="18" t="n">
        <f aca="false">IF($J30="","",INDEX(_Helpers!$M$2:$M$91,$J30-2+1))</f>
        <v>-0.116790977884736</v>
      </c>
      <c r="I30" s="11" t="str">
        <f aca="false">IF($J30="","",INDEX(_Helpers!$P$2:$P$91,$J30-2+1))</f>
        <v>OK</v>
      </c>
      <c r="J30" s="19" t="n">
        <f aca="false">IFERROR(MATCH(IFERROR(LARGE(_Helpers!$AL$2:$AL$91,17),""),_Helpers!$AL$2:$AL$91,0)+1,"")</f>
        <v>2</v>
      </c>
      <c r="K30" s="11" t="str">
        <f aca="false">IF($J30="","",INDEX(_Helpers!$S$2:$S$91,$J30-2+1))</f>
        <v/>
      </c>
      <c r="L30" s="11" t="str">
        <f aca="false">IF($J30="","",INDEX(_Helpers!$AJ$2:$AJ$91,$J30-2+1))</f>
        <v>Basic Salary</v>
      </c>
    </row>
    <row r="31" customFormat="false" ht="15" hidden="false" customHeight="false" outlineLevel="0" collapsed="false">
      <c r="A31" s="2"/>
      <c r="B31" s="2" t="n">
        <v>18</v>
      </c>
      <c r="C31" s="11" t="str">
        <f aca="false">IF($J31="","",INDEX(_Helpers!$A$2:$A$91,$J31-2+1))</f>
        <v>P23434</v>
      </c>
      <c r="D31" s="11" t="str">
        <f aca="false">IF($J31="","",INDEX(_Helpers!$D$2:$D$91,$J31-2+1))</f>
        <v>Riverside Dental Practice</v>
      </c>
      <c r="E31" s="17" t="n">
        <f aca="false">IF($J31="","",INDEX(_Helpers!$B$2:$B$91,$J31-2+1))</f>
        <v>1840.81</v>
      </c>
      <c r="F31" s="17" t="n">
        <f aca="false">IF($J31="","",INDEX(_Helpers!$C$2:$C$91,$J31-2+1))</f>
        <v>1625.82</v>
      </c>
      <c r="G31" s="17" t="n">
        <f aca="false">IF($J31="","",INDEX(_Helpers!$L$2:$L$91,$J31-2+1))</f>
        <v>-214.99</v>
      </c>
      <c r="H31" s="18" t="n">
        <f aca="false">IF($J31="","",INDEX(_Helpers!$M$2:$M$91,$J31-2+1))</f>
        <v>-0.116790977884736</v>
      </c>
      <c r="I31" s="11" t="str">
        <f aca="false">IF($J31="","",INDEX(_Helpers!$P$2:$P$91,$J31-2+1))</f>
        <v>OK</v>
      </c>
      <c r="J31" s="19" t="n">
        <f aca="false">IFERROR(MATCH(IFERROR(LARGE(_Helpers!$AL$2:$AL$91,18),""),_Helpers!$AL$2:$AL$91,0)+1,"")</f>
        <v>2</v>
      </c>
      <c r="K31" s="11" t="str">
        <f aca="false">IF($J31="","",INDEX(_Helpers!$S$2:$S$91,$J31-2+1))</f>
        <v/>
      </c>
      <c r="L31" s="11" t="str">
        <f aca="false">IF($J31="","",INDEX(_Helpers!$AJ$2:$AJ$91,$J31-2+1))</f>
        <v>Basic Salary</v>
      </c>
    </row>
    <row r="32" customFormat="false" ht="15" hidden="false" customHeight="false" outlineLevel="0" collapsed="false">
      <c r="A32" s="2"/>
      <c r="B32" s="2" t="n">
        <v>19</v>
      </c>
      <c r="C32" s="11" t="str">
        <f aca="false">IF($J32="","",INDEX(_Helpers!$A$2:$A$91,$J32-2+1))</f>
        <v>P23434</v>
      </c>
      <c r="D32" s="11" t="str">
        <f aca="false">IF($J32="","",INDEX(_Helpers!$D$2:$D$91,$J32-2+1))</f>
        <v>Riverside Dental Practice</v>
      </c>
      <c r="E32" s="17" t="n">
        <f aca="false">IF($J32="","",INDEX(_Helpers!$B$2:$B$91,$J32-2+1))</f>
        <v>1840.81</v>
      </c>
      <c r="F32" s="17" t="n">
        <f aca="false">IF($J32="","",INDEX(_Helpers!$C$2:$C$91,$J32-2+1))</f>
        <v>1625.82</v>
      </c>
      <c r="G32" s="17" t="n">
        <f aca="false">IF($J32="","",INDEX(_Helpers!$L$2:$L$91,$J32-2+1))</f>
        <v>-214.99</v>
      </c>
      <c r="H32" s="18" t="n">
        <f aca="false">IF($J32="","",INDEX(_Helpers!$M$2:$M$91,$J32-2+1))</f>
        <v>-0.116790977884736</v>
      </c>
      <c r="I32" s="11" t="str">
        <f aca="false">IF($J32="","",INDEX(_Helpers!$P$2:$P$91,$J32-2+1))</f>
        <v>OK</v>
      </c>
      <c r="J32" s="19" t="n">
        <f aca="false">IFERROR(MATCH(IFERROR(LARGE(_Helpers!$AL$2:$AL$91,19),""),_Helpers!$AL$2:$AL$91,0)+1,"")</f>
        <v>2</v>
      </c>
      <c r="K32" s="11" t="str">
        <f aca="false">IF($J32="","",INDEX(_Helpers!$S$2:$S$91,$J32-2+1))</f>
        <v/>
      </c>
      <c r="L32" s="11" t="str">
        <f aca="false">IF($J32="","",INDEX(_Helpers!$AJ$2:$AJ$91,$J32-2+1))</f>
        <v>Basic Salary</v>
      </c>
    </row>
    <row r="33" customFormat="false" ht="15" hidden="false" customHeight="false" outlineLevel="0" collapsed="false">
      <c r="A33" s="2"/>
      <c r="B33" s="2" t="n">
        <v>20</v>
      </c>
      <c r="C33" s="11" t="str">
        <f aca="false">IF($J33="","",INDEX(_Helpers!$A$2:$A$91,$J33-2+1))</f>
        <v>P23434</v>
      </c>
      <c r="D33" s="11" t="str">
        <f aca="false">IF($J33="","",INDEX(_Helpers!$D$2:$D$91,$J33-2+1))</f>
        <v>Riverside Dental Practice</v>
      </c>
      <c r="E33" s="17" t="n">
        <f aca="false">IF($J33="","",INDEX(_Helpers!$B$2:$B$91,$J33-2+1))</f>
        <v>1840.81</v>
      </c>
      <c r="F33" s="17" t="n">
        <f aca="false">IF($J33="","",INDEX(_Helpers!$C$2:$C$91,$J33-2+1))</f>
        <v>1625.82</v>
      </c>
      <c r="G33" s="17" t="n">
        <f aca="false">IF($J33="","",INDEX(_Helpers!$L$2:$L$91,$J33-2+1))</f>
        <v>-214.99</v>
      </c>
      <c r="H33" s="18" t="n">
        <f aca="false">IF($J33="","",INDEX(_Helpers!$M$2:$M$91,$J33-2+1))</f>
        <v>-0.116790977884736</v>
      </c>
      <c r="I33" s="11" t="str">
        <f aca="false">IF($J33="","",INDEX(_Helpers!$P$2:$P$91,$J33-2+1))</f>
        <v>OK</v>
      </c>
      <c r="J33" s="19" t="n">
        <f aca="false">IFERROR(MATCH(IFERROR(LARGE(_Helpers!$AL$2:$AL$91,20),""),_Helpers!$AL$2:$AL$91,0)+1,"")</f>
        <v>2</v>
      </c>
      <c r="K33" s="11" t="str">
        <f aca="false">IF($J33="","",INDEX(_Helpers!$S$2:$S$91,$J33-2+1))</f>
        <v/>
      </c>
      <c r="L33" s="11" t="str">
        <f aca="false">IF($J33="","",INDEX(_Helpers!$AJ$2:$AJ$91,$J33-2+1))</f>
        <v>Basic Salary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false" outlineLevel="0" collapsed="false">
      <c r="A36" s="2"/>
      <c r="B36" s="3" t="s">
        <v>93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21.75" hidden="false" customHeight="true" outlineLevel="0" collapsed="false">
      <c r="A37" s="2"/>
      <c r="B37" s="16" t="s">
        <v>94</v>
      </c>
      <c r="C37" s="16" t="s">
        <v>95</v>
      </c>
      <c r="D37" s="16" t="s">
        <v>96</v>
      </c>
      <c r="E37" s="16" t="s">
        <v>97</v>
      </c>
      <c r="F37" s="2"/>
      <c r="G37" s="2"/>
      <c r="H37" s="2"/>
      <c r="I37" s="2"/>
      <c r="J37" s="2"/>
      <c r="K37" s="2"/>
      <c r="L37" s="2"/>
    </row>
    <row r="38" customFormat="false" ht="15" hidden="false" customHeight="false" outlineLevel="0" collapsed="false">
      <c r="A38" s="2"/>
      <c r="B38" s="4" t="s">
        <v>98</v>
      </c>
      <c r="C38" s="20" t="n">
        <f aca="false">SUM('NPV Comparison'!$E$15:$E$104)</f>
        <v>113714.44</v>
      </c>
      <c r="D38" s="20" t="n">
        <f aca="false">SUM('NPV Comparison'!$F$15:$F$104)</f>
        <v>114467.26</v>
      </c>
      <c r="E38" s="20" t="n">
        <f aca="false">D38-C38</f>
        <v>752.819999999992</v>
      </c>
      <c r="F38" s="2"/>
      <c r="G38" s="2"/>
      <c r="H38" s="2"/>
      <c r="I38" s="2"/>
      <c r="J38" s="2"/>
      <c r="K38" s="2"/>
      <c r="L38" s="2"/>
    </row>
    <row r="39" customFormat="false" ht="15" hidden="false" customHeight="false" outlineLevel="0" collapsed="false">
      <c r="A39" s="2"/>
      <c r="B39" s="4" t="s">
        <v>99</v>
      </c>
      <c r="C39" s="20" t="n">
        <f aca="false">SUM('Payment Breakdown Prior'!$K$15:$K$104)</f>
        <v>173430.19</v>
      </c>
      <c r="D39" s="20" t="n">
        <f aca="false">SUM('Payment Breakdown Current'!$K$15:$K$104)</f>
        <v>173634.4</v>
      </c>
      <c r="E39" s="20" t="n">
        <f aca="false">D39-C39</f>
        <v>204.209999999992</v>
      </c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"/>
      <c r="B40" s="4" t="s">
        <v>100</v>
      </c>
      <c r="C40" s="20" t="n">
        <f aca="false">SUM('Payment Breakdown Prior'!$P$15:$P$104)</f>
        <v>23933.37</v>
      </c>
      <c r="D40" s="20" t="n">
        <f aca="false">SUM('Payment Breakdown Current'!$P$15:$P$104)</f>
        <v>23096.17</v>
      </c>
      <c r="E40" s="20" t="n">
        <f aca="false">D40-C40</f>
        <v>-837.200000000001</v>
      </c>
      <c r="F40" s="2"/>
      <c r="G40" s="2"/>
      <c r="H40" s="2"/>
      <c r="I40" s="2"/>
      <c r="J40" s="2"/>
      <c r="K40" s="2"/>
      <c r="L40" s="2"/>
    </row>
    <row r="41" customFormat="false" ht="15" hidden="false" customHeight="false" outlineLevel="0" collapsed="false">
      <c r="A41" s="2"/>
      <c r="B41" s="4" t="s">
        <v>101</v>
      </c>
      <c r="C41" s="20" t="n">
        <f aca="false">SUM('Payment Breakdown Prior'!$Q$15:$Q$104)</f>
        <v>8671.52</v>
      </c>
      <c r="D41" s="20" t="n">
        <f aca="false">SUM('Payment Breakdown Current'!$Q$15:$Q$104)</f>
        <v>8368.22</v>
      </c>
      <c r="E41" s="20" t="n">
        <f aca="false">D41-C41</f>
        <v>-303.300000000001</v>
      </c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4" t="s">
        <v>102</v>
      </c>
      <c r="C42" s="20" t="n">
        <f aca="false">SUM('Payment Breakdown Prior'!$R$15:$R$104)</f>
        <v>867.15</v>
      </c>
      <c r="D42" s="20" t="n">
        <f aca="false">SUM('Payment Breakdown Current'!$R$15:$R$104)</f>
        <v>836.83</v>
      </c>
      <c r="E42" s="20" t="n">
        <f aca="false">D42-C42</f>
        <v>-30.3199999999999</v>
      </c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7.75" hidden="false" customHeight="true" outlineLevel="0" collapsed="false">
      <c r="A44" s="2"/>
      <c r="B44" s="21" t="s">
        <v>103</v>
      </c>
      <c r="C44" s="21"/>
      <c r="D44" s="21"/>
      <c r="E44" s="21"/>
      <c r="F44" s="2"/>
      <c r="G44" s="2"/>
      <c r="H44" s="2"/>
      <c r="I44" s="2"/>
      <c r="J44" s="2"/>
      <c r="K44" s="2"/>
      <c r="L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false" outlineLevel="0" collapsed="false">
      <c r="A47" s="2"/>
      <c r="B47" s="3" t="s">
        <v>104</v>
      </c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5" hidden="false" customHeight="false" outlineLevel="0" collapsed="false">
      <c r="A48" s="2"/>
      <c r="B48" s="4" t="s">
        <v>105</v>
      </c>
      <c r="C48" s="2"/>
      <c r="D48" s="22" t="n">
        <f aca="false">COUNT('NPV Comparison'!$E$15:$E$104)</f>
        <v>54</v>
      </c>
      <c r="E48" s="2"/>
      <c r="F48" s="2"/>
      <c r="G48" s="2"/>
      <c r="H48" s="2"/>
      <c r="I48" s="2"/>
      <c r="J48" s="2"/>
      <c r="K48" s="2"/>
      <c r="L48" s="2"/>
    </row>
    <row r="49" customFormat="false" ht="15" hidden="false" customHeight="false" outlineLevel="0" collapsed="false">
      <c r="A49" s="2"/>
      <c r="B49" s="4" t="s">
        <v>106</v>
      </c>
      <c r="C49" s="2"/>
      <c r="D49" s="22" t="n">
        <f aca="false">COUNTA('New Starters'!$D$14:$D$73)</f>
        <v>6</v>
      </c>
      <c r="E49" s="2"/>
      <c r="F49" s="2"/>
      <c r="G49" s="2"/>
      <c r="H49" s="2"/>
      <c r="I49" s="2"/>
      <c r="J49" s="2"/>
      <c r="K49" s="2"/>
      <c r="L49" s="2"/>
    </row>
    <row r="50" customFormat="false" ht="15" hidden="false" customHeight="false" outlineLevel="0" collapsed="false">
      <c r="A50" s="2"/>
      <c r="B50" s="4" t="s">
        <v>107</v>
      </c>
      <c r="C50" s="2"/>
      <c r="D50" s="22" t="n">
        <f aca="false">COUNTA(Leavers!$D$12:$D$71)</f>
        <v>6</v>
      </c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false" outlineLevel="0" collapsed="false">
      <c r="A51" s="2"/>
      <c r="B51" s="4" t="s">
        <v>108</v>
      </c>
      <c r="C51" s="2"/>
      <c r="D51" s="23" t="n">
        <f aca="false">D48+D49-D50</f>
        <v>54</v>
      </c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false" outlineLevel="0" collapsed="false">
      <c r="A52" s="2"/>
      <c r="B52" s="4" t="s">
        <v>109</v>
      </c>
      <c r="C52" s="2"/>
      <c r="D52" s="22" t="n">
        <f aca="false">COUNT('NPV Comparison'!$F$15:$F$104)</f>
        <v>54</v>
      </c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false" outlineLevel="0" collapsed="false">
      <c r="A53" s="2"/>
      <c r="B53" s="4" t="s">
        <v>110</v>
      </c>
      <c r="C53" s="2"/>
      <c r="D53" s="23" t="str">
        <f aca="false">IF(D51=D52,"Reconciled","Check required")</f>
        <v>Reconciled</v>
      </c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</sheetData>
  <mergeCells count="2">
    <mergeCell ref="A1:L2"/>
    <mergeCell ref="B44:E44"/>
  </mergeCells>
  <conditionalFormatting sqref="B14:L33">
    <cfRule type="expression" priority="2" aboveAverage="0" equalAverage="0" bottom="0" percent="0" rank="0" text="" dxfId="0">
      <formula>$I14="Review required"</formula>
    </cfRule>
  </conditionalFormatting>
  <conditionalFormatting sqref="D53">
    <cfRule type="expression" priority="3" aboveAverage="0" equalAverage="0" bottom="0" percent="0" rank="0" text="" dxfId="1">
      <formula>D53="Check required"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15D"/>
    <pageSetUpPr fitToPage="false"/>
  </sheetPr>
  <dimension ref="A1:O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8" min="7" style="0" width="9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true" outlineLevel="0" max="15" min="15" style="0" width="13"/>
  </cols>
  <sheetData>
    <row r="1" customFormat="false" ht="19.7" hidden="false" customHeight="fals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2"/>
    </row>
    <row r="2" customFormat="false" ht="15" hidden="false" customHeight="false" outlineLevel="0" collapsed="false">
      <c r="A2" s="24" t="s">
        <v>112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"/>
      <c r="O2" s="2"/>
    </row>
    <row r="3" customFormat="false" ht="21.75" hidden="false" customHeight="true" outlineLevel="0" collapsed="false">
      <c r="A3" s="16" t="s">
        <v>87</v>
      </c>
      <c r="B3" s="16" t="s">
        <v>43</v>
      </c>
      <c r="C3" s="16" t="s">
        <v>88</v>
      </c>
      <c r="D3" s="16" t="s">
        <v>89</v>
      </c>
      <c r="E3" s="16" t="s">
        <v>90</v>
      </c>
      <c r="F3" s="16" t="s">
        <v>91</v>
      </c>
      <c r="G3" s="16" t="s">
        <v>113</v>
      </c>
      <c r="H3" s="16" t="s">
        <v>114</v>
      </c>
      <c r="I3" s="16" t="s">
        <v>55</v>
      </c>
      <c r="J3" s="16" t="s">
        <v>115</v>
      </c>
      <c r="K3" s="16" t="s">
        <v>116</v>
      </c>
      <c r="L3" s="16" t="s">
        <v>117</v>
      </c>
      <c r="M3" s="16" t="s">
        <v>118</v>
      </c>
      <c r="N3" s="2"/>
      <c r="O3" s="25" t="s">
        <v>119</v>
      </c>
    </row>
    <row r="4" customFormat="false" ht="15" hidden="false" customHeight="false" outlineLevel="0" collapsed="false">
      <c r="A4" s="26" t="str">
        <f aca="false">IF($O4="","",INDEX(_Helpers!$A$2:$A$91,$O4-2+1))</f>
        <v>P23434</v>
      </c>
      <c r="B4" s="26" t="str">
        <f aca="false">IF($O4="","",INDEX(_Helpers!$D$2:$D$91,$O4-2+1))</f>
        <v>Riverside Dental Practice</v>
      </c>
      <c r="C4" s="27" t="n">
        <f aca="false">IF($O4="","",INDEX(_Helpers!$B$2:$B$91,$O4-2+1))</f>
        <v>1840.81</v>
      </c>
      <c r="D4" s="27" t="n">
        <f aca="false">IF($O4="","",INDEX(_Helpers!$C$2:$C$91,$O4-2+1))</f>
        <v>1625.82</v>
      </c>
      <c r="E4" s="27" t="n">
        <f aca="false">IF($O4="","",INDEX(_Helpers!$L$2:$L$91,$O4-2+1))</f>
        <v>-214.99</v>
      </c>
      <c r="F4" s="28" t="n">
        <f aca="false">IF($O4="","",INDEX(_Helpers!$M$2:$M$91,$O4-2+1))</f>
        <v>-0.116790977884736</v>
      </c>
      <c r="G4" s="29" t="str">
        <f aca="false">IF($O4="","",IF(INDEX(_Helpers!$G$2:$G$91,$O4-2+1)=1,"Starter",""))</f>
        <v/>
      </c>
      <c r="H4" s="29" t="str">
        <f aca="false">IF($O4="","",IF(INDEX(_Helpers!$H$2:$H$91,$O4-2+1)=1,"Leaver",""))</f>
        <v/>
      </c>
      <c r="I4" s="29" t="str">
        <f aca="false">IF($O4="","",INDEX(_Helpers!$P$2:$P$91,$O4-2+1))</f>
        <v>OK</v>
      </c>
      <c r="J4" s="28" t="n">
        <f aca="false">IF($O4="","",INDEX(_Helpers!$V$2:$V$91,$O4-2+1))</f>
        <v>-0.116788526773678</v>
      </c>
      <c r="K4" s="29" t="str">
        <f aca="false">IF($O4="","",INDEX(_Helpers!$AJ$2:$AJ$91,$O4-2+1))</f>
        <v>Basic Salary</v>
      </c>
      <c r="L4" s="27" t="n">
        <f aca="false">IF($O4="","",INDEX(_Helpers!$AK$2:$AK$91,$O4-2+1))</f>
        <v>-290.23</v>
      </c>
      <c r="M4" s="30"/>
      <c r="N4" s="2"/>
      <c r="O4" s="25" t="n">
        <f aca="false" t="array" ref="O4:O4">IFERROR(SMALL(IF(_Helpers!$F$2:$F$91=1,ROW(_Helpers!$F$2:$F$91)),ROWS($A$4:A4)),"")</f>
        <v>2</v>
      </c>
    </row>
    <row r="5" customFormat="false" ht="15" hidden="false" customHeight="false" outlineLevel="0" collapsed="false">
      <c r="A5" s="26" t="str">
        <f aca="false">IF($O5="","",INDEX(_Helpers!$A$2:$A$91,$O5-2+1))</f>
        <v>P22280</v>
      </c>
      <c r="B5" s="26" t="str">
        <f aca="false">IF($O5="","",INDEX(_Helpers!$D$2:$D$91,$O5-2+1))</f>
        <v>Hakim Group Head Office</v>
      </c>
      <c r="C5" s="27" t="n">
        <f aca="false">IF($O5="","",INDEX(_Helpers!$B$2:$B$91,$O5-2+1))</f>
        <v>2462.89</v>
      </c>
      <c r="D5" s="27" t="n">
        <f aca="false">IF($O5="","",INDEX(_Helpers!$C$2:$C$91,$O5-2+1))</f>
        <v>2400.62</v>
      </c>
      <c r="E5" s="27" t="n">
        <f aca="false">IF($O5="","",INDEX(_Helpers!$L$2:$L$91,$O5-2+1))</f>
        <v>-62.27</v>
      </c>
      <c r="F5" s="28" t="n">
        <f aca="false">IF($O5="","",INDEX(_Helpers!$M$2:$M$91,$O5-2+1))</f>
        <v>-0.025283305385137</v>
      </c>
      <c r="G5" s="29" t="str">
        <f aca="false">IF($O5="","",IF(INDEX(_Helpers!$G$2:$G$91,$O5-2+1)=1,"Starter",""))</f>
        <v/>
      </c>
      <c r="H5" s="29" t="str">
        <f aca="false">IF($O5="","",IF(INDEX(_Helpers!$H$2:$H$91,$O5-2+1)=1,"Leaver",""))</f>
        <v/>
      </c>
      <c r="I5" s="29" t="str">
        <f aca="false">IF($O5="","",INDEX(_Helpers!$P$2:$P$91,$O5-2+1))</f>
        <v>OK</v>
      </c>
      <c r="J5" s="28" t="n">
        <f aca="false">IF($O5="","",INDEX(_Helpers!$V$2:$V$91,$O5-2+1))</f>
        <v>-0.0252819633673193</v>
      </c>
      <c r="K5" s="29" t="str">
        <f aca="false">IF($O5="","",INDEX(_Helpers!$AJ$2:$AJ$91,$O5-2+1))</f>
        <v>Basic Salary</v>
      </c>
      <c r="L5" s="27" t="n">
        <f aca="false">IF($O5="","",INDEX(_Helpers!$AK$2:$AK$91,$O5-2+1))</f>
        <v>-84.06</v>
      </c>
      <c r="M5" s="30"/>
      <c r="N5" s="2"/>
      <c r="O5" s="25" t="n">
        <f aca="false" t="array" ref="O5:O5">IFERROR(SMALL(IF(_Helpers!$F$2:$F$91=1,ROW(_Helpers!$F$2:$F$91)),ROWS($A$4:A5)),"")</f>
        <v>3</v>
      </c>
    </row>
    <row r="6" customFormat="false" ht="15" hidden="false" customHeight="false" outlineLevel="0" collapsed="false">
      <c r="A6" s="26" t="str">
        <f aca="false">IF($O6="","",INDEX(_Helpers!$A$2:$A$91,$O6-2+1))</f>
        <v>P81426</v>
      </c>
      <c r="B6" s="26" t="str">
        <f aca="false">IF($O6="","",INDEX(_Helpers!$D$2:$D$91,$O6-2+1))</f>
        <v>Kings Road Dental Practice</v>
      </c>
      <c r="C6" s="27" t="n">
        <f aca="false">IF($O6="","",INDEX(_Helpers!$B$2:$B$91,$O6-2+1))</f>
        <v>2410.24</v>
      </c>
      <c r="D6" s="27" t="n">
        <f aca="false">IF($O6="","",INDEX(_Helpers!$C$2:$C$91,$O6-2+1))</f>
        <v>2578.93</v>
      </c>
      <c r="E6" s="27" t="n">
        <f aca="false">IF($O6="","",INDEX(_Helpers!$L$2:$L$91,$O6-2+1))</f>
        <v>168.69</v>
      </c>
      <c r="F6" s="28" t="n">
        <f aca="false">IF($O6="","",INDEX(_Helpers!$M$2:$M$91,$O6-2+1))</f>
        <v>0.0699888807753585</v>
      </c>
      <c r="G6" s="29" t="str">
        <f aca="false">IF($O6="","",IF(INDEX(_Helpers!$G$2:$G$91,$O6-2+1)=1,"Starter",""))</f>
        <v/>
      </c>
      <c r="H6" s="29" t="str">
        <f aca="false">IF($O6="","",IF(INDEX(_Helpers!$H$2:$H$91,$O6-2+1)=1,"Leaver",""))</f>
        <v/>
      </c>
      <c r="I6" s="29" t="str">
        <f aca="false">IF($O6="","",INDEX(_Helpers!$P$2:$P$91,$O6-2+1))</f>
        <v>OK</v>
      </c>
      <c r="J6" s="28" t="n">
        <f aca="false">IF($O6="","",INDEX(_Helpers!$V$2:$V$91,$O6-2+1))</f>
        <v>0.0699882907220107</v>
      </c>
      <c r="K6" s="29" t="str">
        <f aca="false">IF($O6="","",INDEX(_Helpers!$AJ$2:$AJ$91,$O6-2+1))</f>
        <v>Basic Salary</v>
      </c>
      <c r="L6" s="27" t="n">
        <f aca="false">IF($O6="","",INDEX(_Helpers!$AK$2:$AK$91,$O6-2+1))</f>
        <v>227.73</v>
      </c>
      <c r="M6" s="30"/>
      <c r="N6" s="2"/>
      <c r="O6" s="25" t="n">
        <f aca="false" t="array" ref="O6:O6">IFERROR(SMALL(IF(_Helpers!$F$2:$F$91=1,ROW(_Helpers!$F$2:$F$91)),ROWS($A$4:A6)),"")</f>
        <v>4</v>
      </c>
    </row>
    <row r="7" customFormat="false" ht="15" hidden="false" customHeight="false" outlineLevel="0" collapsed="false">
      <c r="A7" s="26" t="str">
        <f aca="false">IF($O7="","",INDEX(_Helpers!$A$2:$A$91,$O7-2+1))</f>
        <v>P30926</v>
      </c>
      <c r="B7" s="26" t="str">
        <f aca="false">IF($O7="","",INDEX(_Helpers!$D$2:$D$91,$O7-2+1))</f>
        <v>Oakfield Dental Practice</v>
      </c>
      <c r="C7" s="27" t="n">
        <f aca="false">IF($O7="","",INDEX(_Helpers!$B$2:$B$91,$O7-2+1))</f>
        <v>2856.97</v>
      </c>
      <c r="D7" s="27" t="n">
        <f aca="false">IF($O7="","",INDEX(_Helpers!$C$2:$C$91,$O7-2+1))</f>
        <v>2400.16</v>
      </c>
      <c r="E7" s="27" t="n">
        <f aca="false">IF($O7="","",INDEX(_Helpers!$L$2:$L$91,$O7-2+1))</f>
        <v>-456.81</v>
      </c>
      <c r="F7" s="28" t="n">
        <f aca="false">IF($O7="","",INDEX(_Helpers!$M$2:$M$91,$O7-2+1))</f>
        <v>-0.159893173536999</v>
      </c>
      <c r="G7" s="29" t="str">
        <f aca="false">IF($O7="","",IF(INDEX(_Helpers!$G$2:$G$91,$O7-2+1)=1,"Starter",""))</f>
        <v/>
      </c>
      <c r="H7" s="29" t="str">
        <f aca="false">IF($O7="","",IF(INDEX(_Helpers!$H$2:$H$91,$O7-2+1)=1,"Leaver",""))</f>
        <v/>
      </c>
      <c r="I7" s="29" t="str">
        <f aca="false">IF($O7="","",INDEX(_Helpers!$P$2:$P$91,$O7-2+1))</f>
        <v>OK</v>
      </c>
      <c r="J7" s="28" t="n">
        <f aca="false">IF($O7="","",INDEX(_Helpers!$V$2:$V$91,$O7-2+1))</f>
        <v>-0.159894423529656</v>
      </c>
      <c r="K7" s="29" t="str">
        <f aca="false">IF($O7="","",INDEX(_Helpers!$AJ$2:$AJ$91,$O7-2+1))</f>
        <v>Basic Salary</v>
      </c>
      <c r="L7" s="27" t="n">
        <f aca="false">IF($O7="","",INDEX(_Helpers!$AK$2:$AK$91,$O7-2+1))</f>
        <v>-616.7</v>
      </c>
      <c r="M7" s="30"/>
      <c r="N7" s="2"/>
      <c r="O7" s="25" t="n">
        <f aca="false" t="array" ref="O7:O7">IFERROR(SMALL(IF(_Helpers!$F$2:$F$91=1,ROW(_Helpers!$F$2:$F$91)),ROWS($A$4:A7)),"")</f>
        <v>5</v>
      </c>
    </row>
    <row r="8" customFormat="false" ht="15" hidden="false" customHeight="false" outlineLevel="0" collapsed="false">
      <c r="A8" s="26" t="str">
        <f aca="false">IF($O8="","",INDEX(_Helpers!$A$2:$A$91,$O8-2+1))</f>
        <v>P23396</v>
      </c>
      <c r="B8" s="26" t="str">
        <f aca="false">IF($O8="","",INDEX(_Helpers!$D$2:$D$91,$O8-2+1))</f>
        <v>Oakfield Dental Practice</v>
      </c>
      <c r="C8" s="27" t="n">
        <f aca="false">IF($O8="","",INDEX(_Helpers!$B$2:$B$91,$O8-2+1))</f>
        <v>1787.56</v>
      </c>
      <c r="D8" s="27" t="n">
        <f aca="false">IF($O8="","",INDEX(_Helpers!$C$2:$C$91,$O8-2+1))</f>
        <v>1940.17</v>
      </c>
      <c r="E8" s="27" t="n">
        <f aca="false">IF($O8="","",INDEX(_Helpers!$L$2:$L$91,$O8-2+1))</f>
        <v>152.61</v>
      </c>
      <c r="F8" s="28" t="n">
        <f aca="false">IF($O8="","",INDEX(_Helpers!$M$2:$M$91,$O8-2+1))</f>
        <v>0.0853733580970709</v>
      </c>
      <c r="G8" s="29" t="str">
        <f aca="false">IF($O8="","",IF(INDEX(_Helpers!$G$2:$G$91,$O8-2+1)=1,"Starter",""))</f>
        <v/>
      </c>
      <c r="H8" s="29" t="str">
        <f aca="false">IF($O8="","",IF(INDEX(_Helpers!$H$2:$H$91,$O8-2+1)=1,"Leaver",""))</f>
        <v/>
      </c>
      <c r="I8" s="29" t="str">
        <f aca="false">IF($O8="","",INDEX(_Helpers!$P$2:$P$91,$O8-2+1))</f>
        <v>OK</v>
      </c>
      <c r="J8" s="28" t="n">
        <f aca="false">IF($O8="","",INDEX(_Helpers!$V$2:$V$91,$O8-2+1))</f>
        <v>0.0853717662366723</v>
      </c>
      <c r="K8" s="29" t="str">
        <f aca="false">IF($O8="","",INDEX(_Helpers!$AJ$2:$AJ$91,$O8-2+1))</f>
        <v>Basic Salary</v>
      </c>
      <c r="L8" s="27" t="n">
        <f aca="false">IF($O8="","",INDEX(_Helpers!$AK$2:$AK$91,$O8-2+1))</f>
        <v>206.02</v>
      </c>
      <c r="M8" s="30"/>
      <c r="N8" s="2"/>
      <c r="O8" s="25" t="n">
        <f aca="false" t="array" ref="O8:O8">IFERROR(SMALL(IF(_Helpers!$F$2:$F$91=1,ROW(_Helpers!$F$2:$F$91)),ROWS($A$4:A8)),"")</f>
        <v>6</v>
      </c>
    </row>
    <row r="9" customFormat="false" ht="15" hidden="false" customHeight="false" outlineLevel="0" collapsed="false">
      <c r="A9" s="26" t="str">
        <f aca="false">IF($O9="","",INDEX(_Helpers!$A$2:$A$91,$O9-2+1))</f>
        <v>P15695</v>
      </c>
      <c r="B9" s="26" t="str">
        <f aca="false">IF($O9="","",INDEX(_Helpers!$D$2:$D$91,$O9-2+1))</f>
        <v>Riverside Dental Practice</v>
      </c>
      <c r="C9" s="27" t="n">
        <f aca="false">IF($O9="","",INDEX(_Helpers!$B$2:$B$91,$O9-2+1))</f>
        <v>2925.49</v>
      </c>
      <c r="D9" s="27" t="n">
        <f aca="false">IF($O9="","",INDEX(_Helpers!$C$2:$C$91,$O9-2+1))</f>
        <v>3023.81</v>
      </c>
      <c r="E9" s="27" t="n">
        <f aca="false">IF($O9="","",INDEX(_Helpers!$L$2:$L$91,$O9-2+1))</f>
        <v>98.3200000000002</v>
      </c>
      <c r="F9" s="28" t="n">
        <f aca="false">IF($O9="","",INDEX(_Helpers!$M$2:$M$91,$O9-2+1))</f>
        <v>0.0336080451479924</v>
      </c>
      <c r="G9" s="29" t="str">
        <f aca="false">IF($O9="","",IF(INDEX(_Helpers!$G$2:$G$91,$O9-2+1)=1,"Starter",""))</f>
        <v/>
      </c>
      <c r="H9" s="29" t="str">
        <f aca="false">IF($O9="","",IF(INDEX(_Helpers!$H$2:$H$91,$O9-2+1)=1,"Leaver",""))</f>
        <v/>
      </c>
      <c r="I9" s="29" t="str">
        <f aca="false">IF($O9="","",INDEX(_Helpers!$P$2:$P$91,$O9-2+1))</f>
        <v>OK</v>
      </c>
      <c r="J9" s="28" t="n">
        <f aca="false">IF($O9="","",INDEX(_Helpers!$V$2:$V$91,$O9-2+1))</f>
        <v>0.0336075515076936</v>
      </c>
      <c r="K9" s="29" t="str">
        <f aca="false">IF($O9="","",INDEX(_Helpers!$AJ$2:$AJ$91,$O9-2+1))</f>
        <v>Basic Salary</v>
      </c>
      <c r="L9" s="27" t="n">
        <f aca="false">IF($O9="","",INDEX(_Helpers!$AK$2:$AK$91,$O9-2+1))</f>
        <v>132.73</v>
      </c>
      <c r="M9" s="30"/>
      <c r="N9" s="2"/>
      <c r="O9" s="25" t="n">
        <f aca="false" t="array" ref="O9:O9">IFERROR(SMALL(IF(_Helpers!$F$2:$F$91=1,ROW(_Helpers!$F$2:$F$91)),ROWS($A$4:A9)),"")</f>
        <v>7</v>
      </c>
    </row>
    <row r="10" customFormat="false" ht="15" hidden="false" customHeight="false" outlineLevel="0" collapsed="false">
      <c r="A10" s="26" t="str">
        <f aca="false">IF($O10="","",INDEX(_Helpers!$A$2:$A$91,$O10-2+1))</f>
        <v>P92397</v>
      </c>
      <c r="B10" s="26" t="str">
        <f aca="false">IF($O10="","",INDEX(_Helpers!$D$2:$D$91,$O10-2+1))</f>
        <v>Oakfield Dental Practice</v>
      </c>
      <c r="C10" s="27" t="n">
        <f aca="false">IF($O10="","",INDEX(_Helpers!$B$2:$B$91,$O10-2+1))</f>
        <v>1541.84</v>
      </c>
      <c r="D10" s="27" t="n">
        <f aca="false">IF($O10="","",INDEX(_Helpers!$C$2:$C$91,$O10-2+1))</f>
        <v>1438.52</v>
      </c>
      <c r="E10" s="27" t="n">
        <f aca="false">IF($O10="","",INDEX(_Helpers!$L$2:$L$91,$O10-2+1))</f>
        <v>-103.32</v>
      </c>
      <c r="F10" s="28" t="n">
        <f aca="false">IF($O10="","",INDEX(_Helpers!$M$2:$M$91,$O10-2+1))</f>
        <v>-0.0670108441861671</v>
      </c>
      <c r="G10" s="29" t="str">
        <f aca="false">IF($O10="","",IF(INDEX(_Helpers!$G$2:$G$91,$O10-2+1)=1,"Starter",""))</f>
        <v/>
      </c>
      <c r="H10" s="29" t="str">
        <f aca="false">IF($O10="","",IF(INDEX(_Helpers!$H$2:$H$91,$O10-2+1)=1,"Leaver",""))</f>
        <v/>
      </c>
      <c r="I10" s="29" t="str">
        <f aca="false">IF($O10="","",INDEX(_Helpers!$P$2:$P$91,$O10-2+1))</f>
        <v>OK</v>
      </c>
      <c r="J10" s="28" t="n">
        <f aca="false">IF($O10="","",INDEX(_Helpers!$V$2:$V$91,$O10-2+1))</f>
        <v>-0.0670100121067702</v>
      </c>
      <c r="K10" s="29" t="str">
        <f aca="false">IF($O10="","",INDEX(_Helpers!$AJ$2:$AJ$91,$O10-2+1))</f>
        <v>Basic Salary</v>
      </c>
      <c r="L10" s="27" t="n">
        <f aca="false">IF($O10="","",INDEX(_Helpers!$AK$2:$AK$91,$O10-2+1))</f>
        <v>-139.48</v>
      </c>
      <c r="M10" s="30"/>
      <c r="N10" s="2"/>
      <c r="O10" s="25" t="n">
        <f aca="false" t="array" ref="O10:O10">IFERROR(SMALL(IF(_Helpers!$F$2:$F$91=1,ROW(_Helpers!$F$2:$F$91)),ROWS($A$4:A10)),"")</f>
        <v>8</v>
      </c>
    </row>
    <row r="11" customFormat="false" ht="15" hidden="false" customHeight="false" outlineLevel="0" collapsed="false">
      <c r="A11" s="26" t="str">
        <f aca="false">IF($O11="","",INDEX(_Helpers!$A$2:$A$91,$O11-2+1))</f>
        <v>P16006</v>
      </c>
      <c r="B11" s="26" t="str">
        <f aca="false">IF($O11="","",INDEX(_Helpers!$D$2:$D$91,$O11-2+1))</f>
        <v>Hakim Group Head Office</v>
      </c>
      <c r="C11" s="27" t="n">
        <f aca="false">IF($O11="","",INDEX(_Helpers!$B$2:$B$91,$O11-2+1))</f>
        <v>2439.23</v>
      </c>
      <c r="D11" s="27" t="n">
        <f aca="false">IF($O11="","",INDEX(_Helpers!$C$2:$C$91,$O11-2+1))</f>
        <v>2466.18</v>
      </c>
      <c r="E11" s="27" t="n">
        <f aca="false">IF($O11="","",INDEX(_Helpers!$L$2:$L$91,$O11-2+1))</f>
        <v>26.9499999999998</v>
      </c>
      <c r="F11" s="28" t="n">
        <f aca="false">IF($O11="","",INDEX(_Helpers!$M$2:$M$91,$O11-2+1))</f>
        <v>0.0110485686056665</v>
      </c>
      <c r="G11" s="29" t="str">
        <f aca="false">IF($O11="","",IF(INDEX(_Helpers!$G$2:$G$91,$O11-2+1)=1,"Starter",""))</f>
        <v/>
      </c>
      <c r="H11" s="29" t="str">
        <f aca="false">IF($O11="","",IF(INDEX(_Helpers!$H$2:$H$91,$O11-2+1)=1,"Leaver",""))</f>
        <v/>
      </c>
      <c r="I11" s="29" t="str">
        <f aca="false">IF($O11="","",INDEX(_Helpers!$P$2:$P$91,$O11-2+1))</f>
        <v>OK</v>
      </c>
      <c r="J11" s="28" t="n">
        <f aca="false">IF($O11="","",INDEX(_Helpers!$V$2:$V$91,$O11-2+1))</f>
        <v>0.0110447407659348</v>
      </c>
      <c r="K11" s="29" t="str">
        <f aca="false">IF($O11="","",INDEX(_Helpers!$AJ$2:$AJ$91,$O11-2+1))</f>
        <v>Basic Salary</v>
      </c>
      <c r="L11" s="27" t="n">
        <f aca="false">IF($O11="","",INDEX(_Helpers!$AK$2:$AK$91,$O11-2+1))</f>
        <v>36.3700000000003</v>
      </c>
      <c r="M11" s="30"/>
      <c r="N11" s="2"/>
      <c r="O11" s="25" t="n">
        <f aca="false" t="array" ref="O11:O11">IFERROR(SMALL(IF(_Helpers!$F$2:$F$91=1,ROW(_Helpers!$F$2:$F$91)),ROWS($A$4:A11)),"")</f>
        <v>9</v>
      </c>
    </row>
    <row r="12" customFormat="false" ht="15" hidden="false" customHeight="false" outlineLevel="0" collapsed="false">
      <c r="A12" s="26" t="str">
        <f aca="false">IF($O12="","",INDEX(_Helpers!$A$2:$A$91,$O12-2+1))</f>
        <v>P59823</v>
      </c>
      <c r="B12" s="26" t="str">
        <f aca="false">IF($O12="","",INDEX(_Helpers!$D$2:$D$91,$O12-2+1))</f>
        <v>Kings Road Dental Practice</v>
      </c>
      <c r="C12" s="27" t="n">
        <f aca="false">IF($O12="","",INDEX(_Helpers!$B$2:$B$91,$O12-2+1))</f>
        <v>2939.57</v>
      </c>
      <c r="D12" s="27" t="n">
        <f aca="false">IF($O12="","",INDEX(_Helpers!$C$2:$C$91,$O12-2+1))</f>
        <v>3288.62</v>
      </c>
      <c r="E12" s="27" t="n">
        <f aca="false">IF($O12="","",INDEX(_Helpers!$L$2:$L$91,$O12-2+1))</f>
        <v>349.05</v>
      </c>
      <c r="F12" s="28" t="n">
        <f aca="false">IF($O12="","",INDEX(_Helpers!$M$2:$M$91,$O12-2+1))</f>
        <v>0.118741856802185</v>
      </c>
      <c r="G12" s="29" t="str">
        <f aca="false">IF($O12="","",IF(INDEX(_Helpers!$G$2:$G$91,$O12-2+1)=1,"Starter",""))</f>
        <v/>
      </c>
      <c r="H12" s="29" t="str">
        <f aca="false">IF($O12="","",IF(INDEX(_Helpers!$H$2:$H$91,$O12-2+1)=1,"Leaver",""))</f>
        <v/>
      </c>
      <c r="I12" s="29" t="str">
        <f aca="false">IF($O12="","",INDEX(_Helpers!$P$2:$P$91,$O12-2+1))</f>
        <v>OK</v>
      </c>
      <c r="J12" s="28" t="n">
        <f aca="false">IF($O12="","",INDEX(_Helpers!$V$2:$V$91,$O12-2+1))</f>
        <v>0.118742471814979</v>
      </c>
      <c r="K12" s="29" t="str">
        <f aca="false">IF($O12="","",INDEX(_Helpers!$AJ$2:$AJ$91,$O12-2+1))</f>
        <v>Basic Salary</v>
      </c>
      <c r="L12" s="27" t="n">
        <f aca="false">IF($O12="","",INDEX(_Helpers!$AK$2:$AK$91,$O12-2+1))</f>
        <v>471.22</v>
      </c>
      <c r="M12" s="30"/>
      <c r="N12" s="2"/>
      <c r="O12" s="25" t="n">
        <f aca="false" t="array" ref="O12:O12">IFERROR(SMALL(IF(_Helpers!$F$2:$F$91=1,ROW(_Helpers!$F$2:$F$91)),ROWS($A$4:A12)),"")</f>
        <v>10</v>
      </c>
    </row>
    <row r="13" customFormat="false" ht="15" hidden="false" customHeight="false" outlineLevel="0" collapsed="false">
      <c r="A13" s="26" t="str">
        <f aca="false">IF($O13="","",INDEX(_Helpers!$A$2:$A$91,$O13-2+1))</f>
        <v>P97841</v>
      </c>
      <c r="B13" s="26" t="str">
        <f aca="false">IF($O13="","",INDEX(_Helpers!$D$2:$D$91,$O13-2+1))</f>
        <v>Elm Park Dental Practice</v>
      </c>
      <c r="C13" s="27" t="n">
        <f aca="false">IF($O13="","",INDEX(_Helpers!$B$2:$B$91,$O13-2+1))</f>
        <v>1692.78</v>
      </c>
      <c r="D13" s="27" t="n">
        <f aca="false">IF($O13="","",INDEX(_Helpers!$C$2:$C$91,$O13-2+1))</f>
        <v>1613.4</v>
      </c>
      <c r="E13" s="27" t="n">
        <f aca="false">IF($O13="","",INDEX(_Helpers!$L$2:$L$91,$O13-2+1))</f>
        <v>-79.3799999999999</v>
      </c>
      <c r="F13" s="28" t="n">
        <f aca="false">IF($O13="","",INDEX(_Helpers!$M$2:$M$91,$O13-2+1))</f>
        <v>-0.0468932761492928</v>
      </c>
      <c r="G13" s="29" t="str">
        <f aca="false">IF($O13="","",IF(INDEX(_Helpers!$G$2:$G$91,$O13-2+1)=1,"Starter",""))</f>
        <v/>
      </c>
      <c r="H13" s="29" t="str">
        <f aca="false">IF($O13="","",IF(INDEX(_Helpers!$H$2:$H$91,$O13-2+1)=1,"Leaver",""))</f>
        <v/>
      </c>
      <c r="I13" s="29" t="str">
        <f aca="false">IF($O13="","",INDEX(_Helpers!$P$2:$P$91,$O13-2+1))</f>
        <v>OK</v>
      </c>
      <c r="J13" s="28" t="n">
        <f aca="false">IF($O13="","",INDEX(_Helpers!$V$2:$V$91,$O13-2+1))</f>
        <v>-0.0468920249425664</v>
      </c>
      <c r="K13" s="29" t="str">
        <f aca="false">IF($O13="","",INDEX(_Helpers!$AJ$2:$AJ$91,$O13-2+1))</f>
        <v>Basic Salary</v>
      </c>
      <c r="L13" s="27" t="n">
        <f aca="false">IF($O13="","",INDEX(_Helpers!$AK$2:$AK$91,$O13-2+1))</f>
        <v>-107.16</v>
      </c>
      <c r="M13" s="30"/>
      <c r="N13" s="2"/>
      <c r="O13" s="25" t="n">
        <f aca="false" t="array" ref="O13:O13">IFERROR(SMALL(IF(_Helpers!$F$2:$F$91=1,ROW(_Helpers!$F$2:$F$91)),ROWS($A$4:A13)),"")</f>
        <v>11</v>
      </c>
    </row>
    <row r="14" customFormat="false" ht="15" hidden="false" customHeight="false" outlineLevel="0" collapsed="false">
      <c r="A14" s="26" t="str">
        <f aca="false">IF($O14="","",INDEX(_Helpers!$A$2:$A$91,$O14-2+1))</f>
        <v>P32431</v>
      </c>
      <c r="B14" s="26" t="str">
        <f aca="false">IF($O14="","",INDEX(_Helpers!$D$2:$D$91,$O14-2+1))</f>
        <v>Elm Park Dental Practice</v>
      </c>
      <c r="C14" s="27" t="n">
        <f aca="false">IF($O14="","",INDEX(_Helpers!$B$2:$B$91,$O14-2+1))</f>
        <v>2566.46</v>
      </c>
      <c r="D14" s="27" t="n">
        <f aca="false">IF($O14="","",INDEX(_Helpers!$C$2:$C$91,$O14-2+1))</f>
        <v>2657.21</v>
      </c>
      <c r="E14" s="27" t="n">
        <f aca="false">IF($O14="","",INDEX(_Helpers!$L$2:$L$91,$O14-2+1))</f>
        <v>90.75</v>
      </c>
      <c r="F14" s="28" t="n">
        <f aca="false">IF($O14="","",INDEX(_Helpers!$M$2:$M$91,$O14-2+1))</f>
        <v>0.0353599900251709</v>
      </c>
      <c r="G14" s="29" t="str">
        <f aca="false">IF($O14="","",IF(INDEX(_Helpers!$G$2:$G$91,$O14-2+1)=1,"Starter",""))</f>
        <v/>
      </c>
      <c r="H14" s="29" t="str">
        <f aca="false">IF($O14="","",IF(INDEX(_Helpers!$H$2:$H$91,$O14-2+1)=1,"Leaver",""))</f>
        <v/>
      </c>
      <c r="I14" s="29" t="str">
        <f aca="false">IF($O14="","",INDEX(_Helpers!$P$2:$P$91,$O14-2+1))</f>
        <v>OK</v>
      </c>
      <c r="J14" s="28" t="n">
        <f aca="false">IF($O14="","",INDEX(_Helpers!$V$2:$V$91,$O14-2+1))</f>
        <v>0.0353562903891501</v>
      </c>
      <c r="K14" s="29" t="str">
        <f aca="false">IF($O14="","",INDEX(_Helpers!$AJ$2:$AJ$91,$O14-2+1))</f>
        <v>Basic Salary</v>
      </c>
      <c r="L14" s="27" t="n">
        <f aca="false">IF($O14="","",INDEX(_Helpers!$AK$2:$AK$91,$O14-2+1))</f>
        <v>122.5</v>
      </c>
      <c r="M14" s="30"/>
      <c r="N14" s="2"/>
      <c r="O14" s="25" t="n">
        <f aca="false" t="array" ref="O14:O14">IFERROR(SMALL(IF(_Helpers!$F$2:$F$91=1,ROW(_Helpers!$F$2:$F$91)),ROWS($A$4:A14)),"")</f>
        <v>12</v>
      </c>
    </row>
    <row r="15" customFormat="false" ht="15" hidden="false" customHeight="false" outlineLevel="0" collapsed="false">
      <c r="A15" s="26" t="str">
        <f aca="false">IF($O15="","",INDEX(_Helpers!$A$2:$A$91,$O15-2+1))</f>
        <v>P93886</v>
      </c>
      <c r="B15" s="26" t="str">
        <f aca="false">IF($O15="","",INDEX(_Helpers!$D$2:$D$91,$O15-2+1))</f>
        <v>Hakim Group Head Office</v>
      </c>
      <c r="C15" s="27" t="n">
        <f aca="false">IF($O15="","",INDEX(_Helpers!$B$2:$B$91,$O15-2+1))</f>
        <v>1694.12</v>
      </c>
      <c r="D15" s="27" t="n">
        <f aca="false">IF($O15="","",INDEX(_Helpers!$C$2:$C$91,$O15-2+1))</f>
        <v>1683.1</v>
      </c>
      <c r="E15" s="27" t="n">
        <f aca="false">IF($O15="","",INDEX(_Helpers!$L$2:$L$91,$O15-2+1))</f>
        <v>-11.02</v>
      </c>
      <c r="F15" s="28" t="n">
        <f aca="false">IF($O15="","",INDEX(_Helpers!$M$2:$M$91,$O15-2+1))</f>
        <v>-0.00650485207659433</v>
      </c>
      <c r="G15" s="29" t="str">
        <f aca="false">IF($O15="","",IF(INDEX(_Helpers!$G$2:$G$91,$O15-2+1)=1,"Starter",""))</f>
        <v/>
      </c>
      <c r="H15" s="29" t="str">
        <f aca="false">IF($O15="","",IF(INDEX(_Helpers!$H$2:$H$91,$O15-2+1)=1,"Leaver",""))</f>
        <v/>
      </c>
      <c r="I15" s="29" t="str">
        <f aca="false">IF($O15="","",INDEX(_Helpers!$P$2:$P$91,$O15-2+1))</f>
        <v>OK</v>
      </c>
      <c r="J15" s="28" t="n">
        <f aca="false">IF($O15="","",INDEX(_Helpers!$V$2:$V$91,$O15-2+1))</f>
        <v>-0.0065105134517091</v>
      </c>
      <c r="K15" s="29" t="str">
        <f aca="false">IF($O15="","",INDEX(_Helpers!$AJ$2:$AJ$91,$O15-2+1))</f>
        <v>Basic Salary</v>
      </c>
      <c r="L15" s="27" t="n">
        <f aca="false">IF($O15="","",INDEX(_Helpers!$AK$2:$AK$91,$O15-2+1))</f>
        <v>-14.8900000000003</v>
      </c>
      <c r="M15" s="30"/>
      <c r="N15" s="2"/>
      <c r="O15" s="25" t="n">
        <f aca="false" t="array" ref="O15:O15">IFERROR(SMALL(IF(_Helpers!$F$2:$F$91=1,ROW(_Helpers!$F$2:$F$91)),ROWS($A$4:A15)),"")</f>
        <v>13</v>
      </c>
    </row>
    <row r="16" customFormat="false" ht="15" hidden="false" customHeight="false" outlineLevel="0" collapsed="false">
      <c r="A16" s="26" t="str">
        <f aca="false">IF($O16="","",INDEX(_Helpers!$A$2:$A$91,$O16-2+1))</f>
        <v>P17331</v>
      </c>
      <c r="B16" s="26" t="str">
        <f aca="false">IF($O16="","",INDEX(_Helpers!$D$2:$D$91,$O16-2+1))</f>
        <v>Hakim Group Head Office</v>
      </c>
      <c r="C16" s="27" t="n">
        <f aca="false">IF($O16="","",INDEX(_Helpers!$B$2:$B$91,$O16-2+1))</f>
        <v>2632.31</v>
      </c>
      <c r="D16" s="27" t="n">
        <f aca="false">IF($O16="","",INDEX(_Helpers!$C$2:$C$91,$O16-2+1))</f>
        <v>2681.04</v>
      </c>
      <c r="E16" s="27" t="n">
        <f aca="false">IF($O16="","",INDEX(_Helpers!$L$2:$L$91,$O16-2+1))</f>
        <v>48.73</v>
      </c>
      <c r="F16" s="28" t="n">
        <f aca="false">IF($O16="","",INDEX(_Helpers!$M$2:$M$91,$O16-2+1))</f>
        <v>0.0185122572949235</v>
      </c>
      <c r="G16" s="29" t="str">
        <f aca="false">IF($O16="","",IF(INDEX(_Helpers!$G$2:$G$91,$O16-2+1)=1,"Starter",""))</f>
        <v/>
      </c>
      <c r="H16" s="29" t="str">
        <f aca="false">IF($O16="","",IF(INDEX(_Helpers!$H$2:$H$91,$O16-2+1)=1,"Leaver",""))</f>
        <v/>
      </c>
      <c r="I16" s="29" t="str">
        <f aca="false">IF($O16="","",INDEX(_Helpers!$P$2:$P$91,$O16-2+1))</f>
        <v>OK</v>
      </c>
      <c r="J16" s="28" t="n">
        <f aca="false">IF($O16="","",INDEX(_Helpers!$V$2:$V$91,$O16-2+1))</f>
        <v>0.0185135678929314</v>
      </c>
      <c r="K16" s="29" t="str">
        <f aca="false">IF($O16="","",INDEX(_Helpers!$AJ$2:$AJ$91,$O16-2+1))</f>
        <v>Basic Salary</v>
      </c>
      <c r="L16" s="27" t="n">
        <f aca="false">IF($O16="","",INDEX(_Helpers!$AK$2:$AK$91,$O16-2+1))</f>
        <v>65.79</v>
      </c>
      <c r="M16" s="30"/>
      <c r="N16" s="2"/>
      <c r="O16" s="25" t="n">
        <f aca="false" t="array" ref="O16:O16">IFERROR(SMALL(IF(_Helpers!$F$2:$F$91=1,ROW(_Helpers!$F$2:$F$91)),ROWS($A$4:A16)),"")</f>
        <v>14</v>
      </c>
    </row>
    <row r="17" customFormat="false" ht="15" hidden="false" customHeight="false" outlineLevel="0" collapsed="false">
      <c r="A17" s="26" t="str">
        <f aca="false">IF($O17="","",INDEX(_Helpers!$A$2:$A$91,$O17-2+1))</f>
        <v>P84341</v>
      </c>
      <c r="B17" s="26" t="str">
        <f aca="false">IF($O17="","",INDEX(_Helpers!$D$2:$D$91,$O17-2+1))</f>
        <v>Kings Road Dental Practice</v>
      </c>
      <c r="C17" s="27" t="n">
        <f aca="false">IF($O17="","",INDEX(_Helpers!$B$2:$B$91,$O17-2+1))</f>
        <v>2122.1</v>
      </c>
      <c r="D17" s="27" t="n">
        <f aca="false">IF($O17="","",INDEX(_Helpers!$C$2:$C$91,$O17-2+1))</f>
        <v>1823.83</v>
      </c>
      <c r="E17" s="27" t="n">
        <f aca="false">IF($O17="","",INDEX(_Helpers!$L$2:$L$91,$O17-2+1))</f>
        <v>-298.27</v>
      </c>
      <c r="F17" s="28" t="n">
        <f aca="false">IF($O17="","",INDEX(_Helpers!$M$2:$M$91,$O17-2+1))</f>
        <v>-0.140554168041091</v>
      </c>
      <c r="G17" s="29" t="str">
        <f aca="false">IF($O17="","",IF(INDEX(_Helpers!$G$2:$G$91,$O17-2+1)=1,"Starter",""))</f>
        <v/>
      </c>
      <c r="H17" s="29" t="str">
        <f aca="false">IF($O17="","",IF(INDEX(_Helpers!$H$2:$H$91,$O17-2+1)=1,"Leaver",""))</f>
        <v/>
      </c>
      <c r="I17" s="29" t="str">
        <f aca="false">IF($O17="","",INDEX(_Helpers!$P$2:$P$91,$O17-2+1))</f>
        <v>OK</v>
      </c>
      <c r="J17" s="28" t="n">
        <f aca="false">IF($O17="","",INDEX(_Helpers!$V$2:$V$91,$O17-2+1))</f>
        <v>-0.140552842577046</v>
      </c>
      <c r="K17" s="29" t="str">
        <f aca="false">IF($O17="","",INDEX(_Helpers!$AJ$2:$AJ$91,$O17-2+1))</f>
        <v>Basic Salary</v>
      </c>
      <c r="L17" s="27" t="n">
        <f aca="false">IF($O17="","",INDEX(_Helpers!$AK$2:$AK$91,$O17-2+1))</f>
        <v>-402.66</v>
      </c>
      <c r="M17" s="30"/>
      <c r="N17" s="2"/>
      <c r="O17" s="25" t="n">
        <f aca="false" t="array" ref="O17:O17">IFERROR(SMALL(IF(_Helpers!$F$2:$F$91=1,ROW(_Helpers!$F$2:$F$91)),ROWS($A$4:A17)),"")</f>
        <v>15</v>
      </c>
    </row>
    <row r="18" customFormat="false" ht="15" hidden="false" customHeight="false" outlineLevel="0" collapsed="false">
      <c r="A18" s="26" t="str">
        <f aca="false">IF($O18="","",INDEX(_Helpers!$A$2:$A$91,$O18-2+1))</f>
        <v>P70142</v>
      </c>
      <c r="B18" s="26" t="str">
        <f aca="false">IF($O18="","",INDEX(_Helpers!$D$2:$D$91,$O18-2+1))</f>
        <v>Elm Park Dental Practice</v>
      </c>
      <c r="C18" s="27" t="n">
        <f aca="false">IF($O18="","",INDEX(_Helpers!$B$2:$B$91,$O18-2+1))</f>
        <v>2112.14</v>
      </c>
      <c r="D18" s="27" t="n">
        <f aca="false">IF($O18="","",INDEX(_Helpers!$C$2:$C$91,$O18-2+1))</f>
        <v>2395.83</v>
      </c>
      <c r="E18" s="27" t="n">
        <f aca="false">IF($O18="","",INDEX(_Helpers!$L$2:$L$91,$O18-2+1))</f>
        <v>283.69</v>
      </c>
      <c r="F18" s="28" t="n">
        <f aca="false">IF($O18="","",INDEX(_Helpers!$M$2:$M$91,$O18-2+1))</f>
        <v>0.134314013275635</v>
      </c>
      <c r="G18" s="29" t="str">
        <f aca="false">IF($O18="","",IF(INDEX(_Helpers!$G$2:$G$91,$O18-2+1)=1,"Starter",""))</f>
        <v/>
      </c>
      <c r="H18" s="29" t="str">
        <f aca="false">IF($O18="","",IF(INDEX(_Helpers!$H$2:$H$91,$O18-2+1)=1,"Leaver",""))</f>
        <v/>
      </c>
      <c r="I18" s="29" t="str">
        <f aca="false">IF($O18="","",INDEX(_Helpers!$P$2:$P$91,$O18-2+1))</f>
        <v>OK</v>
      </c>
      <c r="J18" s="28" t="n">
        <f aca="false">IF($O18="","",INDEX(_Helpers!$V$2:$V$91,$O18-2+1))</f>
        <v>0.134313440111665</v>
      </c>
      <c r="K18" s="29" t="str">
        <f aca="false">IF($O18="","",INDEX(_Helpers!$AJ$2:$AJ$91,$O18-2+1))</f>
        <v>Basic Salary</v>
      </c>
      <c r="L18" s="27" t="n">
        <f aca="false">IF($O18="","",INDEX(_Helpers!$AK$2:$AK$91,$O18-2+1))</f>
        <v>382.98</v>
      </c>
      <c r="M18" s="30"/>
      <c r="N18" s="2"/>
      <c r="O18" s="25" t="n">
        <f aca="false" t="array" ref="O18:O18">IFERROR(SMALL(IF(_Helpers!$F$2:$F$91=1,ROW(_Helpers!$F$2:$F$91)),ROWS($A$4:A18)),"")</f>
        <v>16</v>
      </c>
    </row>
    <row r="19" customFormat="false" ht="15" hidden="false" customHeight="false" outlineLevel="0" collapsed="false">
      <c r="A19" s="26" t="str">
        <f aca="false">IF($O19="","",INDEX(_Helpers!$A$2:$A$91,$O19-2+1))</f>
        <v>P86622</v>
      </c>
      <c r="B19" s="26" t="str">
        <f aca="false">IF($O19="","",INDEX(_Helpers!$D$2:$D$91,$O19-2+1))</f>
        <v>Kings Road Dental Practice</v>
      </c>
      <c r="C19" s="27" t="n">
        <f aca="false">IF($O19="","",INDEX(_Helpers!$B$2:$B$91,$O19-2+1))</f>
        <v>2740.98</v>
      </c>
      <c r="D19" s="27" t="n">
        <f aca="false">IF($O19="","",INDEX(_Helpers!$C$2:$C$91,$O19-2+1))</f>
        <v>2775.6</v>
      </c>
      <c r="E19" s="27" t="n">
        <f aca="false">IF($O19="","",INDEX(_Helpers!$L$2:$L$91,$O19-2+1))</f>
        <v>34.6199999999999</v>
      </c>
      <c r="F19" s="28" t="n">
        <f aca="false">IF($O19="","",INDEX(_Helpers!$M$2:$M$91,$O19-2+1))</f>
        <v>0.0126305190114484</v>
      </c>
      <c r="G19" s="29" t="str">
        <f aca="false">IF($O19="","",IF(INDEX(_Helpers!$G$2:$G$91,$O19-2+1)=1,"Starter",""))</f>
        <v/>
      </c>
      <c r="H19" s="29" t="str">
        <f aca="false">IF($O19="","",IF(INDEX(_Helpers!$H$2:$H$91,$O19-2+1)=1,"Leaver",""))</f>
        <v/>
      </c>
      <c r="I19" s="29" t="str">
        <f aca="false">IF($O19="","",INDEX(_Helpers!$P$2:$P$91,$O19-2+1))</f>
        <v>OK</v>
      </c>
      <c r="J19" s="28" t="n">
        <f aca="false">IF($O19="","",INDEX(_Helpers!$V$2:$V$91,$O19-2+1))</f>
        <v>0.0126313399922168</v>
      </c>
      <c r="K19" s="29" t="str">
        <f aca="false">IF($O19="","",INDEX(_Helpers!$AJ$2:$AJ$91,$O19-2+1))</f>
        <v>Basic Salary</v>
      </c>
      <c r="L19" s="27" t="n">
        <f aca="false">IF($O19="","",INDEX(_Helpers!$AK$2:$AK$91,$O19-2+1))</f>
        <v>46.7399999999998</v>
      </c>
      <c r="M19" s="30"/>
      <c r="N19" s="2"/>
      <c r="O19" s="25" t="n">
        <f aca="false" t="array" ref="O19:O19">IFERROR(SMALL(IF(_Helpers!$F$2:$F$91=1,ROW(_Helpers!$F$2:$F$91)),ROWS($A$4:A19)),"")</f>
        <v>17</v>
      </c>
    </row>
    <row r="20" customFormat="false" ht="15" hidden="false" customHeight="false" outlineLevel="0" collapsed="false">
      <c r="A20" s="26" t="str">
        <f aca="false">IF($O20="","",INDEX(_Helpers!$A$2:$A$91,$O20-2+1))</f>
        <v>P28131</v>
      </c>
      <c r="B20" s="26" t="str">
        <f aca="false">IF($O20="","",INDEX(_Helpers!$D$2:$D$91,$O20-2+1))</f>
        <v>Oakfield Dental Practice</v>
      </c>
      <c r="C20" s="27" t="n">
        <f aca="false">IF($O20="","",INDEX(_Helpers!$B$2:$B$91,$O20-2+1))</f>
        <v>2051.59</v>
      </c>
      <c r="D20" s="27" t="n">
        <f aca="false">IF($O20="","",INDEX(_Helpers!$C$2:$C$91,$O20-2+1))</f>
        <v>2382.17</v>
      </c>
      <c r="E20" s="27" t="n">
        <f aca="false">IF($O20="","",INDEX(_Helpers!$L$2:$L$91,$O20-2+1))</f>
        <v>330.58</v>
      </c>
      <c r="F20" s="28" t="n">
        <f aca="false">IF($O20="","",INDEX(_Helpers!$M$2:$M$91,$O20-2+1))</f>
        <v>0.161133559824331</v>
      </c>
      <c r="G20" s="29" t="str">
        <f aca="false">IF($O20="","",IF(INDEX(_Helpers!$G$2:$G$91,$O20-2+1)=1,"Starter",""))</f>
        <v/>
      </c>
      <c r="H20" s="29" t="str">
        <f aca="false">IF($O20="","",IF(INDEX(_Helpers!$H$2:$H$91,$O20-2+1)=1,"Leaver",""))</f>
        <v/>
      </c>
      <c r="I20" s="29" t="str">
        <f aca="false">IF($O20="","",INDEX(_Helpers!$P$2:$P$91,$O20-2+1))</f>
        <v>OK</v>
      </c>
      <c r="J20" s="28" t="n">
        <f aca="false">IF($O20="","",INDEX(_Helpers!$V$2:$V$91,$O20-2+1))</f>
        <v>0.161132273030888</v>
      </c>
      <c r="K20" s="29" t="str">
        <f aca="false">IF($O20="","",INDEX(_Helpers!$AJ$2:$AJ$91,$O20-2+1))</f>
        <v>Basic Salary</v>
      </c>
      <c r="L20" s="27" t="n">
        <f aca="false">IF($O20="","",INDEX(_Helpers!$AK$2:$AK$91,$O20-2+1))</f>
        <v>446.28</v>
      </c>
      <c r="M20" s="30"/>
      <c r="N20" s="2"/>
      <c r="O20" s="25" t="n">
        <f aca="false" t="array" ref="O20:O20">IFERROR(SMALL(IF(_Helpers!$F$2:$F$91=1,ROW(_Helpers!$F$2:$F$91)),ROWS($A$4:A20)),"")</f>
        <v>18</v>
      </c>
    </row>
    <row r="21" customFormat="false" ht="15" hidden="false" customHeight="false" outlineLevel="0" collapsed="false">
      <c r="A21" s="26" t="str">
        <f aca="false">IF($O21="","",INDEX(_Helpers!$A$2:$A$91,$O21-2+1))</f>
        <v>P24371</v>
      </c>
      <c r="B21" s="26" t="str">
        <f aca="false">IF($O21="","",INDEX(_Helpers!$D$2:$D$91,$O21-2+1))</f>
        <v>Hakim Group Head Office</v>
      </c>
      <c r="C21" s="27" t="n">
        <f aca="false">IF($O21="","",INDEX(_Helpers!$B$2:$B$91,$O21-2+1))</f>
        <v>1563.64</v>
      </c>
      <c r="D21" s="27" t="n">
        <f aca="false">IF($O21="","",INDEX(_Helpers!$C$2:$C$91,$O21-2+1))</f>
        <v>1525.4</v>
      </c>
      <c r="E21" s="27" t="n">
        <f aca="false">IF($O21="","",INDEX(_Helpers!$L$2:$L$91,$O21-2+1))</f>
        <v>-38.24</v>
      </c>
      <c r="F21" s="28" t="n">
        <f aca="false">IF($O21="","",INDEX(_Helpers!$M$2:$M$91,$O21-2+1))</f>
        <v>-0.0244557570796347</v>
      </c>
      <c r="G21" s="29" t="str">
        <f aca="false">IF($O21="","",IF(INDEX(_Helpers!$G$2:$G$91,$O21-2+1)=1,"Starter",""))</f>
        <v/>
      </c>
      <c r="H21" s="29" t="str">
        <f aca="false">IF($O21="","",IF(INDEX(_Helpers!$H$2:$H$91,$O21-2+1)=1,"Leaver",""))</f>
        <v/>
      </c>
      <c r="I21" s="29" t="str">
        <f aca="false">IF($O21="","",INDEX(_Helpers!$P$2:$P$91,$O21-2+1))</f>
        <v>OK</v>
      </c>
      <c r="J21" s="28" t="n">
        <f aca="false">IF($O21="","",INDEX(_Helpers!$V$2:$V$91,$O21-2+1))</f>
        <v>-0.0244539085039153</v>
      </c>
      <c r="K21" s="29" t="str">
        <f aca="false">IF($O21="","",INDEX(_Helpers!$AJ$2:$AJ$91,$O21-2+1))</f>
        <v>Basic Salary</v>
      </c>
      <c r="L21" s="27" t="n">
        <f aca="false">IF($O21="","",INDEX(_Helpers!$AK$2:$AK$91,$O21-2+1))</f>
        <v>-51.6199999999999</v>
      </c>
      <c r="M21" s="30"/>
      <c r="N21" s="2"/>
      <c r="O21" s="25" t="n">
        <f aca="false" t="array" ref="O21:O21">IFERROR(SMALL(IF(_Helpers!$F$2:$F$91=1,ROW(_Helpers!$F$2:$F$91)),ROWS($A$4:A21)),"")</f>
        <v>19</v>
      </c>
    </row>
    <row r="22" customFormat="false" ht="15" hidden="false" customHeight="false" outlineLevel="0" collapsed="false">
      <c r="A22" s="26" t="str">
        <f aca="false">IF($O22="","",INDEX(_Helpers!$A$2:$A$91,$O22-2+1))</f>
        <v>P60019</v>
      </c>
      <c r="B22" s="26" t="str">
        <f aca="false">IF($O22="","",INDEX(_Helpers!$D$2:$D$91,$O22-2+1))</f>
        <v>Kings Road Dental Practice</v>
      </c>
      <c r="C22" s="27" t="n">
        <f aca="false">IF($O22="","",INDEX(_Helpers!$B$2:$B$91,$O22-2+1))</f>
        <v>2159.89</v>
      </c>
      <c r="D22" s="27" t="n">
        <f aca="false">IF($O22="","",INDEX(_Helpers!$C$2:$C$91,$O22-2+1))</f>
        <v>1854.44</v>
      </c>
      <c r="E22" s="27" t="n">
        <f aca="false">IF($O22="","",INDEX(_Helpers!$L$2:$L$91,$O22-2+1))</f>
        <v>-305.45</v>
      </c>
      <c r="F22" s="28" t="n">
        <f aca="false">IF($O22="","",INDEX(_Helpers!$M$2:$M$91,$O22-2+1))</f>
        <v>-0.141419238942724</v>
      </c>
      <c r="G22" s="29" t="str">
        <f aca="false">IF($O22="","",IF(INDEX(_Helpers!$G$2:$G$91,$O22-2+1)=1,"Starter",""))</f>
        <v/>
      </c>
      <c r="H22" s="29" t="str">
        <f aca="false">IF($O22="","",IF(INDEX(_Helpers!$H$2:$H$91,$O22-2+1)=1,"Leaver",""))</f>
        <v/>
      </c>
      <c r="I22" s="29" t="str">
        <f aca="false">IF($O22="","",INDEX(_Helpers!$P$2:$P$91,$O22-2+1))</f>
        <v>OK</v>
      </c>
      <c r="J22" s="28" t="n">
        <f aca="false">IF($O22="","",INDEX(_Helpers!$V$2:$V$91,$O22-2+1))</f>
        <v>-0.141420169075913</v>
      </c>
      <c r="K22" s="29" t="str">
        <f aca="false">IF($O22="","",INDEX(_Helpers!$AJ$2:$AJ$91,$O22-2+1))</f>
        <v>Basic Salary</v>
      </c>
      <c r="L22" s="27" t="n">
        <f aca="false">IF($O22="","",INDEX(_Helpers!$AK$2:$AK$91,$O22-2+1))</f>
        <v>-412.36</v>
      </c>
      <c r="M22" s="30"/>
      <c r="N22" s="2"/>
      <c r="O22" s="25" t="n">
        <f aca="false" t="array" ref="O22:O22">IFERROR(SMALL(IF(_Helpers!$F$2:$F$91=1,ROW(_Helpers!$F$2:$F$91)),ROWS($A$4:A22)),"")</f>
        <v>20</v>
      </c>
    </row>
    <row r="23" customFormat="false" ht="15" hidden="false" customHeight="false" outlineLevel="0" collapsed="false">
      <c r="A23" s="26" t="str">
        <f aca="false">IF($O23="","",INDEX(_Helpers!$A$2:$A$91,$O23-2+1))</f>
        <v>P11504</v>
      </c>
      <c r="B23" s="26" t="str">
        <f aca="false">IF($O23="","",INDEX(_Helpers!$D$2:$D$91,$O23-2+1))</f>
        <v>Hakim Group Head Office</v>
      </c>
      <c r="C23" s="27" t="n">
        <f aca="false">IF($O23="","",INDEX(_Helpers!$B$2:$B$91,$O23-2+1))</f>
        <v>2352.41</v>
      </c>
      <c r="D23" s="27" t="n">
        <f aca="false">IF($O23="","",INDEX(_Helpers!$C$2:$C$91,$O23-2+1))</f>
        <v>2412.25</v>
      </c>
      <c r="E23" s="27" t="n">
        <f aca="false">IF($O23="","",INDEX(_Helpers!$L$2:$L$91,$O23-2+1))</f>
        <v>59.8400000000001</v>
      </c>
      <c r="F23" s="28" t="n">
        <f aca="false">IF($O23="","",INDEX(_Helpers!$M$2:$M$91,$O23-2+1))</f>
        <v>0.0254377425703853</v>
      </c>
      <c r="G23" s="29" t="str">
        <f aca="false">IF($O23="","",IF(INDEX(_Helpers!$G$2:$G$91,$O23-2+1)=1,"Starter",""))</f>
        <v/>
      </c>
      <c r="H23" s="29" t="str">
        <f aca="false">IF($O23="","",IF(INDEX(_Helpers!$H$2:$H$91,$O23-2+1)=1,"Leaver",""))</f>
        <v/>
      </c>
      <c r="I23" s="29" t="str">
        <f aca="false">IF($O23="","",INDEX(_Helpers!$P$2:$P$91,$O23-2+1))</f>
        <v>OK</v>
      </c>
      <c r="J23" s="28" t="n">
        <f aca="false">IF($O23="","",INDEX(_Helpers!$V$2:$V$91,$O23-2+1))</f>
        <v>0.0254396599228529</v>
      </c>
      <c r="K23" s="29" t="str">
        <f aca="false">IF($O23="","",INDEX(_Helpers!$AJ$2:$AJ$91,$O23-2+1))</f>
        <v>Basic Salary</v>
      </c>
      <c r="L23" s="27" t="n">
        <f aca="false">IF($O23="","",INDEX(_Helpers!$AK$2:$AK$91,$O23-2+1))</f>
        <v>80.79</v>
      </c>
      <c r="M23" s="30"/>
      <c r="N23" s="2"/>
      <c r="O23" s="25" t="n">
        <f aca="false" t="array" ref="O23:O23">IFERROR(SMALL(IF(_Helpers!$F$2:$F$91=1,ROW(_Helpers!$F$2:$F$91)),ROWS($A$4:A23)),"")</f>
        <v>21</v>
      </c>
    </row>
    <row r="24" customFormat="false" ht="15" hidden="false" customHeight="false" outlineLevel="0" collapsed="false">
      <c r="A24" s="26" t="str">
        <f aca="false">IF($O24="","",INDEX(_Helpers!$A$2:$A$91,$O24-2+1))</f>
        <v>P54587</v>
      </c>
      <c r="B24" s="26" t="str">
        <f aca="false">IF($O24="","",INDEX(_Helpers!$D$2:$D$91,$O24-2+1))</f>
        <v>Riverside Dental Practice</v>
      </c>
      <c r="C24" s="27" t="n">
        <f aca="false">IF($O24="","",INDEX(_Helpers!$B$2:$B$91,$O24-2+1))</f>
        <v>2751.58</v>
      </c>
      <c r="D24" s="27" t="n">
        <f aca="false">IF($O24="","",INDEX(_Helpers!$C$2:$C$91,$O24-2+1))</f>
        <v>2991.04</v>
      </c>
      <c r="E24" s="27" t="n">
        <f aca="false">IF($O24="","",INDEX(_Helpers!$L$2:$L$91,$O24-2+1))</f>
        <v>239.46</v>
      </c>
      <c r="F24" s="28" t="n">
        <f aca="false">IF($O24="","",INDEX(_Helpers!$M$2:$M$91,$O24-2+1))</f>
        <v>0.0870263630350562</v>
      </c>
      <c r="G24" s="29" t="str">
        <f aca="false">IF($O24="","",IF(INDEX(_Helpers!$G$2:$G$91,$O24-2+1)=1,"Starter",""))</f>
        <v/>
      </c>
      <c r="H24" s="29" t="str">
        <f aca="false">IF($O24="","",IF(INDEX(_Helpers!$H$2:$H$91,$O24-2+1)=1,"Leaver",""))</f>
        <v/>
      </c>
      <c r="I24" s="29" t="str">
        <f aca="false">IF($O24="","",INDEX(_Helpers!$P$2:$P$91,$O24-2+1))</f>
        <v>OK</v>
      </c>
      <c r="J24" s="28" t="n">
        <f aca="false">IF($O24="","",INDEX(_Helpers!$V$2:$V$91,$O24-2+1))</f>
        <v>0.0870261641132495</v>
      </c>
      <c r="K24" s="29" t="str">
        <f aca="false">IF($O24="","",INDEX(_Helpers!$AJ$2:$AJ$91,$O24-2+1))</f>
        <v>Basic Salary</v>
      </c>
      <c r="L24" s="27" t="n">
        <f aca="false">IF($O24="","",INDEX(_Helpers!$AK$2:$AK$91,$O24-2+1))</f>
        <v>323.27</v>
      </c>
      <c r="M24" s="30"/>
      <c r="N24" s="2"/>
      <c r="O24" s="25" t="n">
        <f aca="false" t="array" ref="O24:O24">IFERROR(SMALL(IF(_Helpers!$F$2:$F$91=1,ROW(_Helpers!$F$2:$F$91)),ROWS($A$4:A24)),"")</f>
        <v>22</v>
      </c>
    </row>
    <row r="25" customFormat="false" ht="15" hidden="false" customHeight="false" outlineLevel="0" collapsed="false">
      <c r="A25" s="26" t="str">
        <f aca="false">IF($O25="","",INDEX(_Helpers!$A$2:$A$91,$O25-2+1))</f>
        <v>P44522</v>
      </c>
      <c r="B25" s="26" t="str">
        <f aca="false">IF($O25="","",INDEX(_Helpers!$D$2:$D$91,$O25-2+1))</f>
        <v>Riverside Dental Practice</v>
      </c>
      <c r="C25" s="27" t="n">
        <f aca="false">IF($O25="","",INDEX(_Helpers!$B$2:$B$91,$O25-2+1))</f>
        <v>2216.7</v>
      </c>
      <c r="D25" s="27" t="n">
        <f aca="false">IF($O25="","",INDEX(_Helpers!$C$2:$C$91,$O25-2+1))</f>
        <v>2542.64</v>
      </c>
      <c r="E25" s="27" t="n">
        <f aca="false">IF($O25="","",INDEX(_Helpers!$L$2:$L$91,$O25-2+1))</f>
        <v>325.94</v>
      </c>
      <c r="F25" s="28" t="n">
        <f aca="false">IF($O25="","",INDEX(_Helpers!$M$2:$M$91,$O25-2+1))</f>
        <v>0.147038390400144</v>
      </c>
      <c r="G25" s="29" t="str">
        <f aca="false">IF($O25="","",IF(INDEX(_Helpers!$G$2:$G$91,$O25-2+1)=1,"Starter",""))</f>
        <v/>
      </c>
      <c r="H25" s="29" t="str">
        <f aca="false">IF($O25="","",IF(INDEX(_Helpers!$H$2:$H$91,$O25-2+1)=1,"Leaver",""))</f>
        <v/>
      </c>
      <c r="I25" s="29" t="str">
        <f aca="false">IF($O25="","",INDEX(_Helpers!$P$2:$P$91,$O25-2+1))</f>
        <v>OK</v>
      </c>
      <c r="J25" s="28" t="n">
        <f aca="false">IF($O25="","",INDEX(_Helpers!$V$2:$V$91,$O25-2+1))</f>
        <v>0.147035137257523</v>
      </c>
      <c r="K25" s="29" t="str">
        <f aca="false">IF($O25="","",INDEX(_Helpers!$AJ$2:$AJ$91,$O25-2+1))</f>
        <v>Basic Salary</v>
      </c>
      <c r="L25" s="27" t="n">
        <f aca="false">IF($O25="","",INDEX(_Helpers!$AK$2:$AK$91,$O25-2+1))</f>
        <v>440.01</v>
      </c>
      <c r="M25" s="30"/>
      <c r="N25" s="2"/>
      <c r="O25" s="25" t="n">
        <f aca="false" t="array" ref="O25:O25">IFERROR(SMALL(IF(_Helpers!$F$2:$F$91=1,ROW(_Helpers!$F$2:$F$91)),ROWS($A$4:A25)),"")</f>
        <v>23</v>
      </c>
    </row>
    <row r="26" customFormat="false" ht="15" hidden="false" customHeight="false" outlineLevel="0" collapsed="false">
      <c r="A26" s="26" t="str">
        <f aca="false">IF($O26="","",INDEX(_Helpers!$A$2:$A$91,$O26-2+1))</f>
        <v>P91959</v>
      </c>
      <c r="B26" s="26" t="str">
        <f aca="false">IF($O26="","",INDEX(_Helpers!$D$2:$D$91,$O26-2+1))</f>
        <v>Hakim Group Head Office</v>
      </c>
      <c r="C26" s="27" t="n">
        <f aca="false">IF($O26="","",INDEX(_Helpers!$B$2:$B$91,$O26-2+1))</f>
        <v>2313.83</v>
      </c>
      <c r="D26" s="27" t="n">
        <f aca="false">IF($O26="","",INDEX(_Helpers!$C$2:$C$91,$O26-2+1))</f>
        <v>2264.65</v>
      </c>
      <c r="E26" s="27" t="n">
        <f aca="false">IF($O26="","",INDEX(_Helpers!$L$2:$L$91,$O26-2+1))</f>
        <v>-49.1799999999998</v>
      </c>
      <c r="F26" s="28" t="n">
        <f aca="false">IF($O26="","",INDEX(_Helpers!$M$2:$M$91,$O26-2+1))</f>
        <v>-0.0212548026432365</v>
      </c>
      <c r="G26" s="29" t="str">
        <f aca="false">IF($O26="","",IF(INDEX(_Helpers!$G$2:$G$91,$O26-2+1)=1,"Starter",""))</f>
        <v/>
      </c>
      <c r="H26" s="29" t="str">
        <f aca="false">IF($O26="","",IF(INDEX(_Helpers!$H$2:$H$91,$O26-2+1)=1,"Leaver",""))</f>
        <v/>
      </c>
      <c r="I26" s="29" t="str">
        <f aca="false">IF($O26="","",INDEX(_Helpers!$P$2:$P$91,$O26-2+1))</f>
        <v>OK</v>
      </c>
      <c r="J26" s="28" t="n">
        <f aca="false">IF($O26="","",INDEX(_Helpers!$V$2:$V$91,$O26-2+1))</f>
        <v>-0.0212538456367029</v>
      </c>
      <c r="K26" s="29" t="str">
        <f aca="false">IF($O26="","",INDEX(_Helpers!$AJ$2:$AJ$91,$O26-2+1))</f>
        <v>Basic Salary</v>
      </c>
      <c r="L26" s="27" t="n">
        <f aca="false">IF($O26="","",INDEX(_Helpers!$AK$2:$AK$91,$O26-2+1))</f>
        <v>-66.3899999999999</v>
      </c>
      <c r="M26" s="30"/>
      <c r="N26" s="2"/>
      <c r="O26" s="25" t="n">
        <f aca="false" t="array" ref="O26:O26">IFERROR(SMALL(IF(_Helpers!$F$2:$F$91=1,ROW(_Helpers!$F$2:$F$91)),ROWS($A$4:A26)),"")</f>
        <v>24</v>
      </c>
    </row>
    <row r="27" customFormat="false" ht="15" hidden="false" customHeight="false" outlineLevel="0" collapsed="false">
      <c r="A27" s="26" t="str">
        <f aca="false">IF($O27="","",INDEX(_Helpers!$A$2:$A$91,$O27-2+1))</f>
        <v>P80697</v>
      </c>
      <c r="B27" s="26" t="str">
        <f aca="false">IF($O27="","",INDEX(_Helpers!$D$2:$D$91,$O27-2+1))</f>
        <v>Elm Park Dental Practice</v>
      </c>
      <c r="C27" s="27" t="n">
        <f aca="false">IF($O27="","",INDEX(_Helpers!$B$2:$B$91,$O27-2+1))</f>
        <v>1675.11</v>
      </c>
      <c r="D27" s="27" t="n">
        <f aca="false">IF($O27="","",INDEX(_Helpers!$C$2:$C$91,$O27-2+1))</f>
        <v>1817.58</v>
      </c>
      <c r="E27" s="27" t="n">
        <f aca="false">IF($O27="","",INDEX(_Helpers!$L$2:$L$91,$O27-2+1))</f>
        <v>142.47</v>
      </c>
      <c r="F27" s="28" t="n">
        <f aca="false">IF($O27="","",INDEX(_Helpers!$M$2:$M$91,$O27-2+1))</f>
        <v>0.0850511309705034</v>
      </c>
      <c r="G27" s="29" t="str">
        <f aca="false">IF($O27="","",IF(INDEX(_Helpers!$G$2:$G$91,$O27-2+1)=1,"Starter",""))</f>
        <v/>
      </c>
      <c r="H27" s="29" t="str">
        <f aca="false">IF($O27="","",IF(INDEX(_Helpers!$H$2:$H$91,$O27-2+1)=1,"Leaver",""))</f>
        <v/>
      </c>
      <c r="I27" s="29" t="str">
        <f aca="false">IF($O27="","",INDEX(_Helpers!$P$2:$P$91,$O27-2+1))</f>
        <v>OK</v>
      </c>
      <c r="J27" s="28" t="n">
        <f aca="false">IF($O27="","",INDEX(_Helpers!$V$2:$V$91,$O27-2+1))</f>
        <v>0.0850490846378349</v>
      </c>
      <c r="K27" s="29" t="str">
        <f aca="false">IF($O27="","",INDEX(_Helpers!$AJ$2:$AJ$91,$O27-2+1))</f>
        <v>Basic Salary</v>
      </c>
      <c r="L27" s="27" t="n">
        <f aca="false">IF($O27="","",INDEX(_Helpers!$AK$2:$AK$91,$O27-2+1))</f>
        <v>192.33</v>
      </c>
      <c r="M27" s="30"/>
      <c r="N27" s="2"/>
      <c r="O27" s="25" t="n">
        <f aca="false" t="array" ref="O27:O27">IFERROR(SMALL(IF(_Helpers!$F$2:$F$91=1,ROW(_Helpers!$F$2:$F$91)),ROWS($A$4:A27)),"")</f>
        <v>25</v>
      </c>
    </row>
    <row r="28" customFormat="false" ht="15" hidden="false" customHeight="false" outlineLevel="0" collapsed="false">
      <c r="A28" s="26" t="str">
        <f aca="false">IF($O28="","",INDEX(_Helpers!$A$2:$A$91,$O28-2+1))</f>
        <v>P24662</v>
      </c>
      <c r="B28" s="26" t="str">
        <f aca="false">IF($O28="","",INDEX(_Helpers!$D$2:$D$91,$O28-2+1))</f>
        <v>Hakim Group Head Office</v>
      </c>
      <c r="C28" s="27" t="n">
        <f aca="false">IF($O28="","",INDEX(_Helpers!$B$2:$B$91,$O28-2+1))</f>
        <v>2478.1</v>
      </c>
      <c r="D28" s="27" t="n">
        <f aca="false">IF($O28="","",INDEX(_Helpers!$C$2:$C$91,$O28-2+1))</f>
        <v>2476.58</v>
      </c>
      <c r="E28" s="27" t="n">
        <f aca="false">IF($O28="","",INDEX(_Helpers!$L$2:$L$91,$O28-2+1))</f>
        <v>-1.51999999999998</v>
      </c>
      <c r="F28" s="28" t="n">
        <f aca="false">IF($O28="","",INDEX(_Helpers!$M$2:$M$91,$O28-2+1))</f>
        <v>-0.000613373148783335</v>
      </c>
      <c r="G28" s="29" t="str">
        <f aca="false">IF($O28="","",IF(INDEX(_Helpers!$G$2:$G$91,$O28-2+1)=1,"Starter",""))</f>
        <v/>
      </c>
      <c r="H28" s="29" t="str">
        <f aca="false">IF($O28="","",IF(INDEX(_Helpers!$H$2:$H$91,$O28-2+1)=1,"Leaver",""))</f>
        <v/>
      </c>
      <c r="I28" s="29" t="str">
        <f aca="false">IF($O28="","",INDEX(_Helpers!$P$2:$P$91,$O28-2+1))</f>
        <v>OK</v>
      </c>
      <c r="J28" s="28" t="n">
        <f aca="false">IF($O28="","",INDEX(_Helpers!$V$2:$V$91,$O28-2+1))</f>
        <v>-0.000615763546798013</v>
      </c>
      <c r="K28" s="29" t="str">
        <f aca="false">IF($O28="","",INDEX(_Helpers!$AJ$2:$AJ$91,$O28-2+1))</f>
        <v>Basic Salary</v>
      </c>
      <c r="L28" s="27" t="n">
        <f aca="false">IF($O28="","",INDEX(_Helpers!$AK$2:$AK$91,$O28-2+1))</f>
        <v>-2.05999999999995</v>
      </c>
      <c r="M28" s="30"/>
      <c r="N28" s="2"/>
      <c r="O28" s="25" t="n">
        <f aca="false" t="array" ref="O28:O28">IFERROR(SMALL(IF(_Helpers!$F$2:$F$91=1,ROW(_Helpers!$F$2:$F$91)),ROWS($A$4:A28)),"")</f>
        <v>26</v>
      </c>
    </row>
    <row r="29" customFormat="false" ht="15" hidden="false" customHeight="false" outlineLevel="0" collapsed="false">
      <c r="A29" s="26" t="str">
        <f aca="false">IF($O29="","",INDEX(_Helpers!$A$2:$A$91,$O29-2+1))</f>
        <v>P84364</v>
      </c>
      <c r="B29" s="26" t="str">
        <f aca="false">IF($O29="","",INDEX(_Helpers!$D$2:$D$91,$O29-2+1))</f>
        <v>Elm Park Dental Practice</v>
      </c>
      <c r="C29" s="27" t="n">
        <f aca="false">IF($O29="","",INDEX(_Helpers!$B$2:$B$91,$O29-2+1))</f>
        <v>1831.01</v>
      </c>
      <c r="D29" s="27" t="n">
        <f aca="false">IF($O29="","",INDEX(_Helpers!$C$2:$C$91,$O29-2+1))</f>
        <v>1677.29</v>
      </c>
      <c r="E29" s="27" t="n">
        <f aca="false">IF($O29="","",INDEX(_Helpers!$L$2:$L$91,$O29-2+1))</f>
        <v>-153.72</v>
      </c>
      <c r="F29" s="28" t="n">
        <f aca="false">IF($O29="","",INDEX(_Helpers!$M$2:$M$91,$O29-2+1))</f>
        <v>-0.0839536649171769</v>
      </c>
      <c r="G29" s="29" t="str">
        <f aca="false">IF($O29="","",IF(INDEX(_Helpers!$G$2:$G$91,$O29-2+1)=1,"Starter",""))</f>
        <v/>
      </c>
      <c r="H29" s="29" t="str">
        <f aca="false">IF($O29="","",IF(INDEX(_Helpers!$H$2:$H$91,$O29-2+1)=1,"Leaver",""))</f>
        <v/>
      </c>
      <c r="I29" s="29" t="str">
        <f aca="false">IF($O29="","",INDEX(_Helpers!$P$2:$P$91,$O29-2+1))</f>
        <v>OK</v>
      </c>
      <c r="J29" s="28" t="n">
        <f aca="false">IF($O29="","",INDEX(_Helpers!$V$2:$V$91,$O29-2+1))</f>
        <v>-0.083956680569771</v>
      </c>
      <c r="K29" s="29" t="str">
        <f aca="false">IF($O29="","",INDEX(_Helpers!$AJ$2:$AJ$91,$O29-2+1))</f>
        <v>Basic Salary</v>
      </c>
      <c r="L29" s="27" t="n">
        <f aca="false">IF($O29="","",INDEX(_Helpers!$AK$2:$AK$91,$O29-2+1))</f>
        <v>-207.53</v>
      </c>
      <c r="M29" s="30"/>
      <c r="N29" s="2"/>
      <c r="O29" s="25" t="n">
        <f aca="false" t="array" ref="O29:O29">IFERROR(SMALL(IF(_Helpers!$F$2:$F$91=1,ROW(_Helpers!$F$2:$F$91)),ROWS($A$4:A29)),"")</f>
        <v>27</v>
      </c>
    </row>
    <row r="30" customFormat="false" ht="15" hidden="false" customHeight="false" outlineLevel="0" collapsed="false">
      <c r="A30" s="26" t="str">
        <f aca="false">IF($O30="","",INDEX(_Helpers!$A$2:$A$91,$O30-2+1))</f>
        <v>P79822</v>
      </c>
      <c r="B30" s="26" t="str">
        <f aca="false">IF($O30="","",INDEX(_Helpers!$D$2:$D$91,$O30-2+1))</f>
        <v>Riverside Dental Practice</v>
      </c>
      <c r="C30" s="27" t="n">
        <f aca="false">IF($O30="","",INDEX(_Helpers!$B$2:$B$91,$O30-2+1))</f>
        <v>2868.84</v>
      </c>
      <c r="D30" s="27" t="n">
        <f aca="false">IF($O30="","",INDEX(_Helpers!$C$2:$C$91,$O30-2+1))</f>
        <v>3313.13</v>
      </c>
      <c r="E30" s="27" t="n">
        <f aca="false">IF($O30="","",INDEX(_Helpers!$L$2:$L$91,$O30-2+1))</f>
        <v>444.29</v>
      </c>
      <c r="F30" s="28" t="n">
        <f aca="false">IF($O30="","",INDEX(_Helpers!$M$2:$M$91,$O30-2+1))</f>
        <v>0.154867472567309</v>
      </c>
      <c r="G30" s="29" t="str">
        <f aca="false">IF($O30="","",IF(INDEX(_Helpers!$G$2:$G$91,$O30-2+1)=1,"Starter",""))</f>
        <v/>
      </c>
      <c r="H30" s="29" t="str">
        <f aca="false">IF($O30="","",IF(INDEX(_Helpers!$H$2:$H$91,$O30-2+1)=1,"Leaver",""))</f>
        <v/>
      </c>
      <c r="I30" s="29" t="str">
        <f aca="false">IF($O30="","",INDEX(_Helpers!$P$2:$P$91,$O30-2+1))</f>
        <v>OK</v>
      </c>
      <c r="J30" s="28" t="n">
        <f aca="false">IF($O30="","",INDEX(_Helpers!$V$2:$V$91,$O30-2+1))</f>
        <v>0.154866845342298</v>
      </c>
      <c r="K30" s="29" t="str">
        <f aca="false">IF($O30="","",INDEX(_Helpers!$AJ$2:$AJ$91,$O30-2+1))</f>
        <v>Basic Salary</v>
      </c>
      <c r="L30" s="27" t="n">
        <f aca="false">IF($O30="","",INDEX(_Helpers!$AK$2:$AK$91,$O30-2+1))</f>
        <v>599.79</v>
      </c>
      <c r="M30" s="30"/>
      <c r="N30" s="2"/>
      <c r="O30" s="25" t="n">
        <f aca="false" t="array" ref="O30:O30">IFERROR(SMALL(IF(_Helpers!$F$2:$F$91=1,ROW(_Helpers!$F$2:$F$91)),ROWS($A$4:A30)),"")</f>
        <v>28</v>
      </c>
    </row>
    <row r="31" customFormat="false" ht="15" hidden="false" customHeight="false" outlineLevel="0" collapsed="false">
      <c r="A31" s="26" t="str">
        <f aca="false">IF($O31="","",INDEX(_Helpers!$A$2:$A$91,$O31-2+1))</f>
        <v>P79163</v>
      </c>
      <c r="B31" s="26" t="str">
        <f aca="false">IF($O31="","",INDEX(_Helpers!$D$2:$D$91,$O31-2+1))</f>
        <v>Kings Road Dental Practice</v>
      </c>
      <c r="C31" s="27" t="n">
        <f aca="false">IF($O31="","",INDEX(_Helpers!$B$2:$B$91,$O31-2+1))</f>
        <v>3104.33</v>
      </c>
      <c r="D31" s="27" t="n">
        <f aca="false">IF($O31="","",INDEX(_Helpers!$C$2:$C$91,$O31-2+1))</f>
        <v>2767.51</v>
      </c>
      <c r="E31" s="27" t="n">
        <f aca="false">IF($O31="","",INDEX(_Helpers!$L$2:$L$91,$O31-2+1))</f>
        <v>-336.82</v>
      </c>
      <c r="F31" s="28" t="n">
        <f aca="false">IF($O31="","",INDEX(_Helpers!$M$2:$M$91,$O31-2+1))</f>
        <v>-0.108500062815487</v>
      </c>
      <c r="G31" s="29" t="str">
        <f aca="false">IF($O31="","",IF(INDEX(_Helpers!$G$2:$G$91,$O31-2+1)=1,"Starter",""))</f>
        <v/>
      </c>
      <c r="H31" s="29" t="str">
        <f aca="false">IF($O31="","",IF(INDEX(_Helpers!$H$2:$H$91,$O31-2+1)=1,"Leaver",""))</f>
        <v/>
      </c>
      <c r="I31" s="29" t="str">
        <f aca="false">IF($O31="","",INDEX(_Helpers!$P$2:$P$91,$O31-2+1))</f>
        <v>OK</v>
      </c>
      <c r="J31" s="28" t="n">
        <f aca="false">IF($O31="","",INDEX(_Helpers!$V$2:$V$91,$O31-2+1))</f>
        <v>-0.108498534899925</v>
      </c>
      <c r="K31" s="29" t="str">
        <f aca="false">IF($O31="","",INDEX(_Helpers!$AJ$2:$AJ$91,$O31-2+1))</f>
        <v>Basic Salary</v>
      </c>
      <c r="L31" s="27" t="n">
        <f aca="false">IF($O31="","",INDEX(_Helpers!$AK$2:$AK$91,$O31-2+1))</f>
        <v>-454.7</v>
      </c>
      <c r="M31" s="30"/>
      <c r="N31" s="2"/>
      <c r="O31" s="25" t="n">
        <f aca="false" t="array" ref="O31:O31">IFERROR(SMALL(IF(_Helpers!$F$2:$F$91=1,ROW(_Helpers!$F$2:$F$91)),ROWS($A$4:A31)),"")</f>
        <v>29</v>
      </c>
    </row>
    <row r="32" customFormat="false" ht="15" hidden="false" customHeight="false" outlineLevel="0" collapsed="false">
      <c r="A32" s="26" t="str">
        <f aca="false">IF($O32="","",INDEX(_Helpers!$A$2:$A$91,$O32-2+1))</f>
        <v>P36365</v>
      </c>
      <c r="B32" s="26" t="str">
        <f aca="false">IF($O32="","",INDEX(_Helpers!$D$2:$D$91,$O32-2+1))</f>
        <v>Hakim Group Head Office</v>
      </c>
      <c r="C32" s="27" t="n">
        <f aca="false">IF($O32="","",INDEX(_Helpers!$B$2:$B$91,$O32-2+1))</f>
        <v>3135.85</v>
      </c>
      <c r="D32" s="27" t="n">
        <f aca="false">IF($O32="","",INDEX(_Helpers!$C$2:$C$91,$O32-2+1))</f>
        <v>3208.48</v>
      </c>
      <c r="E32" s="27" t="n">
        <f aca="false">IF($O32="","",INDEX(_Helpers!$L$2:$L$91,$O32-2+1))</f>
        <v>72.6300000000001</v>
      </c>
      <c r="F32" s="28" t="n">
        <f aca="false">IF($O32="","",INDEX(_Helpers!$M$2:$M$91,$O32-2+1))</f>
        <v>0.0231611843678748</v>
      </c>
      <c r="G32" s="29" t="str">
        <f aca="false">IF($O32="","",IF(INDEX(_Helpers!$G$2:$G$91,$O32-2+1)=1,"Starter",""))</f>
        <v/>
      </c>
      <c r="H32" s="29" t="str">
        <f aca="false">IF($O32="","",IF(INDEX(_Helpers!$H$2:$H$91,$O32-2+1)=1,"Leaver",""))</f>
        <v/>
      </c>
      <c r="I32" s="29" t="str">
        <f aca="false">IF($O32="","",INDEX(_Helpers!$P$2:$P$91,$O32-2+1))</f>
        <v>OK</v>
      </c>
      <c r="J32" s="28" t="n">
        <f aca="false">IF($O32="","",INDEX(_Helpers!$V$2:$V$91,$O32-2+1))</f>
        <v>0.0231610525818492</v>
      </c>
      <c r="K32" s="29" t="str">
        <f aca="false">IF($O32="","",INDEX(_Helpers!$AJ$2:$AJ$91,$O32-2+1))</f>
        <v>Basic Salary</v>
      </c>
      <c r="L32" s="27" t="n">
        <f aca="false">IF($O32="","",INDEX(_Helpers!$AK$2:$AK$91,$O32-2+1))</f>
        <v>98.0500000000002</v>
      </c>
      <c r="M32" s="30"/>
      <c r="N32" s="2"/>
      <c r="O32" s="25" t="n">
        <f aca="false" t="array" ref="O32:O32">IFERROR(SMALL(IF(_Helpers!$F$2:$F$91=1,ROW(_Helpers!$F$2:$F$91)),ROWS($A$4:A32)),"")</f>
        <v>30</v>
      </c>
    </row>
    <row r="33" customFormat="false" ht="15" hidden="false" customHeight="false" outlineLevel="0" collapsed="false">
      <c r="A33" s="26" t="str">
        <f aca="false">IF($O33="","",INDEX(_Helpers!$A$2:$A$91,$O33-2+1))</f>
        <v>P25860</v>
      </c>
      <c r="B33" s="26" t="str">
        <f aca="false">IF($O33="","",INDEX(_Helpers!$D$2:$D$91,$O33-2+1))</f>
        <v>Elm Park Dental Practice</v>
      </c>
      <c r="C33" s="27" t="n">
        <f aca="false">IF($O33="","",INDEX(_Helpers!$B$2:$B$91,$O33-2+1))</f>
        <v>2188.58</v>
      </c>
      <c r="D33" s="27" t="n">
        <f aca="false">IF($O33="","",INDEX(_Helpers!$C$2:$C$91,$O33-2+1))</f>
        <v>2201.04</v>
      </c>
      <c r="E33" s="27" t="n">
        <f aca="false">IF($O33="","",INDEX(_Helpers!$L$2:$L$91,$O33-2+1))</f>
        <v>12.46</v>
      </c>
      <c r="F33" s="28" t="n">
        <f aca="false">IF($O33="","",INDEX(_Helpers!$M$2:$M$91,$O33-2+1))</f>
        <v>0.00569318919116506</v>
      </c>
      <c r="G33" s="29" t="str">
        <f aca="false">IF($O33="","",IF(INDEX(_Helpers!$G$2:$G$91,$O33-2+1)=1,"Starter",""))</f>
        <v/>
      </c>
      <c r="H33" s="29" t="str">
        <f aca="false">IF($O33="","",IF(INDEX(_Helpers!$H$2:$H$91,$O33-2+1)=1,"Leaver",""))</f>
        <v/>
      </c>
      <c r="I33" s="29" t="str">
        <f aca="false">IF($O33="","",INDEX(_Helpers!$P$2:$P$91,$O33-2+1))</f>
        <v>OK</v>
      </c>
      <c r="J33" s="28" t="n">
        <f aca="false">IF($O33="","",INDEX(_Helpers!$V$2:$V$91,$O33-2+1))</f>
        <v>0.00569285651429312</v>
      </c>
      <c r="K33" s="29" t="str">
        <f aca="false">IF($O33="","",INDEX(_Helpers!$AJ$2:$AJ$91,$O33-2+1))</f>
        <v>Basic Salary</v>
      </c>
      <c r="L33" s="27" t="n">
        <f aca="false">IF($O33="","",INDEX(_Helpers!$AK$2:$AK$91,$O33-2+1))</f>
        <v>16.8200000000002</v>
      </c>
      <c r="M33" s="30"/>
      <c r="N33" s="2"/>
      <c r="O33" s="25" t="n">
        <f aca="false" t="array" ref="O33:O33">IFERROR(SMALL(IF(_Helpers!$F$2:$F$91=1,ROW(_Helpers!$F$2:$F$91)),ROWS($A$4:A33)),"")</f>
        <v>31</v>
      </c>
    </row>
    <row r="34" customFormat="false" ht="15" hidden="false" customHeight="false" outlineLevel="0" collapsed="false">
      <c r="A34" s="26" t="str">
        <f aca="false">IF($O34="","",INDEX(_Helpers!$A$2:$A$91,$O34-2+1))</f>
        <v>P82603</v>
      </c>
      <c r="B34" s="26" t="str">
        <f aca="false">IF($O34="","",INDEX(_Helpers!$D$2:$D$91,$O34-2+1))</f>
        <v>Kings Road Dental Practice</v>
      </c>
      <c r="C34" s="27" t="n">
        <f aca="false">IF($O34="","",INDEX(_Helpers!$B$2:$B$91,$O34-2+1))</f>
        <v>1625.24</v>
      </c>
      <c r="D34" s="27" t="n">
        <f aca="false">IF($O34="","",INDEX(_Helpers!$C$2:$C$91,$O34-2+1))</f>
        <v>1771.51</v>
      </c>
      <c r="E34" s="27" t="n">
        <f aca="false">IF($O34="","",INDEX(_Helpers!$L$2:$L$91,$O34-2+1))</f>
        <v>146.27</v>
      </c>
      <c r="F34" s="28" t="n">
        <f aca="false">IF($O34="","",INDEX(_Helpers!$M$2:$M$91,$O34-2+1))</f>
        <v>0.089999015530014</v>
      </c>
      <c r="G34" s="29" t="str">
        <f aca="false">IF($O34="","",IF(INDEX(_Helpers!$G$2:$G$91,$O34-2+1)=1,"Starter",""))</f>
        <v/>
      </c>
      <c r="H34" s="29" t="str">
        <f aca="false">IF($O34="","",IF(INDEX(_Helpers!$H$2:$H$91,$O34-2+1)=1,"Leaver",""))</f>
        <v/>
      </c>
      <c r="I34" s="29" t="str">
        <f aca="false">IF($O34="","",INDEX(_Helpers!$P$2:$P$91,$O34-2+1))</f>
        <v>OK</v>
      </c>
      <c r="J34" s="28" t="n">
        <f aca="false">IF($O34="","",INDEX(_Helpers!$V$2:$V$91,$O34-2+1))</f>
        <v>0.799991796218057</v>
      </c>
      <c r="K34" s="29" t="str">
        <f aca="false">IF($O34="","",INDEX(_Helpers!$AJ$2:$AJ$91,$O34-2+1))</f>
        <v>Basic Salary</v>
      </c>
      <c r="L34" s="27" t="n">
        <f aca="false">IF($O34="","",INDEX(_Helpers!$AK$2:$AK$91,$O34-2+1))</f>
        <v>195.03</v>
      </c>
      <c r="M34" s="30"/>
      <c r="N34" s="2"/>
      <c r="O34" s="25" t="n">
        <f aca="false" t="array" ref="O34:O34">IFERROR(SMALL(IF(_Helpers!$F$2:$F$91=1,ROW(_Helpers!$F$2:$F$91)),ROWS($A$4:A34)),"")</f>
        <v>32</v>
      </c>
    </row>
    <row r="35" customFormat="false" ht="15" hidden="false" customHeight="false" outlineLevel="0" collapsed="false">
      <c r="A35" s="26" t="str">
        <f aca="false">IF($O35="","",INDEX(_Helpers!$A$2:$A$91,$O35-2+1))</f>
        <v>P92719</v>
      </c>
      <c r="B35" s="26" t="str">
        <f aca="false">IF($O35="","",INDEX(_Helpers!$D$2:$D$91,$O35-2+1))</f>
        <v>Kings Road Dental Practice</v>
      </c>
      <c r="C35" s="27" t="n">
        <f aca="false">IF($O35="","",INDEX(_Helpers!$B$2:$B$91,$O35-2+1))</f>
        <v>1685.19</v>
      </c>
      <c r="D35" s="27" t="n">
        <f aca="false">IF($O35="","",INDEX(_Helpers!$C$2:$C$91,$O35-2+1))</f>
        <v>1811.58</v>
      </c>
      <c r="E35" s="27" t="n">
        <f aca="false">IF($O35="","",INDEX(_Helpers!$L$2:$L$91,$O35-2+1))</f>
        <v>126.39</v>
      </c>
      <c r="F35" s="28" t="n">
        <f aca="false">IF($O35="","",INDEX(_Helpers!$M$2:$M$91,$O35-2+1))</f>
        <v>0.0750004450536734</v>
      </c>
      <c r="G35" s="29" t="str">
        <f aca="false">IF($O35="","",IF(INDEX(_Helpers!$G$2:$G$91,$O35-2+1)=1,"Starter",""))</f>
        <v/>
      </c>
      <c r="H35" s="29" t="str">
        <f aca="false">IF($O35="","",IF(INDEX(_Helpers!$H$2:$H$91,$O35-2+1)=1,"Leaver",""))</f>
        <v/>
      </c>
      <c r="I35" s="29" t="str">
        <f aca="false">IF($O35="","",INDEX(_Helpers!$P$2:$P$91,$O35-2+1))</f>
        <v>OK</v>
      </c>
      <c r="J35" s="28" t="n">
        <f aca="false">IF($O35="","",INDEX(_Helpers!$V$2:$V$91,$O35-2+1))</f>
        <v>0</v>
      </c>
      <c r="K35" s="29" t="str">
        <f aca="false">IF($O35="","",INDEX(_Helpers!$AJ$2:$AJ$91,$O35-2+1))</f>
        <v>Bonus</v>
      </c>
      <c r="L35" s="27" t="n">
        <f aca="false">IF($O35="","",INDEX(_Helpers!$AK$2:$AK$91,$O35-2+1))</f>
        <v>168.52</v>
      </c>
      <c r="M35" s="30"/>
      <c r="N35" s="2"/>
      <c r="O35" s="25" t="n">
        <f aca="false" t="array" ref="O35:O35">IFERROR(SMALL(IF(_Helpers!$F$2:$F$91=1,ROW(_Helpers!$F$2:$F$91)),ROWS($A$4:A35)),"")</f>
        <v>33</v>
      </c>
    </row>
    <row r="36" customFormat="false" ht="15" hidden="false" customHeight="false" outlineLevel="0" collapsed="false">
      <c r="A36" s="26" t="str">
        <f aca="false">IF($O36="","",INDEX(_Helpers!$A$2:$A$91,$O36-2+1))</f>
        <v>P19287</v>
      </c>
      <c r="B36" s="26" t="str">
        <f aca="false">IF($O36="","",INDEX(_Helpers!$D$2:$D$91,$O36-2+1))</f>
        <v>Riverside Dental Practice</v>
      </c>
      <c r="C36" s="27" t="n">
        <f aca="false">IF($O36="","",INDEX(_Helpers!$B$2:$B$91,$O36-2+1))</f>
        <v>2631.56</v>
      </c>
      <c r="D36" s="27" t="n">
        <f aca="false">IF($O36="","",INDEX(_Helpers!$C$2:$C$91,$O36-2+1))</f>
        <v>2927.62</v>
      </c>
      <c r="E36" s="27" t="n">
        <f aca="false">IF($O36="","",INDEX(_Helpers!$L$2:$L$91,$O36-2+1))</f>
        <v>296.06</v>
      </c>
      <c r="F36" s="28" t="n">
        <f aca="false">IF($O36="","",INDEX(_Helpers!$M$2:$M$91,$O36-2+1))</f>
        <v>0.112503610025992</v>
      </c>
      <c r="G36" s="29" t="str">
        <f aca="false">IF($O36="","",IF(INDEX(_Helpers!$G$2:$G$91,$O36-2+1)=1,"Starter",""))</f>
        <v/>
      </c>
      <c r="H36" s="29" t="str">
        <f aca="false">IF($O36="","",IF(INDEX(_Helpers!$H$2:$H$91,$O36-2+1)=1,"Leaver",""))</f>
        <v/>
      </c>
      <c r="I36" s="29" t="str">
        <f aca="false">IF($O36="","",INDEX(_Helpers!$P$2:$P$91,$O36-2+1))</f>
        <v>OK</v>
      </c>
      <c r="J36" s="28" t="n">
        <f aca="false">IF($O36="","",INDEX(_Helpers!$V$2:$V$91,$O36-2+1))</f>
        <v>0</v>
      </c>
      <c r="K36" s="29" t="str">
        <f aca="false">IF($O36="","",INDEX(_Helpers!$AJ$2:$AJ$91,$O36-2+1))</f>
        <v>Overtime</v>
      </c>
      <c r="L36" s="27" t="n">
        <f aca="false">IF($O36="","",INDEX(_Helpers!$AK$2:$AK$91,$O36-2+1))</f>
        <v>394.74</v>
      </c>
      <c r="M36" s="30"/>
      <c r="N36" s="2"/>
      <c r="O36" s="25" t="n">
        <f aca="false" t="array" ref="O36:O36">IFERROR(SMALL(IF(_Helpers!$F$2:$F$91=1,ROW(_Helpers!$F$2:$F$91)),ROWS($A$4:A36)),"")</f>
        <v>34</v>
      </c>
    </row>
    <row r="37" customFormat="false" ht="15" hidden="false" customHeight="false" outlineLevel="0" collapsed="false">
      <c r="A37" s="26" t="str">
        <f aca="false">IF($O37="","",INDEX(_Helpers!$A$2:$A$91,$O37-2+1))</f>
        <v>P73624</v>
      </c>
      <c r="B37" s="26" t="str">
        <f aca="false">IF($O37="","",INDEX(_Helpers!$D$2:$D$91,$O37-2+1))</f>
        <v>Hakim Group Head Office</v>
      </c>
      <c r="C37" s="27" t="n">
        <f aca="false">IF($O37="","",INDEX(_Helpers!$B$2:$B$91,$O37-2+1))</f>
        <v>1934.17</v>
      </c>
      <c r="D37" s="27" t="n">
        <f aca="false">IF($O37="","",INDEX(_Helpers!$C$2:$C$91,$O37-2+1))</f>
        <v>1680.31</v>
      </c>
      <c r="E37" s="27" t="n">
        <f aca="false">IF($O37="","",INDEX(_Helpers!$L$2:$L$91,$O37-2+1))</f>
        <v>-253.86</v>
      </c>
      <c r="F37" s="28" t="n">
        <f aca="false">IF($O37="","",INDEX(_Helpers!$M$2:$M$91,$O37-2+1))</f>
        <v>-0.131250096940807</v>
      </c>
      <c r="G37" s="29" t="str">
        <f aca="false">IF($O37="","",IF(INDEX(_Helpers!$G$2:$G$91,$O37-2+1)=1,"Starter",""))</f>
        <v/>
      </c>
      <c r="H37" s="29" t="str">
        <f aca="false">IF($O37="","",IF(INDEX(_Helpers!$H$2:$H$91,$O37-2+1)=1,"Leaver",""))</f>
        <v/>
      </c>
      <c r="I37" s="29" t="str">
        <f aca="false">IF($O37="","",INDEX(_Helpers!$P$2:$P$91,$O37-2+1))</f>
        <v>Review required</v>
      </c>
      <c r="J37" s="28" t="n">
        <f aca="false">IF($O37="","",INDEX(_Helpers!$V$2:$V$91,$O37-2+1))</f>
        <v>-0.349998448955113</v>
      </c>
      <c r="K37" s="29" t="str">
        <f aca="false">IF($O37="","",INDEX(_Helpers!$AJ$2:$AJ$91,$O37-2+1))</f>
        <v>Basic Salary</v>
      </c>
      <c r="L37" s="27" t="n">
        <f aca="false">IF($O37="","",INDEX(_Helpers!$AK$2:$AK$91,$O37-2+1))</f>
        <v>-338.48</v>
      </c>
      <c r="M37" s="30"/>
      <c r="N37" s="2"/>
      <c r="O37" s="25" t="n">
        <f aca="false" t="array" ref="O37:O37">IFERROR(SMALL(IF(_Helpers!$F$2:$F$91=1,ROW(_Helpers!$F$2:$F$91)),ROWS($A$4:A37)),"")</f>
        <v>35</v>
      </c>
    </row>
    <row r="38" customFormat="false" ht="15" hidden="false" customHeight="false" outlineLevel="0" collapsed="false">
      <c r="A38" s="26" t="str">
        <f aca="false">IF($O38="","",INDEX(_Helpers!$A$2:$A$91,$O38-2+1))</f>
        <v>P84847</v>
      </c>
      <c r="B38" s="26" t="str">
        <f aca="false">IF($O38="","",INDEX(_Helpers!$D$2:$D$91,$O38-2+1))</f>
        <v>Kings Road Dental Practice</v>
      </c>
      <c r="C38" s="27" t="n">
        <f aca="false">IF($O38="","",INDEX(_Helpers!$B$2:$B$91,$O38-2+1))</f>
        <v>2722.62</v>
      </c>
      <c r="D38" s="27" t="n">
        <f aca="false">IF($O38="","",INDEX(_Helpers!$C$2:$C$91,$O38-2+1))</f>
        <v>4968.78</v>
      </c>
      <c r="E38" s="27" t="n">
        <f aca="false">IF($O38="","",INDEX(_Helpers!$L$2:$L$91,$O38-2+1))</f>
        <v>2246.16</v>
      </c>
      <c r="F38" s="28" t="n">
        <f aca="false">IF($O38="","",INDEX(_Helpers!$M$2:$M$91,$O38-2+1))</f>
        <v>0.824999449060097</v>
      </c>
      <c r="G38" s="29" t="str">
        <f aca="false">IF($O38="","",IF(INDEX(_Helpers!$G$2:$G$91,$O38-2+1)=1,"Starter",""))</f>
        <v/>
      </c>
      <c r="H38" s="29" t="str">
        <f aca="false">IF($O38="","",IF(INDEX(_Helpers!$H$2:$H$91,$O38-2+1)=1,"Leaver",""))</f>
        <v/>
      </c>
      <c r="I38" s="29" t="str">
        <f aca="false">IF($O38="","",INDEX(_Helpers!$P$2:$P$91,$O38-2+1))</f>
        <v>Review required</v>
      </c>
      <c r="J38" s="28" t="n">
        <f aca="false">IF($O38="","",INDEX(_Helpers!$V$2:$V$91,$O38-2+1))</f>
        <v>0</v>
      </c>
      <c r="K38" s="29" t="str">
        <f aca="false">IF($O38="","",INDEX(_Helpers!$AJ$2:$AJ$91,$O38-2+1))</f>
        <v>Mileage Expenses</v>
      </c>
      <c r="L38" s="27" t="n">
        <f aca="false">IF($O38="","",INDEX(_Helpers!$AK$2:$AK$91,$O38-2+1))</f>
        <v>2994.88</v>
      </c>
      <c r="M38" s="30"/>
      <c r="N38" s="2"/>
      <c r="O38" s="25" t="n">
        <f aca="false" t="array" ref="O38:O38">IFERROR(SMALL(IF(_Helpers!$F$2:$F$91=1,ROW(_Helpers!$F$2:$F$91)),ROWS($A$4:A38)),"")</f>
        <v>36</v>
      </c>
    </row>
    <row r="39" customFormat="false" ht="15" hidden="false" customHeight="false" outlineLevel="0" collapsed="false">
      <c r="A39" s="26" t="str">
        <f aca="false">IF($O39="","",INDEX(_Helpers!$A$2:$A$91,$O39-2+1))</f>
        <v>P71993</v>
      </c>
      <c r="B39" s="26" t="str">
        <f aca="false">IF($O39="","",INDEX(_Helpers!$D$2:$D$91,$O39-2+1))</f>
        <v>Hakim Group Head Office</v>
      </c>
      <c r="C39" s="27" t="n">
        <f aca="false">IF($O39="","",INDEX(_Helpers!$B$2:$B$91,$O39-2+1))</f>
        <v>1891.6</v>
      </c>
      <c r="D39" s="27" t="n">
        <f aca="false">IF($O39="","",INDEX(_Helpers!$C$2:$C$91,$O39-2+1))</f>
        <v>1891.6</v>
      </c>
      <c r="E39" s="27" t="n">
        <f aca="false">IF($O39="","",INDEX(_Helpers!$L$2:$L$91,$O39-2+1))</f>
        <v>0</v>
      </c>
      <c r="F39" s="28" t="n">
        <f aca="false">IF($O39="","",INDEX(_Helpers!$M$2:$M$91,$O39-2+1))</f>
        <v>0</v>
      </c>
      <c r="G39" s="29" t="str">
        <f aca="false">IF($O39="","",IF(INDEX(_Helpers!$G$2:$G$91,$O39-2+1)=1,"Starter",""))</f>
        <v/>
      </c>
      <c r="H39" s="29" t="str">
        <f aca="false">IF($O39="","",IF(INDEX(_Helpers!$H$2:$H$91,$O39-2+1)=1,"Leaver",""))</f>
        <v/>
      </c>
      <c r="I39" s="29" t="str">
        <f aca="false">IF($O39="","",INDEX(_Helpers!$P$2:$P$91,$O39-2+1))</f>
        <v>OK</v>
      </c>
      <c r="J39" s="28" t="n">
        <f aca="false">IF($O39="","",INDEX(_Helpers!$V$2:$V$91,$O39-2+1))</f>
        <v>0</v>
      </c>
      <c r="K39" s="29" t="str">
        <f aca="false">IF($O39="","",INDEX(_Helpers!$AJ$2:$AJ$91,$O39-2+1))</f>
        <v/>
      </c>
      <c r="L39" s="27" t="str">
        <f aca="false">IF($O39="","",INDEX(_Helpers!$AK$2:$AK$91,$O39-2+1))</f>
        <v/>
      </c>
      <c r="M39" s="30"/>
      <c r="N39" s="2"/>
      <c r="O39" s="25" t="n">
        <f aca="false" t="array" ref="O39:O39">IFERROR(SMALL(IF(_Helpers!$F$2:$F$91=1,ROW(_Helpers!$F$2:$F$91)),ROWS($A$4:A39)),"")</f>
        <v>37</v>
      </c>
    </row>
    <row r="40" customFormat="false" ht="15" hidden="false" customHeight="false" outlineLevel="0" collapsed="false">
      <c r="A40" s="26" t="str">
        <f aca="false">IF($O40="","",INDEX(_Helpers!$A$2:$A$91,$O40-2+1))</f>
        <v>P56438</v>
      </c>
      <c r="B40" s="26" t="str">
        <f aca="false">IF($O40="","",INDEX(_Helpers!$D$2:$D$91,$O40-2+1))</f>
        <v>Oakfield Dental Practice</v>
      </c>
      <c r="C40" s="27" t="n">
        <f aca="false">IF($O40="","",INDEX(_Helpers!$B$2:$B$91,$O40-2+1))</f>
        <v>2390.78</v>
      </c>
      <c r="D40" s="27" t="n">
        <f aca="false">IF($O40="","",INDEX(_Helpers!$C$2:$C$91,$O40-2+1))</f>
        <v>3018.36</v>
      </c>
      <c r="E40" s="27" t="n">
        <f aca="false">IF($O40="","",INDEX(_Helpers!$L$2:$L$91,$O40-2+1))</f>
        <v>627.58</v>
      </c>
      <c r="F40" s="28" t="n">
        <f aca="false">IF($O40="","",INDEX(_Helpers!$M$2:$M$91,$O40-2+1))</f>
        <v>0.262500104568383</v>
      </c>
      <c r="G40" s="29" t="str">
        <f aca="false">IF($O40="","",IF(INDEX(_Helpers!$G$2:$G$91,$O40-2+1)=1,"Starter",""))</f>
        <v/>
      </c>
      <c r="H40" s="29" t="str">
        <f aca="false">IF($O40="","",IF(INDEX(_Helpers!$H$2:$H$91,$O40-2+1)=1,"Leaver",""))</f>
        <v/>
      </c>
      <c r="I40" s="29" t="str">
        <f aca="false">IF($O40="","",INDEX(_Helpers!$P$2:$P$91,$O40-2+1))</f>
        <v>Review required</v>
      </c>
      <c r="J40" s="28" t="n">
        <f aca="false">IF($O40="","",INDEX(_Helpers!$V$2:$V$91,$O40-2+1))</f>
        <v>0</v>
      </c>
      <c r="K40" s="29" t="str">
        <f aca="false">IF($O40="","",INDEX(_Helpers!$AJ$2:$AJ$91,$O40-2+1))</f>
        <v>Unsocial Hours Premium</v>
      </c>
      <c r="L40" s="27" t="n">
        <f aca="false">IF($O40="","",INDEX(_Helpers!$AK$2:$AK$91,$O40-2+1))</f>
        <v>836.77</v>
      </c>
      <c r="M40" s="30"/>
      <c r="N40" s="2"/>
      <c r="O40" s="25" t="n">
        <f aca="false" t="array" ref="O40:O40">IFERROR(SMALL(IF(_Helpers!$F$2:$F$91=1,ROW(_Helpers!$F$2:$F$91)),ROWS($A$4:A40)),"")</f>
        <v>38</v>
      </c>
    </row>
    <row r="41" customFormat="false" ht="15" hidden="false" customHeight="false" outlineLevel="0" collapsed="false">
      <c r="A41" s="26" t="str">
        <f aca="false">IF($O41="","",INDEX(_Helpers!$A$2:$A$91,$O41-2+1))</f>
        <v>P94696</v>
      </c>
      <c r="B41" s="26" t="str">
        <f aca="false">IF($O41="","",INDEX(_Helpers!$D$2:$D$91,$O41-2+1))</f>
        <v>Oakfield Dental Practice</v>
      </c>
      <c r="C41" s="27" t="n">
        <f aca="false">IF($O41="","",INDEX(_Helpers!$B$2:$B$91,$O41-2+1))</f>
        <v>2408.04</v>
      </c>
      <c r="D41" s="27" t="n">
        <f aca="false">IF($O41="","",INDEX(_Helpers!$C$2:$C$91,$O41-2+1))</f>
        <v>3491.66</v>
      </c>
      <c r="E41" s="27" t="n">
        <f aca="false">IF($O41="","",INDEX(_Helpers!$L$2:$L$91,$O41-2+1))</f>
        <v>1083.62</v>
      </c>
      <c r="F41" s="28" t="n">
        <f aca="false">IF($O41="","",INDEX(_Helpers!$M$2:$M$91,$O41-2+1))</f>
        <v>0.450000830550988</v>
      </c>
      <c r="G41" s="29" t="str">
        <f aca="false">IF($O41="","",IF(INDEX(_Helpers!$G$2:$G$91,$O41-2+1)=1,"Starter",""))</f>
        <v/>
      </c>
      <c r="H41" s="29" t="str">
        <f aca="false">IF($O41="","",IF(INDEX(_Helpers!$H$2:$H$91,$O41-2+1)=1,"Leaver",""))</f>
        <v/>
      </c>
      <c r="I41" s="29" t="str">
        <f aca="false">IF($O41="","",INDEX(_Helpers!$P$2:$P$91,$O41-2+1))</f>
        <v>Review required</v>
      </c>
      <c r="J41" s="28" t="n">
        <f aca="false">IF($O41="","",INDEX(_Helpers!$V$2:$V$91,$O41-2+1))</f>
        <v>0</v>
      </c>
      <c r="K41" s="29" t="str">
        <f aca="false">IF($O41="","",INDEX(_Helpers!$AJ$2:$AJ$91,$O41-2+1))</f>
        <v>On Call Allowance</v>
      </c>
      <c r="L41" s="27" t="n">
        <f aca="false">IF($O41="","",INDEX(_Helpers!$AK$2:$AK$91,$O41-2+1))</f>
        <v>1444.82</v>
      </c>
      <c r="M41" s="30"/>
      <c r="N41" s="2"/>
      <c r="O41" s="25" t="n">
        <f aca="false" t="array" ref="O41:O41">IFERROR(SMALL(IF(_Helpers!$F$2:$F$91=1,ROW(_Helpers!$F$2:$F$91)),ROWS($A$4:A41)),"")</f>
        <v>39</v>
      </c>
    </row>
    <row r="42" customFormat="false" ht="15" hidden="false" customHeight="false" outlineLevel="0" collapsed="false">
      <c r="A42" s="26" t="str">
        <f aca="false">IF($O42="","",INDEX(_Helpers!$A$2:$A$91,$O42-2+1))</f>
        <v>P24322</v>
      </c>
      <c r="B42" s="26" t="str">
        <f aca="false">IF($O42="","",INDEX(_Helpers!$D$2:$D$91,$O42-2+1))</f>
        <v>Riverside Dental Practice</v>
      </c>
      <c r="C42" s="27" t="n">
        <f aca="false">IF($O42="","",INDEX(_Helpers!$B$2:$B$91,$O42-2+1))</f>
        <v>2560.71</v>
      </c>
      <c r="D42" s="27" t="n">
        <f aca="false">IF($O42="","",INDEX(_Helpers!$C$2:$C$91,$O42-2+1))</f>
        <v>2752.76</v>
      </c>
      <c r="E42" s="27" t="n">
        <f aca="false">IF($O42="","",INDEX(_Helpers!$L$2:$L$91,$O42-2+1))</f>
        <v>192.05</v>
      </c>
      <c r="F42" s="28" t="n">
        <f aca="false">IF($O42="","",INDEX(_Helpers!$M$2:$M$91,$O42-2+1))</f>
        <v>0.074998730820749</v>
      </c>
      <c r="G42" s="29" t="str">
        <f aca="false">IF($O42="","",IF(INDEX(_Helpers!$G$2:$G$91,$O42-2+1)=1,"Starter",""))</f>
        <v/>
      </c>
      <c r="H42" s="29" t="str">
        <f aca="false">IF($O42="","",IF(INDEX(_Helpers!$H$2:$H$91,$O42-2+1)=1,"Leaver",""))</f>
        <v/>
      </c>
      <c r="I42" s="29" t="str">
        <f aca="false">IF($O42="","",INDEX(_Helpers!$P$2:$P$91,$O42-2+1))</f>
        <v>OK</v>
      </c>
      <c r="J42" s="28" t="n">
        <f aca="false">IF($O42="","",INDEX(_Helpers!$V$2:$V$91,$O42-2+1))</f>
        <v>0</v>
      </c>
      <c r="K42" s="29" t="str">
        <f aca="false">IF($O42="","",INDEX(_Helpers!$AJ$2:$AJ$91,$O42-2+1))</f>
        <v>Bonus</v>
      </c>
      <c r="L42" s="27" t="n">
        <f aca="false">IF($O42="","",INDEX(_Helpers!$AK$2:$AK$91,$O42-2+1))</f>
        <v>256.07</v>
      </c>
      <c r="M42" s="30"/>
      <c r="N42" s="2"/>
      <c r="O42" s="25" t="n">
        <f aca="false" t="array" ref="O42:O42">IFERROR(SMALL(IF(_Helpers!$F$2:$F$91=1,ROW(_Helpers!$F$2:$F$91)),ROWS($A$4:A42)),"")</f>
        <v>40</v>
      </c>
    </row>
    <row r="43" customFormat="false" ht="15" hidden="false" customHeight="false" outlineLevel="0" collapsed="false">
      <c r="A43" s="26" t="str">
        <f aca="false">IF($O43="","",INDEX(_Helpers!$A$2:$A$91,$O43-2+1))</f>
        <v>P34050</v>
      </c>
      <c r="B43" s="26" t="str">
        <f aca="false">IF($O43="","",INDEX(_Helpers!$D$2:$D$91,$O43-2+1))</f>
        <v>Kings Road Dental Practice</v>
      </c>
      <c r="C43" s="27" t="n">
        <f aca="false">IF($O43="","",INDEX(_Helpers!$B$2:$B$91,$O43-2+1))</f>
        <v>1768.22</v>
      </c>
      <c r="D43" s="27" t="n">
        <f aca="false">IF($O43="","",INDEX(_Helpers!$C$2:$C$91,$O43-2+1))</f>
        <v>2006.93</v>
      </c>
      <c r="E43" s="27" t="n">
        <f aca="false">IF($O43="","",INDEX(_Helpers!$L$2:$L$91,$O43-2+1))</f>
        <v>238.71</v>
      </c>
      <c r="F43" s="28" t="n">
        <f aca="false">IF($O43="","",INDEX(_Helpers!$M$2:$M$91,$O43-2+1))</f>
        <v>0.135000169662146</v>
      </c>
      <c r="G43" s="29" t="str">
        <f aca="false">IF($O43="","",IF(INDEX(_Helpers!$G$2:$G$91,$O43-2+1)=1,"Starter",""))</f>
        <v/>
      </c>
      <c r="H43" s="29" t="str">
        <f aca="false">IF($O43="","",IF(INDEX(_Helpers!$H$2:$H$91,$O43-2+1)=1,"Leaver",""))</f>
        <v/>
      </c>
      <c r="I43" s="29" t="str">
        <f aca="false">IF($O43="","",INDEX(_Helpers!$P$2:$P$91,$O43-2+1))</f>
        <v>OK</v>
      </c>
      <c r="J43" s="28" t="n">
        <f aca="false">IF($O43="","",INDEX(_Helpers!$V$2:$V$91,$O43-2+1))</f>
        <v>1.20001508125024</v>
      </c>
      <c r="K43" s="29" t="str">
        <f aca="false">IF($O43="","",INDEX(_Helpers!$AJ$2:$AJ$91,$O43-2+1))</f>
        <v>Basic Salary</v>
      </c>
      <c r="L43" s="27" t="n">
        <f aca="false">IF($O43="","",INDEX(_Helpers!$AK$2:$AK$91,$O43-2+1))</f>
        <v>318.28</v>
      </c>
      <c r="M43" s="30"/>
      <c r="N43" s="2"/>
      <c r="O43" s="25" t="n">
        <f aca="false" t="array" ref="O43:O43">IFERROR(SMALL(IF(_Helpers!$F$2:$F$91=1,ROW(_Helpers!$F$2:$F$91)),ROWS($A$4:A43)),"")</f>
        <v>41</v>
      </c>
    </row>
    <row r="44" customFormat="false" ht="15" hidden="false" customHeight="false" outlineLevel="0" collapsed="false">
      <c r="A44" s="26" t="str">
        <f aca="false">IF($O44="","",INDEX(_Helpers!$A$2:$A$91,$O44-2+1))</f>
        <v>P16630</v>
      </c>
      <c r="B44" s="26" t="str">
        <f aca="false">IF($O44="","",INDEX(_Helpers!$D$2:$D$91,$O44-2+1))</f>
        <v>Hakim Group Head Office</v>
      </c>
      <c r="C44" s="27" t="str">
        <f aca="false">IF($O44="","",INDEX(_Helpers!$B$2:$B$91,$O44-2+1))</f>
        <v/>
      </c>
      <c r="D44" s="27" t="n">
        <f aca="false">IF($O44="","",INDEX(_Helpers!$C$2:$C$91,$O44-2+1))</f>
        <v>1806.4</v>
      </c>
      <c r="E44" s="27" t="n">
        <f aca="false">IF($O44="","",INDEX(_Helpers!$L$2:$L$91,$O44-2+1))</f>
        <v>1806.4</v>
      </c>
      <c r="F44" s="28" t="str">
        <f aca="false">IF($O44="","",INDEX(_Helpers!$M$2:$M$91,$O44-2+1))</f>
        <v/>
      </c>
      <c r="G44" s="29" t="str">
        <f aca="false">IF($O44="","",IF(INDEX(_Helpers!$G$2:$G$91,$O44-2+1)=1,"Starter",""))</f>
        <v>Starter</v>
      </c>
      <c r="H44" s="29" t="str">
        <f aca="false">IF($O44="","",IF(INDEX(_Helpers!$H$2:$H$91,$O44-2+1)=1,"Leaver",""))</f>
        <v/>
      </c>
      <c r="I44" s="29" t="str">
        <f aca="false">IF($O44="","",INDEX(_Helpers!$P$2:$P$91,$O44-2+1))</f>
        <v>Explained: Starter</v>
      </c>
      <c r="J44" s="28" t="str">
        <f aca="false">IF($O44="","",INDEX(_Helpers!$V$2:$V$91,$O44-2+1))</f>
        <v/>
      </c>
      <c r="K44" s="29" t="str">
        <f aca="false">IF($O44="","",INDEX(_Helpers!$AJ$2:$AJ$91,$O44-2+1))</f>
        <v>Basic Salary</v>
      </c>
      <c r="L44" s="27" t="n">
        <f aca="false">IF($O44="","",INDEX(_Helpers!$AK$2:$AK$91,$O44-2+1))</f>
        <v>2348.32</v>
      </c>
      <c r="M44" s="30"/>
      <c r="N44" s="2"/>
      <c r="O44" s="25" t="n">
        <f aca="false" t="array" ref="O44:O44">IFERROR(SMALL(IF(_Helpers!$F$2:$F$91=1,ROW(_Helpers!$F$2:$F$91)),ROWS($A$4:A44)),"")</f>
        <v>42</v>
      </c>
    </row>
    <row r="45" customFormat="false" ht="15" hidden="false" customHeight="false" outlineLevel="0" collapsed="false">
      <c r="A45" s="26" t="str">
        <f aca="false">IF($O45="","",INDEX(_Helpers!$A$2:$A$91,$O45-2+1))</f>
        <v>P22224</v>
      </c>
      <c r="B45" s="26" t="str">
        <f aca="false">IF($O45="","",INDEX(_Helpers!$D$2:$D$91,$O45-2+1))</f>
        <v>Hakim Group Head Office</v>
      </c>
      <c r="C45" s="27" t="str">
        <f aca="false">IF($O45="","",INDEX(_Helpers!$B$2:$B$91,$O45-2+1))</f>
        <v/>
      </c>
      <c r="D45" s="27" t="n">
        <f aca="false">IF($O45="","",INDEX(_Helpers!$C$2:$C$91,$O45-2+1))</f>
        <v>1774.79</v>
      </c>
      <c r="E45" s="27" t="n">
        <f aca="false">IF($O45="","",INDEX(_Helpers!$L$2:$L$91,$O45-2+1))</f>
        <v>1774.79</v>
      </c>
      <c r="F45" s="28" t="str">
        <f aca="false">IF($O45="","",INDEX(_Helpers!$M$2:$M$91,$O45-2+1))</f>
        <v/>
      </c>
      <c r="G45" s="29" t="str">
        <f aca="false">IF($O45="","",IF(INDEX(_Helpers!$G$2:$G$91,$O45-2+1)=1,"Starter",""))</f>
        <v>Starter</v>
      </c>
      <c r="H45" s="29" t="str">
        <f aca="false">IF($O45="","",IF(INDEX(_Helpers!$H$2:$H$91,$O45-2+1)=1,"Leaver",""))</f>
        <v/>
      </c>
      <c r="I45" s="29" t="str">
        <f aca="false">IF($O45="","",INDEX(_Helpers!$P$2:$P$91,$O45-2+1))</f>
        <v>Explained: Starter</v>
      </c>
      <c r="J45" s="28" t="str">
        <f aca="false">IF($O45="","",INDEX(_Helpers!$V$2:$V$91,$O45-2+1))</f>
        <v/>
      </c>
      <c r="K45" s="29" t="str">
        <f aca="false">IF($O45="","",INDEX(_Helpers!$AJ$2:$AJ$91,$O45-2+1))</f>
        <v>Basic Salary</v>
      </c>
      <c r="L45" s="27" t="n">
        <f aca="false">IF($O45="","",INDEX(_Helpers!$AK$2:$AK$91,$O45-2+1))</f>
        <v>2307.22</v>
      </c>
      <c r="M45" s="30"/>
      <c r="N45" s="2"/>
      <c r="O45" s="25" t="n">
        <f aca="false" t="array" ref="O45:O45">IFERROR(SMALL(IF(_Helpers!$F$2:$F$91=1,ROW(_Helpers!$F$2:$F$91)),ROWS($A$4:A45)),"")</f>
        <v>43</v>
      </c>
    </row>
    <row r="46" customFormat="false" ht="15" hidden="false" customHeight="false" outlineLevel="0" collapsed="false">
      <c r="A46" s="26" t="str">
        <f aca="false">IF($O46="","",INDEX(_Helpers!$A$2:$A$91,$O46-2+1))</f>
        <v>P73092</v>
      </c>
      <c r="B46" s="26" t="str">
        <f aca="false">IF($O46="","",INDEX(_Helpers!$D$2:$D$91,$O46-2+1))</f>
        <v>Kings Road Dental Practice</v>
      </c>
      <c r="C46" s="27" t="str">
        <f aca="false">IF($O46="","",INDEX(_Helpers!$B$2:$B$91,$O46-2+1))</f>
        <v/>
      </c>
      <c r="D46" s="27" t="n">
        <f aca="false">IF($O46="","",INDEX(_Helpers!$C$2:$C$91,$O46-2+1))</f>
        <v>2515.59</v>
      </c>
      <c r="E46" s="27" t="n">
        <f aca="false">IF($O46="","",INDEX(_Helpers!$L$2:$L$91,$O46-2+1))</f>
        <v>2515.59</v>
      </c>
      <c r="F46" s="28" t="str">
        <f aca="false">IF($O46="","",INDEX(_Helpers!$M$2:$M$91,$O46-2+1))</f>
        <v/>
      </c>
      <c r="G46" s="29" t="str">
        <f aca="false">IF($O46="","",IF(INDEX(_Helpers!$G$2:$G$91,$O46-2+1)=1,"Starter",""))</f>
        <v>Starter</v>
      </c>
      <c r="H46" s="29" t="str">
        <f aca="false">IF($O46="","",IF(INDEX(_Helpers!$H$2:$H$91,$O46-2+1)=1,"Leaver",""))</f>
        <v/>
      </c>
      <c r="I46" s="29" t="str">
        <f aca="false">IF($O46="","",INDEX(_Helpers!$P$2:$P$91,$O46-2+1))</f>
        <v>Explained: Starter</v>
      </c>
      <c r="J46" s="28" t="str">
        <f aca="false">IF($O46="","",INDEX(_Helpers!$V$2:$V$91,$O46-2+1))</f>
        <v/>
      </c>
      <c r="K46" s="29" t="str">
        <f aca="false">IF($O46="","",INDEX(_Helpers!$AJ$2:$AJ$91,$O46-2+1))</f>
        <v>Basic Salary</v>
      </c>
      <c r="L46" s="27" t="n">
        <f aca="false">IF($O46="","",INDEX(_Helpers!$AK$2:$AK$91,$O46-2+1))</f>
        <v>3270.27</v>
      </c>
      <c r="M46" s="30"/>
      <c r="N46" s="2"/>
      <c r="O46" s="25" t="n">
        <f aca="false" t="array" ref="O46:O46">IFERROR(SMALL(IF(_Helpers!$F$2:$F$91=1,ROW(_Helpers!$F$2:$F$91)),ROWS($A$4:A46)),"")</f>
        <v>44</v>
      </c>
    </row>
    <row r="47" customFormat="false" ht="15" hidden="false" customHeight="false" outlineLevel="0" collapsed="false">
      <c r="A47" s="26" t="str">
        <f aca="false">IF($O47="","",INDEX(_Helpers!$A$2:$A$91,$O47-2+1))</f>
        <v>P31579</v>
      </c>
      <c r="B47" s="26" t="str">
        <f aca="false">IF($O47="","",INDEX(_Helpers!$D$2:$D$91,$O47-2+1))</f>
        <v>Kings Road Dental Practice</v>
      </c>
      <c r="C47" s="27" t="str">
        <f aca="false">IF($O47="","",INDEX(_Helpers!$B$2:$B$91,$O47-2+1))</f>
        <v/>
      </c>
      <c r="D47" s="27" t="n">
        <f aca="false">IF($O47="","",INDEX(_Helpers!$C$2:$C$91,$O47-2+1))</f>
        <v>921.57</v>
      </c>
      <c r="E47" s="27" t="n">
        <f aca="false">IF($O47="","",INDEX(_Helpers!$L$2:$L$91,$O47-2+1))</f>
        <v>921.57</v>
      </c>
      <c r="F47" s="28" t="str">
        <f aca="false">IF($O47="","",INDEX(_Helpers!$M$2:$M$91,$O47-2+1))</f>
        <v/>
      </c>
      <c r="G47" s="29" t="str">
        <f aca="false">IF($O47="","",IF(INDEX(_Helpers!$G$2:$G$91,$O47-2+1)=1,"Starter",""))</f>
        <v>Starter</v>
      </c>
      <c r="H47" s="29" t="str">
        <f aca="false">IF($O47="","",IF(INDEX(_Helpers!$H$2:$H$91,$O47-2+1)=1,"Leaver",""))</f>
        <v/>
      </c>
      <c r="I47" s="29" t="str">
        <f aca="false">IF($O47="","",INDEX(_Helpers!$P$2:$P$91,$O47-2+1))</f>
        <v>Explained: Starter</v>
      </c>
      <c r="J47" s="28" t="str">
        <f aca="false">IF($O47="","",INDEX(_Helpers!$V$2:$V$91,$O47-2+1))</f>
        <v/>
      </c>
      <c r="K47" s="29" t="str">
        <f aca="false">IF($O47="","",INDEX(_Helpers!$AJ$2:$AJ$91,$O47-2+1))</f>
        <v>Basic Salary</v>
      </c>
      <c r="L47" s="27" t="n">
        <f aca="false">IF($O47="","",INDEX(_Helpers!$AK$2:$AK$91,$O47-2+1))</f>
        <v>1198.03</v>
      </c>
      <c r="M47" s="30"/>
      <c r="N47" s="2"/>
      <c r="O47" s="25" t="n">
        <f aca="false" t="array" ref="O47:O47">IFERROR(SMALL(IF(_Helpers!$F$2:$F$91=1,ROW(_Helpers!$F$2:$F$91)),ROWS($A$4:A47)),"")</f>
        <v>45</v>
      </c>
    </row>
    <row r="48" customFormat="false" ht="15" hidden="false" customHeight="false" outlineLevel="0" collapsed="false">
      <c r="A48" s="26" t="str">
        <f aca="false">IF($O48="","",INDEX(_Helpers!$A$2:$A$91,$O48-2+1))</f>
        <v>P69638</v>
      </c>
      <c r="B48" s="26" t="str">
        <f aca="false">IF($O48="","",INDEX(_Helpers!$D$2:$D$91,$O48-2+1))</f>
        <v>Oakfield Dental Practice</v>
      </c>
      <c r="C48" s="27" t="n">
        <f aca="false">IF($O48="","",INDEX(_Helpers!$B$2:$B$91,$O48-2+1))</f>
        <v>1691.72</v>
      </c>
      <c r="D48" s="27" t="str">
        <f aca="false">IF($O48="","",INDEX(_Helpers!$C$2:$C$91,$O48-2+1))</f>
        <v/>
      </c>
      <c r="E48" s="27" t="n">
        <f aca="false">IF($O48="","",INDEX(_Helpers!$L$2:$L$91,$O48-2+1))</f>
        <v>-1691.72</v>
      </c>
      <c r="F48" s="28" t="n">
        <f aca="false">IF($O48="","",INDEX(_Helpers!$M$2:$M$91,$O48-2+1))</f>
        <v>-1</v>
      </c>
      <c r="G48" s="29" t="str">
        <f aca="false">IF($O48="","",IF(INDEX(_Helpers!$G$2:$G$91,$O48-2+1)=1,"Starter",""))</f>
        <v/>
      </c>
      <c r="H48" s="29" t="str">
        <f aca="false">IF($O48="","",IF(INDEX(_Helpers!$H$2:$H$91,$O48-2+1)=1,"Leaver",""))</f>
        <v>Leaver</v>
      </c>
      <c r="I48" s="29" t="str">
        <f aca="false">IF($O48="","",INDEX(_Helpers!$P$2:$P$91,$O48-2+1))</f>
        <v>Explained: Leaver</v>
      </c>
      <c r="J48" s="28" t="n">
        <f aca="false">IF($O48="","",INDEX(_Helpers!$V$2:$V$91,$O48-2+1))</f>
        <v>-1</v>
      </c>
      <c r="K48" s="29" t="str">
        <f aca="false">IF($O48="","",INDEX(_Helpers!$AJ$2:$AJ$91,$O48-2+1))</f>
        <v>Basic Salary</v>
      </c>
      <c r="L48" s="27" t="n">
        <f aca="false">IF($O48="","",INDEX(_Helpers!$AK$2:$AK$91,$O48-2+1))</f>
        <v>-2199.24</v>
      </c>
      <c r="M48" s="30"/>
      <c r="N48" s="2"/>
      <c r="O48" s="25" t="n">
        <f aca="false" t="array" ref="O48:O48">IFERROR(SMALL(IF(_Helpers!$F$2:$F$91=1,ROW(_Helpers!$F$2:$F$91)),ROWS($A$4:A48)),"")</f>
        <v>46</v>
      </c>
    </row>
    <row r="49" customFormat="false" ht="15" hidden="false" customHeight="false" outlineLevel="0" collapsed="false">
      <c r="A49" s="26" t="str">
        <f aca="false">IF($O49="","",INDEX(_Helpers!$A$2:$A$91,$O49-2+1))</f>
        <v>P48890</v>
      </c>
      <c r="B49" s="26" t="str">
        <f aca="false">IF($O49="","",INDEX(_Helpers!$D$2:$D$91,$O49-2+1))</f>
        <v>Elm Park Dental Practice</v>
      </c>
      <c r="C49" s="27" t="n">
        <f aca="false">IF($O49="","",INDEX(_Helpers!$B$2:$B$91,$O49-2+1))</f>
        <v>1570.28</v>
      </c>
      <c r="D49" s="27" t="str">
        <f aca="false">IF($O49="","",INDEX(_Helpers!$C$2:$C$91,$O49-2+1))</f>
        <v/>
      </c>
      <c r="E49" s="27" t="n">
        <f aca="false">IF($O49="","",INDEX(_Helpers!$L$2:$L$91,$O49-2+1))</f>
        <v>-1570.28</v>
      </c>
      <c r="F49" s="28" t="n">
        <f aca="false">IF($O49="","",INDEX(_Helpers!$M$2:$M$91,$O49-2+1))</f>
        <v>-1</v>
      </c>
      <c r="G49" s="29" t="str">
        <f aca="false">IF($O49="","",IF(INDEX(_Helpers!$G$2:$G$91,$O49-2+1)=1,"Starter",""))</f>
        <v/>
      </c>
      <c r="H49" s="29" t="str">
        <f aca="false">IF($O49="","",IF(INDEX(_Helpers!$H$2:$H$91,$O49-2+1)=1,"Leaver",""))</f>
        <v>Leaver</v>
      </c>
      <c r="I49" s="29" t="str">
        <f aca="false">IF($O49="","",INDEX(_Helpers!$P$2:$P$91,$O49-2+1))</f>
        <v>Explained: Leaver</v>
      </c>
      <c r="J49" s="28" t="n">
        <f aca="false">IF($O49="","",INDEX(_Helpers!$V$2:$V$91,$O49-2+1))</f>
        <v>-1</v>
      </c>
      <c r="K49" s="29" t="str">
        <f aca="false">IF($O49="","",INDEX(_Helpers!$AJ$2:$AJ$91,$O49-2+1))</f>
        <v>Basic Salary</v>
      </c>
      <c r="L49" s="27" t="n">
        <f aca="false">IF($O49="","",INDEX(_Helpers!$AK$2:$AK$91,$O49-2+1))</f>
        <v>-2041.36</v>
      </c>
      <c r="M49" s="30"/>
      <c r="N49" s="2"/>
      <c r="O49" s="25" t="n">
        <f aca="false" t="array" ref="O49:O49">IFERROR(SMALL(IF(_Helpers!$F$2:$F$91=1,ROW(_Helpers!$F$2:$F$91)),ROWS($A$4:A49)),"")</f>
        <v>47</v>
      </c>
    </row>
    <row r="50" customFormat="false" ht="15" hidden="false" customHeight="false" outlineLevel="0" collapsed="false">
      <c r="A50" s="26" t="str">
        <f aca="false">IF($O50="","",INDEX(_Helpers!$A$2:$A$91,$O50-2+1))</f>
        <v>P17492</v>
      </c>
      <c r="B50" s="26" t="str">
        <f aca="false">IF($O50="","",INDEX(_Helpers!$D$2:$D$91,$O50-2+1))</f>
        <v>Kings Road Dental Practice</v>
      </c>
      <c r="C50" s="27" t="n">
        <f aca="false">IF($O50="","",INDEX(_Helpers!$B$2:$B$91,$O50-2+1))</f>
        <v>2222.77</v>
      </c>
      <c r="D50" s="27" t="str">
        <f aca="false">IF($O50="","",INDEX(_Helpers!$C$2:$C$91,$O50-2+1))</f>
        <v/>
      </c>
      <c r="E50" s="27" t="n">
        <f aca="false">IF($O50="","",INDEX(_Helpers!$L$2:$L$91,$O50-2+1))</f>
        <v>-2222.77</v>
      </c>
      <c r="F50" s="28" t="n">
        <f aca="false">IF($O50="","",INDEX(_Helpers!$M$2:$M$91,$O50-2+1))</f>
        <v>-1</v>
      </c>
      <c r="G50" s="29" t="str">
        <f aca="false">IF($O50="","",IF(INDEX(_Helpers!$G$2:$G$91,$O50-2+1)=1,"Starter",""))</f>
        <v/>
      </c>
      <c r="H50" s="29" t="str">
        <f aca="false">IF($O50="","",IF(INDEX(_Helpers!$H$2:$H$91,$O50-2+1)=1,"Leaver",""))</f>
        <v>Leaver</v>
      </c>
      <c r="I50" s="29" t="str">
        <f aca="false">IF($O50="","",INDEX(_Helpers!$P$2:$P$91,$O50-2+1))</f>
        <v>Explained: Leaver</v>
      </c>
      <c r="J50" s="28" t="n">
        <f aca="false">IF($O50="","",INDEX(_Helpers!$V$2:$V$91,$O50-2+1))</f>
        <v>-1</v>
      </c>
      <c r="K50" s="29" t="str">
        <f aca="false">IF($O50="","",INDEX(_Helpers!$AJ$2:$AJ$91,$O50-2+1))</f>
        <v>Basic Salary</v>
      </c>
      <c r="L50" s="27" t="n">
        <f aca="false">IF($O50="","",INDEX(_Helpers!$AK$2:$AK$91,$O50-2+1))</f>
        <v>-2889.61</v>
      </c>
      <c r="M50" s="30"/>
      <c r="N50" s="2"/>
      <c r="O50" s="25" t="n">
        <f aca="false" t="array" ref="O50:O50">IFERROR(SMALL(IF(_Helpers!$F$2:$F$91=1,ROW(_Helpers!$F$2:$F$91)),ROWS($A$4:A50)),"")</f>
        <v>48</v>
      </c>
    </row>
    <row r="51" customFormat="false" ht="15" hidden="false" customHeight="false" outlineLevel="0" collapsed="false">
      <c r="A51" s="26" t="str">
        <f aca="false">IF($O51="","",INDEX(_Helpers!$A$2:$A$91,$O51-2+1))</f>
        <v>P79615</v>
      </c>
      <c r="B51" s="26" t="str">
        <f aca="false">IF($O51="","",INDEX(_Helpers!$D$2:$D$91,$O51-2+1))</f>
        <v>Riverside Dental Practice</v>
      </c>
      <c r="C51" s="27" t="n">
        <f aca="false">IF($O51="","",INDEX(_Helpers!$B$2:$B$91,$O51-2+1))</f>
        <v>2411.33</v>
      </c>
      <c r="D51" s="27" t="str">
        <f aca="false">IF($O51="","",INDEX(_Helpers!$C$2:$C$91,$O51-2+1))</f>
        <v/>
      </c>
      <c r="E51" s="27" t="n">
        <f aca="false">IF($O51="","",INDEX(_Helpers!$L$2:$L$91,$O51-2+1))</f>
        <v>-2411.33</v>
      </c>
      <c r="F51" s="28" t="n">
        <f aca="false">IF($O51="","",INDEX(_Helpers!$M$2:$M$91,$O51-2+1))</f>
        <v>-1</v>
      </c>
      <c r="G51" s="29" t="str">
        <f aca="false">IF($O51="","",IF(INDEX(_Helpers!$G$2:$G$91,$O51-2+1)=1,"Starter",""))</f>
        <v/>
      </c>
      <c r="H51" s="29" t="str">
        <f aca="false">IF($O51="","",IF(INDEX(_Helpers!$H$2:$H$91,$O51-2+1)=1,"Leaver",""))</f>
        <v>Leaver</v>
      </c>
      <c r="I51" s="29" t="str">
        <f aca="false">IF($O51="","",INDEX(_Helpers!$P$2:$P$91,$O51-2+1))</f>
        <v>Explained: Leaver</v>
      </c>
      <c r="J51" s="28" t="n">
        <f aca="false">IF($O51="","",INDEX(_Helpers!$V$2:$V$91,$O51-2+1))</f>
        <v>-1</v>
      </c>
      <c r="K51" s="29" t="str">
        <f aca="false">IF($O51="","",INDEX(_Helpers!$AJ$2:$AJ$91,$O51-2+1))</f>
        <v>Basic Salary</v>
      </c>
      <c r="L51" s="27" t="n">
        <f aca="false">IF($O51="","",INDEX(_Helpers!$AK$2:$AK$91,$O51-2+1))</f>
        <v>-3134.72</v>
      </c>
      <c r="M51" s="30"/>
      <c r="N51" s="2"/>
      <c r="O51" s="25" t="n">
        <f aca="false" t="array" ref="O51:O51">IFERROR(SMALL(IF(_Helpers!$F$2:$F$91=1,ROW(_Helpers!$F$2:$F$91)),ROWS($A$4:A51)),"")</f>
        <v>49</v>
      </c>
    </row>
    <row r="52" customFormat="false" ht="15" hidden="false" customHeight="false" outlineLevel="0" collapsed="false">
      <c r="A52" s="26" t="str">
        <f aca="false">IF($O52="","",INDEX(_Helpers!$A$2:$A$91,$O52-2+1))</f>
        <v>P44814</v>
      </c>
      <c r="B52" s="26" t="str">
        <f aca="false">IF($O52="","",INDEX(_Helpers!$D$2:$D$91,$O52-2+1))</f>
        <v>Elm Park Dental Practice</v>
      </c>
      <c r="C52" s="27" t="n">
        <f aca="false">IF($O52="","",INDEX(_Helpers!$B$2:$B$91,$O52-2+1))</f>
        <v>2335.78</v>
      </c>
      <c r="D52" s="27" t="n">
        <f aca="false">IF($O52="","",INDEX(_Helpers!$C$2:$C$91,$O52-2+1))</f>
        <v>2314.39</v>
      </c>
      <c r="E52" s="27" t="n">
        <f aca="false">IF($O52="","",INDEX(_Helpers!$L$2:$L$91,$O52-2+1))</f>
        <v>-21.3900000000003</v>
      </c>
      <c r="F52" s="28" t="n">
        <f aca="false">IF($O52="","",INDEX(_Helpers!$M$2:$M$91,$O52-2+1))</f>
        <v>-0.00915754052179586</v>
      </c>
      <c r="G52" s="29" t="str">
        <f aca="false">IF($O52="","",IF(INDEX(_Helpers!$G$2:$G$91,$O52-2+1)=1,"Starter",""))</f>
        <v/>
      </c>
      <c r="H52" s="29" t="str">
        <f aca="false">IF($O52="","",IF(INDEX(_Helpers!$H$2:$H$91,$O52-2+1)=1,"Leaver",""))</f>
        <v/>
      </c>
      <c r="I52" s="29" t="str">
        <f aca="false">IF($O52="","",INDEX(_Helpers!$P$2:$P$91,$O52-2+1))</f>
        <v>OK</v>
      </c>
      <c r="J52" s="28" t="n">
        <f aca="false">IF($O52="","",INDEX(_Helpers!$V$2:$V$91,$O52-2+1))</f>
        <v>-0.00915851040006321</v>
      </c>
      <c r="K52" s="29" t="str">
        <f aca="false">IF($O52="","",INDEX(_Helpers!$AJ$2:$AJ$91,$O52-2+1))</f>
        <v>Basic Salary</v>
      </c>
      <c r="L52" s="27" t="n">
        <f aca="false">IF($O52="","",INDEX(_Helpers!$AK$2:$AK$91,$O52-2+1))</f>
        <v>-27.8099999999999</v>
      </c>
      <c r="M52" s="30"/>
      <c r="N52" s="2"/>
      <c r="O52" s="25" t="n">
        <f aca="false" t="array" ref="O52:O52">IFERROR(SMALL(IF(_Helpers!$F$2:$F$91=1,ROW(_Helpers!$F$2:$F$91)),ROWS($A$4:A52)),"")</f>
        <v>54</v>
      </c>
    </row>
    <row r="53" customFormat="false" ht="15" hidden="false" customHeight="false" outlineLevel="0" collapsed="false">
      <c r="A53" s="26" t="str">
        <f aca="false">IF($O53="","",INDEX(_Helpers!$A$2:$A$91,$O53-2+1))</f>
        <v>P19508</v>
      </c>
      <c r="B53" s="26" t="str">
        <f aca="false">IF($O53="","",INDEX(_Helpers!$D$2:$D$91,$O53-2+1))</f>
        <v>Oakfield Dental Practice</v>
      </c>
      <c r="C53" s="27" t="n">
        <f aca="false">IF($O53="","",INDEX(_Helpers!$B$2:$B$91,$O53-2+1))</f>
        <v>2165.78</v>
      </c>
      <c r="D53" s="27" t="n">
        <f aca="false">IF($O53="","",INDEX(_Helpers!$C$2:$C$91,$O53-2+1))</f>
        <v>2319.06</v>
      </c>
      <c r="E53" s="27" t="n">
        <f aca="false">IF($O53="","",INDEX(_Helpers!$L$2:$L$91,$O53-2+1))</f>
        <v>153.28</v>
      </c>
      <c r="F53" s="28" t="n">
        <f aca="false">IF($O53="","",INDEX(_Helpers!$M$2:$M$91,$O53-2+1))</f>
        <v>0.0707735781104266</v>
      </c>
      <c r="G53" s="29" t="str">
        <f aca="false">IF($O53="","",IF(INDEX(_Helpers!$G$2:$G$91,$O53-2+1)=1,"Starter",""))</f>
        <v/>
      </c>
      <c r="H53" s="29" t="str">
        <f aca="false">IF($O53="","",IF(INDEX(_Helpers!$H$2:$H$91,$O53-2+1)=1,"Leaver",""))</f>
        <v/>
      </c>
      <c r="I53" s="29" t="str">
        <f aca="false">IF($O53="","",INDEX(_Helpers!$P$2:$P$91,$O53-2+1))</f>
        <v>OK</v>
      </c>
      <c r="J53" s="28" t="n">
        <f aca="false">IF($O53="","",INDEX(_Helpers!$V$2:$V$91,$O53-2+1))</f>
        <v>0.0707758097112068</v>
      </c>
      <c r="K53" s="29" t="str">
        <f aca="false">IF($O53="","",INDEX(_Helpers!$AJ$2:$AJ$91,$O53-2+1))</f>
        <v>Basic Salary</v>
      </c>
      <c r="L53" s="27" t="n">
        <f aca="false">IF($O53="","",INDEX(_Helpers!$AK$2:$AK$91,$O53-2+1))</f>
        <v>199.27</v>
      </c>
      <c r="M53" s="30"/>
      <c r="N53" s="2"/>
      <c r="O53" s="25" t="n">
        <f aca="false" t="array" ref="O53:O53">IFERROR(SMALL(IF(_Helpers!$F$2:$F$91=1,ROW(_Helpers!$F$2:$F$91)),ROWS($A$4:A53)),"")</f>
        <v>55</v>
      </c>
    </row>
    <row r="54" customFormat="false" ht="15" hidden="false" customHeight="false" outlineLevel="0" collapsed="false">
      <c r="A54" s="26" t="str">
        <f aca="false">IF($O54="","",INDEX(_Helpers!$A$2:$A$91,$O54-2+1))</f>
        <v>P19602</v>
      </c>
      <c r="B54" s="26" t="str">
        <f aca="false">IF($O54="","",INDEX(_Helpers!$D$2:$D$91,$O54-2+1))</f>
        <v>Riverside Dental Practice</v>
      </c>
      <c r="C54" s="27" t="n">
        <f aca="false">IF($O54="","",INDEX(_Helpers!$B$2:$B$91,$O54-2+1))</f>
        <v>2596.88</v>
      </c>
      <c r="D54" s="27" t="str">
        <f aca="false">IF($O54="","",INDEX(_Helpers!$C$2:$C$91,$O54-2+1))</f>
        <v/>
      </c>
      <c r="E54" s="27" t="n">
        <f aca="false">IF($O54="","",INDEX(_Helpers!$L$2:$L$91,$O54-2+1))</f>
        <v>-2596.88</v>
      </c>
      <c r="F54" s="28" t="n">
        <f aca="false">IF($O54="","",INDEX(_Helpers!$M$2:$M$91,$O54-2+1))</f>
        <v>-1</v>
      </c>
      <c r="G54" s="29" t="str">
        <f aca="false">IF($O54="","",IF(INDEX(_Helpers!$G$2:$G$91,$O54-2+1)=1,"Starter",""))</f>
        <v/>
      </c>
      <c r="H54" s="29" t="str">
        <f aca="false">IF($O54="","",IF(INDEX(_Helpers!$H$2:$H$91,$O54-2+1)=1,"Leaver",""))</f>
        <v>Leaver</v>
      </c>
      <c r="I54" s="29" t="str">
        <f aca="false">IF($O54="","",INDEX(_Helpers!$P$2:$P$91,$O54-2+1))</f>
        <v>Explained: Paired transfer</v>
      </c>
      <c r="J54" s="28" t="n">
        <f aca="false">IF($O54="","",INDEX(_Helpers!$V$2:$V$91,$O54-2+1))</f>
        <v>-1</v>
      </c>
      <c r="K54" s="29" t="str">
        <f aca="false">IF($O54="","",INDEX(_Helpers!$AJ$2:$AJ$91,$O54-2+1))</f>
        <v>Basic Salary</v>
      </c>
      <c r="L54" s="27" t="n">
        <f aca="false">IF($O54="","",INDEX(_Helpers!$AK$2:$AK$91,$O54-2+1))</f>
        <v>-3375.94</v>
      </c>
      <c r="M54" s="30"/>
      <c r="N54" s="2"/>
      <c r="O54" s="25" t="n">
        <f aca="false" t="array" ref="O54:O54">IFERROR(SMALL(IF(_Helpers!$F$2:$F$91=1,ROW(_Helpers!$F$2:$F$91)),ROWS($A$4:A54)),"")</f>
        <v>56</v>
      </c>
    </row>
    <row r="55" customFormat="false" ht="15" hidden="false" customHeight="false" outlineLevel="0" collapsed="false">
      <c r="A55" s="26" t="str">
        <f aca="false">IF($O55="","",INDEX(_Helpers!$A$2:$A$91,$O55-2+1))</f>
        <v>P80468</v>
      </c>
      <c r="B55" s="26" t="str">
        <f aca="false">IF($O55="","",INDEX(_Helpers!$D$2:$D$91,$O55-2+1))</f>
        <v>Oakfield Dental Practice</v>
      </c>
      <c r="C55" s="27" t="str">
        <f aca="false">IF($O55="","",INDEX(_Helpers!$B$2:$B$91,$O55-2+1))</f>
        <v/>
      </c>
      <c r="D55" s="27" t="n">
        <f aca="false">IF($O55="","",INDEX(_Helpers!$C$2:$C$91,$O55-2+1))</f>
        <v>2596.88</v>
      </c>
      <c r="E55" s="27" t="n">
        <f aca="false">IF($O55="","",INDEX(_Helpers!$L$2:$L$91,$O55-2+1))</f>
        <v>2596.88</v>
      </c>
      <c r="F55" s="28" t="str">
        <f aca="false">IF($O55="","",INDEX(_Helpers!$M$2:$M$91,$O55-2+1))</f>
        <v/>
      </c>
      <c r="G55" s="29" t="str">
        <f aca="false">IF($O55="","",IF(INDEX(_Helpers!$G$2:$G$91,$O55-2+1)=1,"Starter",""))</f>
        <v>Starter</v>
      </c>
      <c r="H55" s="29" t="str">
        <f aca="false">IF($O55="","",IF(INDEX(_Helpers!$H$2:$H$91,$O55-2+1)=1,"Leaver",""))</f>
        <v/>
      </c>
      <c r="I55" s="29" t="str">
        <f aca="false">IF($O55="","",INDEX(_Helpers!$P$2:$P$91,$O55-2+1))</f>
        <v>Explained: Paired transfer</v>
      </c>
      <c r="J55" s="28" t="str">
        <f aca="false">IF($O55="","",INDEX(_Helpers!$V$2:$V$91,$O55-2+1))</f>
        <v/>
      </c>
      <c r="K55" s="29" t="str">
        <f aca="false">IF($O55="","",INDEX(_Helpers!$AJ$2:$AJ$91,$O55-2+1))</f>
        <v>Basic Salary</v>
      </c>
      <c r="L55" s="27" t="n">
        <f aca="false">IF($O55="","",INDEX(_Helpers!$AK$2:$AK$91,$O55-2+1))</f>
        <v>3375.94</v>
      </c>
      <c r="M55" s="30"/>
      <c r="N55" s="2"/>
      <c r="O55" s="25" t="n">
        <f aca="false" t="array" ref="O55:O55">IFERROR(SMALL(IF(_Helpers!$F$2:$F$91=1,ROW(_Helpers!$F$2:$F$91)),ROWS($A$4:A55)),"")</f>
        <v>57</v>
      </c>
    </row>
    <row r="56" customFormat="false" ht="15" hidden="false" customHeight="false" outlineLevel="0" collapsed="false">
      <c r="A56" s="26" t="str">
        <f aca="false">IF($O56="","",INDEX(_Helpers!$A$2:$A$91,$O56-2+1))</f>
        <v>P55745</v>
      </c>
      <c r="B56" s="26" t="str">
        <f aca="false">IF($O56="","",INDEX(_Helpers!$D$2:$D$91,$O56-2+1))</f>
        <v>Kings Road Dental Practice</v>
      </c>
      <c r="C56" s="27" t="n">
        <f aca="false">IF($O56="","",INDEX(_Helpers!$B$2:$B$91,$O56-2+1))</f>
        <v>1905.97</v>
      </c>
      <c r="D56" s="27" t="str">
        <f aca="false">IF($O56="","",INDEX(_Helpers!$C$2:$C$91,$O56-2+1))</f>
        <v/>
      </c>
      <c r="E56" s="27" t="n">
        <f aca="false">IF($O56="","",INDEX(_Helpers!$L$2:$L$91,$O56-2+1))</f>
        <v>-1905.97</v>
      </c>
      <c r="F56" s="28" t="n">
        <f aca="false">IF($O56="","",INDEX(_Helpers!$M$2:$M$91,$O56-2+1))</f>
        <v>-1</v>
      </c>
      <c r="G56" s="29" t="str">
        <f aca="false">IF($O56="","",IF(INDEX(_Helpers!$G$2:$G$91,$O56-2+1)=1,"Starter",""))</f>
        <v/>
      </c>
      <c r="H56" s="29" t="str">
        <f aca="false">IF($O56="","",IF(INDEX(_Helpers!$H$2:$H$91,$O56-2+1)=1,"Leaver",""))</f>
        <v>Leaver</v>
      </c>
      <c r="I56" s="29" t="str">
        <f aca="false">IF($O56="","",INDEX(_Helpers!$P$2:$P$91,$O56-2+1))</f>
        <v>Explained: Paired transfer</v>
      </c>
      <c r="J56" s="28" t="n">
        <f aca="false">IF($O56="","",INDEX(_Helpers!$V$2:$V$91,$O56-2+1))</f>
        <v>-1</v>
      </c>
      <c r="K56" s="29" t="str">
        <f aca="false">IF($O56="","",INDEX(_Helpers!$AJ$2:$AJ$91,$O56-2+1))</f>
        <v>Basic Salary</v>
      </c>
      <c r="L56" s="27" t="n">
        <f aca="false">IF($O56="","",INDEX(_Helpers!$AK$2:$AK$91,$O56-2+1))</f>
        <v>-2477.75</v>
      </c>
      <c r="M56" s="30"/>
      <c r="N56" s="2"/>
      <c r="O56" s="25" t="n">
        <f aca="false" t="array" ref="O56:O56">IFERROR(SMALL(IF(_Helpers!$F$2:$F$91=1,ROW(_Helpers!$F$2:$F$91)),ROWS($A$4:A56)),"")</f>
        <v>58</v>
      </c>
    </row>
    <row r="57" customFormat="false" ht="15" hidden="false" customHeight="false" outlineLevel="0" collapsed="false">
      <c r="A57" s="26" t="str">
        <f aca="false">IF($O57="","",INDEX(_Helpers!$A$2:$A$91,$O57-2+1))</f>
        <v>P19016</v>
      </c>
      <c r="B57" s="26" t="str">
        <f aca="false">IF($O57="","",INDEX(_Helpers!$D$2:$D$91,$O57-2+1))</f>
        <v>Hakim Group Head Office</v>
      </c>
      <c r="C57" s="27" t="str">
        <f aca="false">IF($O57="","",INDEX(_Helpers!$B$2:$B$91,$O57-2+1))</f>
        <v/>
      </c>
      <c r="D57" s="27" t="n">
        <f aca="false">IF($O57="","",INDEX(_Helpers!$C$2:$C$91,$O57-2+1))</f>
        <v>1905.97</v>
      </c>
      <c r="E57" s="27" t="n">
        <f aca="false">IF($O57="","",INDEX(_Helpers!$L$2:$L$91,$O57-2+1))</f>
        <v>1905.97</v>
      </c>
      <c r="F57" s="28" t="str">
        <f aca="false">IF($O57="","",INDEX(_Helpers!$M$2:$M$91,$O57-2+1))</f>
        <v/>
      </c>
      <c r="G57" s="29" t="str">
        <f aca="false">IF($O57="","",IF(INDEX(_Helpers!$G$2:$G$91,$O57-2+1)=1,"Starter",""))</f>
        <v>Starter</v>
      </c>
      <c r="H57" s="29" t="str">
        <f aca="false">IF($O57="","",IF(INDEX(_Helpers!$H$2:$H$91,$O57-2+1)=1,"Leaver",""))</f>
        <v/>
      </c>
      <c r="I57" s="29" t="str">
        <f aca="false">IF($O57="","",INDEX(_Helpers!$P$2:$P$91,$O57-2+1))</f>
        <v>Explained: Paired transfer</v>
      </c>
      <c r="J57" s="28" t="str">
        <f aca="false">IF($O57="","",INDEX(_Helpers!$V$2:$V$91,$O57-2+1))</f>
        <v/>
      </c>
      <c r="K57" s="29" t="str">
        <f aca="false">IF($O57="","",INDEX(_Helpers!$AJ$2:$AJ$91,$O57-2+1))</f>
        <v>Basic Salary</v>
      </c>
      <c r="L57" s="27" t="n">
        <f aca="false">IF($O57="","",INDEX(_Helpers!$AK$2:$AK$91,$O57-2+1))</f>
        <v>2477.75</v>
      </c>
      <c r="M57" s="30"/>
      <c r="N57" s="2"/>
      <c r="O57" s="25" t="n">
        <f aca="false" t="array" ref="O57:O57">IFERROR(SMALL(IF(_Helpers!$F$2:$F$91=1,ROW(_Helpers!$F$2:$F$91)),ROWS($A$4:A57)),"")</f>
        <v>59</v>
      </c>
    </row>
    <row r="58" customFormat="false" ht="15" hidden="false" customHeight="false" outlineLevel="0" collapsed="false">
      <c r="A58" s="26" t="str">
        <f aca="false">IF($O58="","",INDEX(_Helpers!$A$2:$A$91,$O58-2+1))</f>
        <v>P81200</v>
      </c>
      <c r="B58" s="26" t="str">
        <f aca="false">IF($O58="","",INDEX(_Helpers!$D$2:$D$91,$O58-2+1))</f>
        <v>Kings Road Dental Practice</v>
      </c>
      <c r="C58" s="27" t="n">
        <f aca="false">IF($O58="","",INDEX(_Helpers!$B$2:$B$91,$O58-2+1))</f>
        <v>2150.55</v>
      </c>
      <c r="D58" s="27" t="n">
        <f aca="false">IF($O58="","",INDEX(_Helpers!$C$2:$C$91,$O58-2+1))</f>
        <v>0</v>
      </c>
      <c r="E58" s="27" t="n">
        <f aca="false">IF($O58="","",INDEX(_Helpers!$L$2:$L$91,$O58-2+1))</f>
        <v>-2150.55</v>
      </c>
      <c r="F58" s="28" t="n">
        <f aca="false">IF($O58="","",INDEX(_Helpers!$M$2:$M$91,$O58-2+1))</f>
        <v>-1</v>
      </c>
      <c r="G58" s="29" t="str">
        <f aca="false">IF($O58="","",IF(INDEX(_Helpers!$G$2:$G$91,$O58-2+1)=1,"Starter",""))</f>
        <v/>
      </c>
      <c r="H58" s="29" t="str">
        <f aca="false">IF($O58="","",IF(INDEX(_Helpers!$H$2:$H$91,$O58-2+1)=1,"Leaver",""))</f>
        <v/>
      </c>
      <c r="I58" s="29" t="str">
        <f aca="false">IF($O58="","",INDEX(_Helpers!$P$2:$P$91,$O58-2+1))</f>
        <v>Review required</v>
      </c>
      <c r="J58" s="28" t="n">
        <f aca="false">IF($O58="","",INDEX(_Helpers!$V$2:$V$91,$O58-2+1))</f>
        <v>-1</v>
      </c>
      <c r="K58" s="29" t="str">
        <f aca="false">IF($O58="","",INDEX(_Helpers!$AJ$2:$AJ$91,$O58-2+1))</f>
        <v>Basic Salary</v>
      </c>
      <c r="L58" s="27" t="n">
        <f aca="false">IF($O58="","",INDEX(_Helpers!$AK$2:$AK$91,$O58-2+1))</f>
        <v>-2795.71</v>
      </c>
      <c r="M58" s="30"/>
      <c r="N58" s="2"/>
      <c r="O58" s="25" t="n">
        <f aca="false" t="array" ref="O58:O58">IFERROR(SMALL(IF(_Helpers!$F$2:$F$91=1,ROW(_Helpers!$F$2:$F$91)),ROWS($A$4:A58)),"")</f>
        <v>60</v>
      </c>
    </row>
    <row r="59" customFormat="false" ht="15" hidden="false" customHeight="false" outlineLevel="0" collapsed="false">
      <c r="A59" s="26" t="str">
        <f aca="false">IF($O59="","",INDEX(_Helpers!$A$2:$A$91,$O59-2+1))</f>
        <v>P97538</v>
      </c>
      <c r="B59" s="26" t="str">
        <f aca="false">IF($O59="","",INDEX(_Helpers!$D$2:$D$91,$O59-2+1))</f>
        <v>Elm Park Dental Practice</v>
      </c>
      <c r="C59" s="27" t="n">
        <f aca="false">IF($O59="","",INDEX(_Helpers!$B$2:$B$91,$O59-2+1))</f>
        <v>2223.15</v>
      </c>
      <c r="D59" s="27" t="n">
        <f aca="false">IF($O59="","",INDEX(_Helpers!$C$2:$C$91,$O59-2+1))</f>
        <v>0</v>
      </c>
      <c r="E59" s="27" t="n">
        <f aca="false">IF($O59="","",INDEX(_Helpers!$L$2:$L$91,$O59-2+1))</f>
        <v>-2223.15</v>
      </c>
      <c r="F59" s="28" t="n">
        <f aca="false">IF($O59="","",INDEX(_Helpers!$M$2:$M$91,$O59-2+1))</f>
        <v>-1</v>
      </c>
      <c r="G59" s="29" t="str">
        <f aca="false">IF($O59="","",IF(INDEX(_Helpers!$G$2:$G$91,$O59-2+1)=1,"Starter",""))</f>
        <v/>
      </c>
      <c r="H59" s="29" t="str">
        <f aca="false">IF($O59="","",IF(INDEX(_Helpers!$H$2:$H$91,$O59-2+1)=1,"Leaver",""))</f>
        <v/>
      </c>
      <c r="I59" s="29" t="str">
        <f aca="false">IF($O59="","",INDEX(_Helpers!$P$2:$P$91,$O59-2+1))</f>
        <v>Review required</v>
      </c>
      <c r="J59" s="28" t="n">
        <f aca="false">IF($O59="","",INDEX(_Helpers!$V$2:$V$91,$O59-2+1))</f>
        <v>-1</v>
      </c>
      <c r="K59" s="29" t="str">
        <f aca="false">IF($O59="","",INDEX(_Helpers!$AJ$2:$AJ$91,$O59-2+1))</f>
        <v>Basic Salary</v>
      </c>
      <c r="L59" s="27" t="n">
        <f aca="false">IF($O59="","",INDEX(_Helpers!$AK$2:$AK$91,$O59-2+1))</f>
        <v>-2890.1</v>
      </c>
      <c r="M59" s="30"/>
      <c r="N59" s="2"/>
      <c r="O59" s="25" t="n">
        <f aca="false" t="array" ref="O59:O59">IFERROR(SMALL(IF(_Helpers!$F$2:$F$91=1,ROW(_Helpers!$F$2:$F$91)),ROWS($A$4:A59)),"")</f>
        <v>61</v>
      </c>
    </row>
    <row r="60" customFormat="false" ht="15" hidden="false" customHeight="false" outlineLevel="0" collapsed="false">
      <c r="A60" s="26" t="str">
        <f aca="false">IF($O60="","",INDEX(_Helpers!$A$2:$A$91,$O60-2+1))</f>
        <v/>
      </c>
      <c r="B60" s="26" t="str">
        <f aca="false">IF($O60="","",INDEX(_Helpers!$D$2:$D$91,$O60-2+1))</f>
        <v/>
      </c>
      <c r="C60" s="27" t="str">
        <f aca="false">IF($O60="","",INDEX(_Helpers!$B$2:$B$91,$O60-2+1))</f>
        <v/>
      </c>
      <c r="D60" s="27" t="str">
        <f aca="false">IF($O60="","",INDEX(_Helpers!$C$2:$C$91,$O60-2+1))</f>
        <v/>
      </c>
      <c r="E60" s="27" t="str">
        <f aca="false">IF($O60="","",INDEX(_Helpers!$L$2:$L$91,$O60-2+1))</f>
        <v/>
      </c>
      <c r="F60" s="28" t="str">
        <f aca="false">IF($O60="","",INDEX(_Helpers!$M$2:$M$91,$O60-2+1))</f>
        <v/>
      </c>
      <c r="G60" s="29" t="str">
        <f aca="false">IF($O60="","",IF(INDEX(_Helpers!$G$2:$G$91,$O60-2+1)=1,"Starter",""))</f>
        <v/>
      </c>
      <c r="H60" s="29" t="str">
        <f aca="false">IF($O60="","",IF(INDEX(_Helpers!$H$2:$H$91,$O60-2+1)=1,"Leaver",""))</f>
        <v/>
      </c>
      <c r="I60" s="29" t="str">
        <f aca="false">IF($O60="","",INDEX(_Helpers!$P$2:$P$91,$O60-2+1))</f>
        <v/>
      </c>
      <c r="J60" s="28" t="str">
        <f aca="false">IF($O60="","",INDEX(_Helpers!$V$2:$V$91,$O60-2+1))</f>
        <v/>
      </c>
      <c r="K60" s="29" t="str">
        <f aca="false">IF($O60="","",INDEX(_Helpers!$AJ$2:$AJ$91,$O60-2+1))</f>
        <v/>
      </c>
      <c r="L60" s="27" t="str">
        <f aca="false">IF($O60="","",INDEX(_Helpers!$AK$2:$AK$91,$O60-2+1))</f>
        <v/>
      </c>
      <c r="M60" s="30"/>
      <c r="N60" s="2"/>
      <c r="O60" s="25" t="str">
        <f aca="false" t="array" ref="O60:O60">IFERROR(SMALL(IF(_Helpers!$F$2:$F$91=1,ROW(_Helpers!$F$2:$F$91)),ROWS($A$4:A60)),"")</f>
        <v/>
      </c>
    </row>
    <row r="61" customFormat="false" ht="15" hidden="false" customHeight="false" outlineLevel="0" collapsed="false">
      <c r="A61" s="26" t="str">
        <f aca="false">IF($O61="","",INDEX(_Helpers!$A$2:$A$91,$O61-2+1))</f>
        <v/>
      </c>
      <c r="B61" s="26" t="str">
        <f aca="false">IF($O61="","",INDEX(_Helpers!$D$2:$D$91,$O61-2+1))</f>
        <v/>
      </c>
      <c r="C61" s="27" t="str">
        <f aca="false">IF($O61="","",INDEX(_Helpers!$B$2:$B$91,$O61-2+1))</f>
        <v/>
      </c>
      <c r="D61" s="27" t="str">
        <f aca="false">IF($O61="","",INDEX(_Helpers!$C$2:$C$91,$O61-2+1))</f>
        <v/>
      </c>
      <c r="E61" s="27" t="str">
        <f aca="false">IF($O61="","",INDEX(_Helpers!$L$2:$L$91,$O61-2+1))</f>
        <v/>
      </c>
      <c r="F61" s="28" t="str">
        <f aca="false">IF($O61="","",INDEX(_Helpers!$M$2:$M$91,$O61-2+1))</f>
        <v/>
      </c>
      <c r="G61" s="29" t="str">
        <f aca="false">IF($O61="","",IF(INDEX(_Helpers!$G$2:$G$91,$O61-2+1)=1,"Starter",""))</f>
        <v/>
      </c>
      <c r="H61" s="29" t="str">
        <f aca="false">IF($O61="","",IF(INDEX(_Helpers!$H$2:$H$91,$O61-2+1)=1,"Leaver",""))</f>
        <v/>
      </c>
      <c r="I61" s="29" t="str">
        <f aca="false">IF($O61="","",INDEX(_Helpers!$P$2:$P$91,$O61-2+1))</f>
        <v/>
      </c>
      <c r="J61" s="28" t="str">
        <f aca="false">IF($O61="","",INDEX(_Helpers!$V$2:$V$91,$O61-2+1))</f>
        <v/>
      </c>
      <c r="K61" s="29" t="str">
        <f aca="false">IF($O61="","",INDEX(_Helpers!$AJ$2:$AJ$91,$O61-2+1))</f>
        <v/>
      </c>
      <c r="L61" s="27" t="str">
        <f aca="false">IF($O61="","",INDEX(_Helpers!$AK$2:$AK$91,$O61-2+1))</f>
        <v/>
      </c>
      <c r="M61" s="30"/>
      <c r="N61" s="2"/>
      <c r="O61" s="25" t="str">
        <f aca="false" t="array" ref="O61:O61">IFERROR(SMALL(IF(_Helpers!$F$2:$F$91=1,ROW(_Helpers!$F$2:$F$91)),ROWS($A$4:A61)),"")</f>
        <v/>
      </c>
    </row>
    <row r="62" customFormat="false" ht="15" hidden="false" customHeight="false" outlineLevel="0" collapsed="false">
      <c r="A62" s="26" t="str">
        <f aca="false">IF($O62="","",INDEX(_Helpers!$A$2:$A$91,$O62-2+1))</f>
        <v/>
      </c>
      <c r="B62" s="26" t="str">
        <f aca="false">IF($O62="","",INDEX(_Helpers!$D$2:$D$91,$O62-2+1))</f>
        <v/>
      </c>
      <c r="C62" s="27" t="str">
        <f aca="false">IF($O62="","",INDEX(_Helpers!$B$2:$B$91,$O62-2+1))</f>
        <v/>
      </c>
      <c r="D62" s="27" t="str">
        <f aca="false">IF($O62="","",INDEX(_Helpers!$C$2:$C$91,$O62-2+1))</f>
        <v/>
      </c>
      <c r="E62" s="27" t="str">
        <f aca="false">IF($O62="","",INDEX(_Helpers!$L$2:$L$91,$O62-2+1))</f>
        <v/>
      </c>
      <c r="F62" s="28" t="str">
        <f aca="false">IF($O62="","",INDEX(_Helpers!$M$2:$M$91,$O62-2+1))</f>
        <v/>
      </c>
      <c r="G62" s="29" t="str">
        <f aca="false">IF($O62="","",IF(INDEX(_Helpers!$G$2:$G$91,$O62-2+1)=1,"Starter",""))</f>
        <v/>
      </c>
      <c r="H62" s="29" t="str">
        <f aca="false">IF($O62="","",IF(INDEX(_Helpers!$H$2:$H$91,$O62-2+1)=1,"Leaver",""))</f>
        <v/>
      </c>
      <c r="I62" s="29" t="str">
        <f aca="false">IF($O62="","",INDEX(_Helpers!$P$2:$P$91,$O62-2+1))</f>
        <v/>
      </c>
      <c r="J62" s="28" t="str">
        <f aca="false">IF($O62="","",INDEX(_Helpers!$V$2:$V$91,$O62-2+1))</f>
        <v/>
      </c>
      <c r="K62" s="29" t="str">
        <f aca="false">IF($O62="","",INDEX(_Helpers!$AJ$2:$AJ$91,$O62-2+1))</f>
        <v/>
      </c>
      <c r="L62" s="27" t="str">
        <f aca="false">IF($O62="","",INDEX(_Helpers!$AK$2:$AK$91,$O62-2+1))</f>
        <v/>
      </c>
      <c r="M62" s="30"/>
      <c r="N62" s="2"/>
      <c r="O62" s="25" t="str">
        <f aca="false" t="array" ref="O62:O62">IFERROR(SMALL(IF(_Helpers!$F$2:$F$91=1,ROW(_Helpers!$F$2:$F$91)),ROWS($A$4:A62)),"")</f>
        <v/>
      </c>
    </row>
    <row r="63" customFormat="false" ht="15" hidden="false" customHeight="false" outlineLevel="0" collapsed="false">
      <c r="A63" s="26" t="str">
        <f aca="false">IF($O63="","",INDEX(_Helpers!$A$2:$A$91,$O63-2+1))</f>
        <v/>
      </c>
      <c r="B63" s="26" t="str">
        <f aca="false">IF($O63="","",INDEX(_Helpers!$D$2:$D$91,$O63-2+1))</f>
        <v/>
      </c>
      <c r="C63" s="27" t="str">
        <f aca="false">IF($O63="","",INDEX(_Helpers!$B$2:$B$91,$O63-2+1))</f>
        <v/>
      </c>
      <c r="D63" s="27" t="str">
        <f aca="false">IF($O63="","",INDEX(_Helpers!$C$2:$C$91,$O63-2+1))</f>
        <v/>
      </c>
      <c r="E63" s="27" t="str">
        <f aca="false">IF($O63="","",INDEX(_Helpers!$L$2:$L$91,$O63-2+1))</f>
        <v/>
      </c>
      <c r="F63" s="28" t="str">
        <f aca="false">IF($O63="","",INDEX(_Helpers!$M$2:$M$91,$O63-2+1))</f>
        <v/>
      </c>
      <c r="G63" s="29" t="str">
        <f aca="false">IF($O63="","",IF(INDEX(_Helpers!$G$2:$G$91,$O63-2+1)=1,"Starter",""))</f>
        <v/>
      </c>
      <c r="H63" s="29" t="str">
        <f aca="false">IF($O63="","",IF(INDEX(_Helpers!$H$2:$H$91,$O63-2+1)=1,"Leaver",""))</f>
        <v/>
      </c>
      <c r="I63" s="29" t="str">
        <f aca="false">IF($O63="","",INDEX(_Helpers!$P$2:$P$91,$O63-2+1))</f>
        <v/>
      </c>
      <c r="J63" s="28" t="str">
        <f aca="false">IF($O63="","",INDEX(_Helpers!$V$2:$V$91,$O63-2+1))</f>
        <v/>
      </c>
      <c r="K63" s="29" t="str">
        <f aca="false">IF($O63="","",INDEX(_Helpers!$AJ$2:$AJ$91,$O63-2+1))</f>
        <v/>
      </c>
      <c r="L63" s="27" t="str">
        <f aca="false">IF($O63="","",INDEX(_Helpers!$AK$2:$AK$91,$O63-2+1))</f>
        <v/>
      </c>
      <c r="M63" s="30"/>
      <c r="N63" s="2"/>
      <c r="O63" s="25" t="str">
        <f aca="false" t="array" ref="O63:O63">IFERROR(SMALL(IF(_Helpers!$F$2:$F$91=1,ROW(_Helpers!$F$2:$F$91)),ROWS($A$4:A63)),"")</f>
        <v/>
      </c>
    </row>
    <row r="64" customFormat="false" ht="15" hidden="false" customHeight="false" outlineLevel="0" collapsed="false">
      <c r="A64" s="26" t="str">
        <f aca="false">IF($O64="","",INDEX(_Helpers!$A$2:$A$91,$O64-2+1))</f>
        <v/>
      </c>
      <c r="B64" s="26" t="str">
        <f aca="false">IF($O64="","",INDEX(_Helpers!$D$2:$D$91,$O64-2+1))</f>
        <v/>
      </c>
      <c r="C64" s="27" t="str">
        <f aca="false">IF($O64="","",INDEX(_Helpers!$B$2:$B$91,$O64-2+1))</f>
        <v/>
      </c>
      <c r="D64" s="27" t="str">
        <f aca="false">IF($O64="","",INDEX(_Helpers!$C$2:$C$91,$O64-2+1))</f>
        <v/>
      </c>
      <c r="E64" s="27" t="str">
        <f aca="false">IF($O64="","",INDEX(_Helpers!$L$2:$L$91,$O64-2+1))</f>
        <v/>
      </c>
      <c r="F64" s="28" t="str">
        <f aca="false">IF($O64="","",INDEX(_Helpers!$M$2:$M$91,$O64-2+1))</f>
        <v/>
      </c>
      <c r="G64" s="29" t="str">
        <f aca="false">IF($O64="","",IF(INDEX(_Helpers!$G$2:$G$91,$O64-2+1)=1,"Starter",""))</f>
        <v/>
      </c>
      <c r="H64" s="29" t="str">
        <f aca="false">IF($O64="","",IF(INDEX(_Helpers!$H$2:$H$91,$O64-2+1)=1,"Leaver",""))</f>
        <v/>
      </c>
      <c r="I64" s="29" t="str">
        <f aca="false">IF($O64="","",INDEX(_Helpers!$P$2:$P$91,$O64-2+1))</f>
        <v/>
      </c>
      <c r="J64" s="28" t="str">
        <f aca="false">IF($O64="","",INDEX(_Helpers!$V$2:$V$91,$O64-2+1))</f>
        <v/>
      </c>
      <c r="K64" s="29" t="str">
        <f aca="false">IF($O64="","",INDEX(_Helpers!$AJ$2:$AJ$91,$O64-2+1))</f>
        <v/>
      </c>
      <c r="L64" s="27" t="str">
        <f aca="false">IF($O64="","",INDEX(_Helpers!$AK$2:$AK$91,$O64-2+1))</f>
        <v/>
      </c>
      <c r="M64" s="30"/>
      <c r="N64" s="2"/>
      <c r="O64" s="25" t="str">
        <f aca="false" t="array" ref="O64:O64">IFERROR(SMALL(IF(_Helpers!$F$2:$F$91=1,ROW(_Helpers!$F$2:$F$91)),ROWS($A$4:A64)),"")</f>
        <v/>
      </c>
    </row>
    <row r="65" customFormat="false" ht="15" hidden="false" customHeight="false" outlineLevel="0" collapsed="false">
      <c r="A65" s="26" t="str">
        <f aca="false">IF($O65="","",INDEX(_Helpers!$A$2:$A$91,$O65-2+1))</f>
        <v/>
      </c>
      <c r="B65" s="26" t="str">
        <f aca="false">IF($O65="","",INDEX(_Helpers!$D$2:$D$91,$O65-2+1))</f>
        <v/>
      </c>
      <c r="C65" s="27" t="str">
        <f aca="false">IF($O65="","",INDEX(_Helpers!$B$2:$B$91,$O65-2+1))</f>
        <v/>
      </c>
      <c r="D65" s="27" t="str">
        <f aca="false">IF($O65="","",INDEX(_Helpers!$C$2:$C$91,$O65-2+1))</f>
        <v/>
      </c>
      <c r="E65" s="27" t="str">
        <f aca="false">IF($O65="","",INDEX(_Helpers!$L$2:$L$91,$O65-2+1))</f>
        <v/>
      </c>
      <c r="F65" s="28" t="str">
        <f aca="false">IF($O65="","",INDEX(_Helpers!$M$2:$M$91,$O65-2+1))</f>
        <v/>
      </c>
      <c r="G65" s="29" t="str">
        <f aca="false">IF($O65="","",IF(INDEX(_Helpers!$G$2:$G$91,$O65-2+1)=1,"Starter",""))</f>
        <v/>
      </c>
      <c r="H65" s="29" t="str">
        <f aca="false">IF($O65="","",IF(INDEX(_Helpers!$H$2:$H$91,$O65-2+1)=1,"Leaver",""))</f>
        <v/>
      </c>
      <c r="I65" s="29" t="str">
        <f aca="false">IF($O65="","",INDEX(_Helpers!$P$2:$P$91,$O65-2+1))</f>
        <v/>
      </c>
      <c r="J65" s="28" t="str">
        <f aca="false">IF($O65="","",INDEX(_Helpers!$V$2:$V$91,$O65-2+1))</f>
        <v/>
      </c>
      <c r="K65" s="29" t="str">
        <f aca="false">IF($O65="","",INDEX(_Helpers!$AJ$2:$AJ$91,$O65-2+1))</f>
        <v/>
      </c>
      <c r="L65" s="27" t="str">
        <f aca="false">IF($O65="","",INDEX(_Helpers!$AK$2:$AK$91,$O65-2+1))</f>
        <v/>
      </c>
      <c r="M65" s="30"/>
      <c r="N65" s="2"/>
      <c r="O65" s="25" t="str">
        <f aca="false" t="array" ref="O65:O65">IFERROR(SMALL(IF(_Helpers!$F$2:$F$91=1,ROW(_Helpers!$F$2:$F$91)),ROWS($A$4:A65)),"")</f>
        <v/>
      </c>
    </row>
    <row r="66" customFormat="false" ht="15" hidden="false" customHeight="false" outlineLevel="0" collapsed="false">
      <c r="A66" s="26" t="str">
        <f aca="false">IF($O66="","",INDEX(_Helpers!$A$2:$A$91,$O66-2+1))</f>
        <v/>
      </c>
      <c r="B66" s="26" t="str">
        <f aca="false">IF($O66="","",INDEX(_Helpers!$D$2:$D$91,$O66-2+1))</f>
        <v/>
      </c>
      <c r="C66" s="27" t="str">
        <f aca="false">IF($O66="","",INDEX(_Helpers!$B$2:$B$91,$O66-2+1))</f>
        <v/>
      </c>
      <c r="D66" s="27" t="str">
        <f aca="false">IF($O66="","",INDEX(_Helpers!$C$2:$C$91,$O66-2+1))</f>
        <v/>
      </c>
      <c r="E66" s="27" t="str">
        <f aca="false">IF($O66="","",INDEX(_Helpers!$L$2:$L$91,$O66-2+1))</f>
        <v/>
      </c>
      <c r="F66" s="28" t="str">
        <f aca="false">IF($O66="","",INDEX(_Helpers!$M$2:$M$91,$O66-2+1))</f>
        <v/>
      </c>
      <c r="G66" s="29" t="str">
        <f aca="false">IF($O66="","",IF(INDEX(_Helpers!$G$2:$G$91,$O66-2+1)=1,"Starter",""))</f>
        <v/>
      </c>
      <c r="H66" s="29" t="str">
        <f aca="false">IF($O66="","",IF(INDEX(_Helpers!$H$2:$H$91,$O66-2+1)=1,"Leaver",""))</f>
        <v/>
      </c>
      <c r="I66" s="29" t="str">
        <f aca="false">IF($O66="","",INDEX(_Helpers!$P$2:$P$91,$O66-2+1))</f>
        <v/>
      </c>
      <c r="J66" s="28" t="str">
        <f aca="false">IF($O66="","",INDEX(_Helpers!$V$2:$V$91,$O66-2+1))</f>
        <v/>
      </c>
      <c r="K66" s="29" t="str">
        <f aca="false">IF($O66="","",INDEX(_Helpers!$AJ$2:$AJ$91,$O66-2+1))</f>
        <v/>
      </c>
      <c r="L66" s="27" t="str">
        <f aca="false">IF($O66="","",INDEX(_Helpers!$AK$2:$AK$91,$O66-2+1))</f>
        <v/>
      </c>
      <c r="M66" s="30"/>
      <c r="N66" s="2"/>
      <c r="O66" s="25" t="str">
        <f aca="false" t="array" ref="O66:O66">IFERROR(SMALL(IF(_Helpers!$F$2:$F$91=1,ROW(_Helpers!$F$2:$F$91)),ROWS($A$4:A66)),"")</f>
        <v/>
      </c>
    </row>
    <row r="67" customFormat="false" ht="15" hidden="false" customHeight="false" outlineLevel="0" collapsed="false">
      <c r="A67" s="26" t="str">
        <f aca="false">IF($O67="","",INDEX(_Helpers!$A$2:$A$91,$O67-2+1))</f>
        <v/>
      </c>
      <c r="B67" s="26" t="str">
        <f aca="false">IF($O67="","",INDEX(_Helpers!$D$2:$D$91,$O67-2+1))</f>
        <v/>
      </c>
      <c r="C67" s="27" t="str">
        <f aca="false">IF($O67="","",INDEX(_Helpers!$B$2:$B$91,$O67-2+1))</f>
        <v/>
      </c>
      <c r="D67" s="27" t="str">
        <f aca="false">IF($O67="","",INDEX(_Helpers!$C$2:$C$91,$O67-2+1))</f>
        <v/>
      </c>
      <c r="E67" s="27" t="str">
        <f aca="false">IF($O67="","",INDEX(_Helpers!$L$2:$L$91,$O67-2+1))</f>
        <v/>
      </c>
      <c r="F67" s="28" t="str">
        <f aca="false">IF($O67="","",INDEX(_Helpers!$M$2:$M$91,$O67-2+1))</f>
        <v/>
      </c>
      <c r="G67" s="29" t="str">
        <f aca="false">IF($O67="","",IF(INDEX(_Helpers!$G$2:$G$91,$O67-2+1)=1,"Starter",""))</f>
        <v/>
      </c>
      <c r="H67" s="29" t="str">
        <f aca="false">IF($O67="","",IF(INDEX(_Helpers!$H$2:$H$91,$O67-2+1)=1,"Leaver",""))</f>
        <v/>
      </c>
      <c r="I67" s="29" t="str">
        <f aca="false">IF($O67="","",INDEX(_Helpers!$P$2:$P$91,$O67-2+1))</f>
        <v/>
      </c>
      <c r="J67" s="28" t="str">
        <f aca="false">IF($O67="","",INDEX(_Helpers!$V$2:$V$91,$O67-2+1))</f>
        <v/>
      </c>
      <c r="K67" s="29" t="str">
        <f aca="false">IF($O67="","",INDEX(_Helpers!$AJ$2:$AJ$91,$O67-2+1))</f>
        <v/>
      </c>
      <c r="L67" s="27" t="str">
        <f aca="false">IF($O67="","",INDEX(_Helpers!$AK$2:$AK$91,$O67-2+1))</f>
        <v/>
      </c>
      <c r="M67" s="30"/>
      <c r="N67" s="2"/>
      <c r="O67" s="25" t="str">
        <f aca="false" t="array" ref="O67:O67">IFERROR(SMALL(IF(_Helpers!$F$2:$F$91=1,ROW(_Helpers!$F$2:$F$91)),ROWS($A$4:A67)),"")</f>
        <v/>
      </c>
    </row>
    <row r="68" customFormat="false" ht="15" hidden="false" customHeight="false" outlineLevel="0" collapsed="false">
      <c r="A68" s="26" t="str">
        <f aca="false">IF($O68="","",INDEX(_Helpers!$A$2:$A$91,$O68-2+1))</f>
        <v/>
      </c>
      <c r="B68" s="26" t="str">
        <f aca="false">IF($O68="","",INDEX(_Helpers!$D$2:$D$91,$O68-2+1))</f>
        <v/>
      </c>
      <c r="C68" s="27" t="str">
        <f aca="false">IF($O68="","",INDEX(_Helpers!$B$2:$B$91,$O68-2+1))</f>
        <v/>
      </c>
      <c r="D68" s="27" t="str">
        <f aca="false">IF($O68="","",INDEX(_Helpers!$C$2:$C$91,$O68-2+1))</f>
        <v/>
      </c>
      <c r="E68" s="27" t="str">
        <f aca="false">IF($O68="","",INDEX(_Helpers!$L$2:$L$91,$O68-2+1))</f>
        <v/>
      </c>
      <c r="F68" s="28" t="str">
        <f aca="false">IF($O68="","",INDEX(_Helpers!$M$2:$M$91,$O68-2+1))</f>
        <v/>
      </c>
      <c r="G68" s="29" t="str">
        <f aca="false">IF($O68="","",IF(INDEX(_Helpers!$G$2:$G$91,$O68-2+1)=1,"Starter",""))</f>
        <v/>
      </c>
      <c r="H68" s="29" t="str">
        <f aca="false">IF($O68="","",IF(INDEX(_Helpers!$H$2:$H$91,$O68-2+1)=1,"Leaver",""))</f>
        <v/>
      </c>
      <c r="I68" s="29" t="str">
        <f aca="false">IF($O68="","",INDEX(_Helpers!$P$2:$P$91,$O68-2+1))</f>
        <v/>
      </c>
      <c r="J68" s="28" t="str">
        <f aca="false">IF($O68="","",INDEX(_Helpers!$V$2:$V$91,$O68-2+1))</f>
        <v/>
      </c>
      <c r="K68" s="29" t="str">
        <f aca="false">IF($O68="","",INDEX(_Helpers!$AJ$2:$AJ$91,$O68-2+1))</f>
        <v/>
      </c>
      <c r="L68" s="27" t="str">
        <f aca="false">IF($O68="","",INDEX(_Helpers!$AK$2:$AK$91,$O68-2+1))</f>
        <v/>
      </c>
      <c r="M68" s="30"/>
      <c r="N68" s="2"/>
      <c r="O68" s="25" t="str">
        <f aca="false" t="array" ref="O68:O68">IFERROR(SMALL(IF(_Helpers!$F$2:$F$91=1,ROW(_Helpers!$F$2:$F$91)),ROWS($A$4:A68)),"")</f>
        <v/>
      </c>
    </row>
    <row r="69" customFormat="false" ht="15" hidden="false" customHeight="false" outlineLevel="0" collapsed="false">
      <c r="A69" s="26" t="str">
        <f aca="false">IF($O69="","",INDEX(_Helpers!$A$2:$A$91,$O69-2+1))</f>
        <v/>
      </c>
      <c r="B69" s="26" t="str">
        <f aca="false">IF($O69="","",INDEX(_Helpers!$D$2:$D$91,$O69-2+1))</f>
        <v/>
      </c>
      <c r="C69" s="27" t="str">
        <f aca="false">IF($O69="","",INDEX(_Helpers!$B$2:$B$91,$O69-2+1))</f>
        <v/>
      </c>
      <c r="D69" s="27" t="str">
        <f aca="false">IF($O69="","",INDEX(_Helpers!$C$2:$C$91,$O69-2+1))</f>
        <v/>
      </c>
      <c r="E69" s="27" t="str">
        <f aca="false">IF($O69="","",INDEX(_Helpers!$L$2:$L$91,$O69-2+1))</f>
        <v/>
      </c>
      <c r="F69" s="28" t="str">
        <f aca="false">IF($O69="","",INDEX(_Helpers!$M$2:$M$91,$O69-2+1))</f>
        <v/>
      </c>
      <c r="G69" s="29" t="str">
        <f aca="false">IF($O69="","",IF(INDEX(_Helpers!$G$2:$G$91,$O69-2+1)=1,"Starter",""))</f>
        <v/>
      </c>
      <c r="H69" s="29" t="str">
        <f aca="false">IF($O69="","",IF(INDEX(_Helpers!$H$2:$H$91,$O69-2+1)=1,"Leaver",""))</f>
        <v/>
      </c>
      <c r="I69" s="29" t="str">
        <f aca="false">IF($O69="","",INDEX(_Helpers!$P$2:$P$91,$O69-2+1))</f>
        <v/>
      </c>
      <c r="J69" s="28" t="str">
        <f aca="false">IF($O69="","",INDEX(_Helpers!$V$2:$V$91,$O69-2+1))</f>
        <v/>
      </c>
      <c r="K69" s="29" t="str">
        <f aca="false">IF($O69="","",INDEX(_Helpers!$AJ$2:$AJ$91,$O69-2+1))</f>
        <v/>
      </c>
      <c r="L69" s="27" t="str">
        <f aca="false">IF($O69="","",INDEX(_Helpers!$AK$2:$AK$91,$O69-2+1))</f>
        <v/>
      </c>
      <c r="M69" s="30"/>
      <c r="N69" s="2"/>
      <c r="O69" s="25" t="str">
        <f aca="false" t="array" ref="O69:O69">IFERROR(SMALL(IF(_Helpers!$F$2:$F$91=1,ROW(_Helpers!$F$2:$F$91)),ROWS($A$4:A69)),"")</f>
        <v/>
      </c>
    </row>
    <row r="70" customFormat="false" ht="15" hidden="false" customHeight="false" outlineLevel="0" collapsed="false">
      <c r="A70" s="26" t="str">
        <f aca="false">IF($O70="","",INDEX(_Helpers!$A$2:$A$91,$O70-2+1))</f>
        <v/>
      </c>
      <c r="B70" s="26" t="str">
        <f aca="false">IF($O70="","",INDEX(_Helpers!$D$2:$D$91,$O70-2+1))</f>
        <v/>
      </c>
      <c r="C70" s="27" t="str">
        <f aca="false">IF($O70="","",INDEX(_Helpers!$B$2:$B$91,$O70-2+1))</f>
        <v/>
      </c>
      <c r="D70" s="27" t="str">
        <f aca="false">IF($O70="","",INDEX(_Helpers!$C$2:$C$91,$O70-2+1))</f>
        <v/>
      </c>
      <c r="E70" s="27" t="str">
        <f aca="false">IF($O70="","",INDEX(_Helpers!$L$2:$L$91,$O70-2+1))</f>
        <v/>
      </c>
      <c r="F70" s="28" t="str">
        <f aca="false">IF($O70="","",INDEX(_Helpers!$M$2:$M$91,$O70-2+1))</f>
        <v/>
      </c>
      <c r="G70" s="29" t="str">
        <f aca="false">IF($O70="","",IF(INDEX(_Helpers!$G$2:$G$91,$O70-2+1)=1,"Starter",""))</f>
        <v/>
      </c>
      <c r="H70" s="29" t="str">
        <f aca="false">IF($O70="","",IF(INDEX(_Helpers!$H$2:$H$91,$O70-2+1)=1,"Leaver",""))</f>
        <v/>
      </c>
      <c r="I70" s="29" t="str">
        <f aca="false">IF($O70="","",INDEX(_Helpers!$P$2:$P$91,$O70-2+1))</f>
        <v/>
      </c>
      <c r="J70" s="28" t="str">
        <f aca="false">IF($O70="","",INDEX(_Helpers!$V$2:$V$91,$O70-2+1))</f>
        <v/>
      </c>
      <c r="K70" s="29" t="str">
        <f aca="false">IF($O70="","",INDEX(_Helpers!$AJ$2:$AJ$91,$O70-2+1))</f>
        <v/>
      </c>
      <c r="L70" s="27" t="str">
        <f aca="false">IF($O70="","",INDEX(_Helpers!$AK$2:$AK$91,$O70-2+1))</f>
        <v/>
      </c>
      <c r="M70" s="30"/>
      <c r="N70" s="2"/>
      <c r="O70" s="25" t="str">
        <f aca="false" t="array" ref="O70:O70">IFERROR(SMALL(IF(_Helpers!$F$2:$F$91=1,ROW(_Helpers!$F$2:$F$91)),ROWS($A$4:A70)),"")</f>
        <v/>
      </c>
    </row>
    <row r="71" customFormat="false" ht="15" hidden="false" customHeight="false" outlineLevel="0" collapsed="false">
      <c r="A71" s="26" t="str">
        <f aca="false">IF($O71="","",INDEX(_Helpers!$A$2:$A$91,$O71-2+1))</f>
        <v/>
      </c>
      <c r="B71" s="26" t="str">
        <f aca="false">IF($O71="","",INDEX(_Helpers!$D$2:$D$91,$O71-2+1))</f>
        <v/>
      </c>
      <c r="C71" s="27" t="str">
        <f aca="false">IF($O71="","",INDEX(_Helpers!$B$2:$B$91,$O71-2+1))</f>
        <v/>
      </c>
      <c r="D71" s="27" t="str">
        <f aca="false">IF($O71="","",INDEX(_Helpers!$C$2:$C$91,$O71-2+1))</f>
        <v/>
      </c>
      <c r="E71" s="27" t="str">
        <f aca="false">IF($O71="","",INDEX(_Helpers!$L$2:$L$91,$O71-2+1))</f>
        <v/>
      </c>
      <c r="F71" s="28" t="str">
        <f aca="false">IF($O71="","",INDEX(_Helpers!$M$2:$M$91,$O71-2+1))</f>
        <v/>
      </c>
      <c r="G71" s="29" t="str">
        <f aca="false">IF($O71="","",IF(INDEX(_Helpers!$G$2:$G$91,$O71-2+1)=1,"Starter",""))</f>
        <v/>
      </c>
      <c r="H71" s="29" t="str">
        <f aca="false">IF($O71="","",IF(INDEX(_Helpers!$H$2:$H$91,$O71-2+1)=1,"Leaver",""))</f>
        <v/>
      </c>
      <c r="I71" s="29" t="str">
        <f aca="false">IF($O71="","",INDEX(_Helpers!$P$2:$P$91,$O71-2+1))</f>
        <v/>
      </c>
      <c r="J71" s="28" t="str">
        <f aca="false">IF($O71="","",INDEX(_Helpers!$V$2:$V$91,$O71-2+1))</f>
        <v/>
      </c>
      <c r="K71" s="29" t="str">
        <f aca="false">IF($O71="","",INDEX(_Helpers!$AJ$2:$AJ$91,$O71-2+1))</f>
        <v/>
      </c>
      <c r="L71" s="27" t="str">
        <f aca="false">IF($O71="","",INDEX(_Helpers!$AK$2:$AK$91,$O71-2+1))</f>
        <v/>
      </c>
      <c r="M71" s="30"/>
      <c r="N71" s="2"/>
      <c r="O71" s="25" t="str">
        <f aca="false" t="array" ref="O71:O71">IFERROR(SMALL(IF(_Helpers!$F$2:$F$91=1,ROW(_Helpers!$F$2:$F$91)),ROWS($A$4:A71)),"")</f>
        <v/>
      </c>
    </row>
    <row r="72" customFormat="false" ht="15" hidden="false" customHeight="false" outlineLevel="0" collapsed="false">
      <c r="A72" s="26" t="str">
        <f aca="false">IF($O72="","",INDEX(_Helpers!$A$2:$A$91,$O72-2+1))</f>
        <v/>
      </c>
      <c r="B72" s="26" t="str">
        <f aca="false">IF($O72="","",INDEX(_Helpers!$D$2:$D$91,$O72-2+1))</f>
        <v/>
      </c>
      <c r="C72" s="27" t="str">
        <f aca="false">IF($O72="","",INDEX(_Helpers!$B$2:$B$91,$O72-2+1))</f>
        <v/>
      </c>
      <c r="D72" s="27" t="str">
        <f aca="false">IF($O72="","",INDEX(_Helpers!$C$2:$C$91,$O72-2+1))</f>
        <v/>
      </c>
      <c r="E72" s="27" t="str">
        <f aca="false">IF($O72="","",INDEX(_Helpers!$L$2:$L$91,$O72-2+1))</f>
        <v/>
      </c>
      <c r="F72" s="28" t="str">
        <f aca="false">IF($O72="","",INDEX(_Helpers!$M$2:$M$91,$O72-2+1))</f>
        <v/>
      </c>
      <c r="G72" s="29" t="str">
        <f aca="false">IF($O72="","",IF(INDEX(_Helpers!$G$2:$G$91,$O72-2+1)=1,"Starter",""))</f>
        <v/>
      </c>
      <c r="H72" s="29" t="str">
        <f aca="false">IF($O72="","",IF(INDEX(_Helpers!$H$2:$H$91,$O72-2+1)=1,"Leaver",""))</f>
        <v/>
      </c>
      <c r="I72" s="29" t="str">
        <f aca="false">IF($O72="","",INDEX(_Helpers!$P$2:$P$91,$O72-2+1))</f>
        <v/>
      </c>
      <c r="J72" s="28" t="str">
        <f aca="false">IF($O72="","",INDEX(_Helpers!$V$2:$V$91,$O72-2+1))</f>
        <v/>
      </c>
      <c r="K72" s="29" t="str">
        <f aca="false">IF($O72="","",INDEX(_Helpers!$AJ$2:$AJ$91,$O72-2+1))</f>
        <v/>
      </c>
      <c r="L72" s="27" t="str">
        <f aca="false">IF($O72="","",INDEX(_Helpers!$AK$2:$AK$91,$O72-2+1))</f>
        <v/>
      </c>
      <c r="M72" s="30"/>
      <c r="N72" s="2"/>
      <c r="O72" s="25" t="str">
        <f aca="false" t="array" ref="O72:O72">IFERROR(SMALL(IF(_Helpers!$F$2:$F$91=1,ROW(_Helpers!$F$2:$F$91)),ROWS($A$4:A72)),"")</f>
        <v/>
      </c>
    </row>
    <row r="73" customFormat="false" ht="15" hidden="false" customHeight="false" outlineLevel="0" collapsed="false">
      <c r="A73" s="26" t="str">
        <f aca="false">IF($O73="","",INDEX(_Helpers!$A$2:$A$91,$O73-2+1))</f>
        <v/>
      </c>
      <c r="B73" s="26" t="str">
        <f aca="false">IF($O73="","",INDEX(_Helpers!$D$2:$D$91,$O73-2+1))</f>
        <v/>
      </c>
      <c r="C73" s="27" t="str">
        <f aca="false">IF($O73="","",INDEX(_Helpers!$B$2:$B$91,$O73-2+1))</f>
        <v/>
      </c>
      <c r="D73" s="27" t="str">
        <f aca="false">IF($O73="","",INDEX(_Helpers!$C$2:$C$91,$O73-2+1))</f>
        <v/>
      </c>
      <c r="E73" s="27" t="str">
        <f aca="false">IF($O73="","",INDEX(_Helpers!$L$2:$L$91,$O73-2+1))</f>
        <v/>
      </c>
      <c r="F73" s="28" t="str">
        <f aca="false">IF($O73="","",INDEX(_Helpers!$M$2:$M$91,$O73-2+1))</f>
        <v/>
      </c>
      <c r="G73" s="29" t="str">
        <f aca="false">IF($O73="","",IF(INDEX(_Helpers!$G$2:$G$91,$O73-2+1)=1,"Starter",""))</f>
        <v/>
      </c>
      <c r="H73" s="29" t="str">
        <f aca="false">IF($O73="","",IF(INDEX(_Helpers!$H$2:$H$91,$O73-2+1)=1,"Leaver",""))</f>
        <v/>
      </c>
      <c r="I73" s="29" t="str">
        <f aca="false">IF($O73="","",INDEX(_Helpers!$P$2:$P$91,$O73-2+1))</f>
        <v/>
      </c>
      <c r="J73" s="28" t="str">
        <f aca="false">IF($O73="","",INDEX(_Helpers!$V$2:$V$91,$O73-2+1))</f>
        <v/>
      </c>
      <c r="K73" s="29" t="str">
        <f aca="false">IF($O73="","",INDEX(_Helpers!$AJ$2:$AJ$91,$O73-2+1))</f>
        <v/>
      </c>
      <c r="L73" s="27" t="str">
        <f aca="false">IF($O73="","",INDEX(_Helpers!$AK$2:$AK$91,$O73-2+1))</f>
        <v/>
      </c>
      <c r="M73" s="30"/>
      <c r="N73" s="2"/>
      <c r="O73" s="25" t="str">
        <f aca="false" t="array" ref="O73:O73">IFERROR(SMALL(IF(_Helpers!$F$2:$F$91=1,ROW(_Helpers!$F$2:$F$91)),ROWS($A$4:A73)),"")</f>
        <v/>
      </c>
    </row>
    <row r="74" customFormat="false" ht="15" hidden="false" customHeight="false" outlineLevel="0" collapsed="false">
      <c r="A74" s="26" t="str">
        <f aca="false">IF($O74="","",INDEX(_Helpers!$A$2:$A$91,$O74-2+1))</f>
        <v/>
      </c>
      <c r="B74" s="26" t="str">
        <f aca="false">IF($O74="","",INDEX(_Helpers!$D$2:$D$91,$O74-2+1))</f>
        <v/>
      </c>
      <c r="C74" s="27" t="str">
        <f aca="false">IF($O74="","",INDEX(_Helpers!$B$2:$B$91,$O74-2+1))</f>
        <v/>
      </c>
      <c r="D74" s="27" t="str">
        <f aca="false">IF($O74="","",INDEX(_Helpers!$C$2:$C$91,$O74-2+1))</f>
        <v/>
      </c>
      <c r="E74" s="27" t="str">
        <f aca="false">IF($O74="","",INDEX(_Helpers!$L$2:$L$91,$O74-2+1))</f>
        <v/>
      </c>
      <c r="F74" s="28" t="str">
        <f aca="false">IF($O74="","",INDEX(_Helpers!$M$2:$M$91,$O74-2+1))</f>
        <v/>
      </c>
      <c r="G74" s="29" t="str">
        <f aca="false">IF($O74="","",IF(INDEX(_Helpers!$G$2:$G$91,$O74-2+1)=1,"Starter",""))</f>
        <v/>
      </c>
      <c r="H74" s="29" t="str">
        <f aca="false">IF($O74="","",IF(INDEX(_Helpers!$H$2:$H$91,$O74-2+1)=1,"Leaver",""))</f>
        <v/>
      </c>
      <c r="I74" s="29" t="str">
        <f aca="false">IF($O74="","",INDEX(_Helpers!$P$2:$P$91,$O74-2+1))</f>
        <v/>
      </c>
      <c r="J74" s="28" t="str">
        <f aca="false">IF($O74="","",INDEX(_Helpers!$V$2:$V$91,$O74-2+1))</f>
        <v/>
      </c>
      <c r="K74" s="29" t="str">
        <f aca="false">IF($O74="","",INDEX(_Helpers!$AJ$2:$AJ$91,$O74-2+1))</f>
        <v/>
      </c>
      <c r="L74" s="27" t="str">
        <f aca="false">IF($O74="","",INDEX(_Helpers!$AK$2:$AK$91,$O74-2+1))</f>
        <v/>
      </c>
      <c r="M74" s="30"/>
      <c r="N74" s="2"/>
      <c r="O74" s="25" t="str">
        <f aca="false" t="array" ref="O74:O74">IFERROR(SMALL(IF(_Helpers!$F$2:$F$91=1,ROW(_Helpers!$F$2:$F$91)),ROWS($A$4:A74)),"")</f>
        <v/>
      </c>
    </row>
    <row r="75" customFormat="false" ht="15" hidden="false" customHeight="false" outlineLevel="0" collapsed="false">
      <c r="A75" s="26" t="str">
        <f aca="false">IF($O75="","",INDEX(_Helpers!$A$2:$A$91,$O75-2+1))</f>
        <v/>
      </c>
      <c r="B75" s="26" t="str">
        <f aca="false">IF($O75="","",INDEX(_Helpers!$D$2:$D$91,$O75-2+1))</f>
        <v/>
      </c>
      <c r="C75" s="27" t="str">
        <f aca="false">IF($O75="","",INDEX(_Helpers!$B$2:$B$91,$O75-2+1))</f>
        <v/>
      </c>
      <c r="D75" s="27" t="str">
        <f aca="false">IF($O75="","",INDEX(_Helpers!$C$2:$C$91,$O75-2+1))</f>
        <v/>
      </c>
      <c r="E75" s="27" t="str">
        <f aca="false">IF($O75="","",INDEX(_Helpers!$L$2:$L$91,$O75-2+1))</f>
        <v/>
      </c>
      <c r="F75" s="28" t="str">
        <f aca="false">IF($O75="","",INDEX(_Helpers!$M$2:$M$91,$O75-2+1))</f>
        <v/>
      </c>
      <c r="G75" s="29" t="str">
        <f aca="false">IF($O75="","",IF(INDEX(_Helpers!$G$2:$G$91,$O75-2+1)=1,"Starter",""))</f>
        <v/>
      </c>
      <c r="H75" s="29" t="str">
        <f aca="false">IF($O75="","",IF(INDEX(_Helpers!$H$2:$H$91,$O75-2+1)=1,"Leaver",""))</f>
        <v/>
      </c>
      <c r="I75" s="29" t="str">
        <f aca="false">IF($O75="","",INDEX(_Helpers!$P$2:$P$91,$O75-2+1))</f>
        <v/>
      </c>
      <c r="J75" s="28" t="str">
        <f aca="false">IF($O75="","",INDEX(_Helpers!$V$2:$V$91,$O75-2+1))</f>
        <v/>
      </c>
      <c r="K75" s="29" t="str">
        <f aca="false">IF($O75="","",INDEX(_Helpers!$AJ$2:$AJ$91,$O75-2+1))</f>
        <v/>
      </c>
      <c r="L75" s="27" t="str">
        <f aca="false">IF($O75="","",INDEX(_Helpers!$AK$2:$AK$91,$O75-2+1))</f>
        <v/>
      </c>
      <c r="M75" s="30"/>
      <c r="N75" s="2"/>
      <c r="O75" s="25" t="str">
        <f aca="false" t="array" ref="O75:O75">IFERROR(SMALL(IF(_Helpers!$F$2:$F$91=1,ROW(_Helpers!$F$2:$F$91)),ROWS($A$4:A75)),"")</f>
        <v/>
      </c>
    </row>
    <row r="76" customFormat="false" ht="15" hidden="false" customHeight="false" outlineLevel="0" collapsed="false">
      <c r="A76" s="26" t="str">
        <f aca="false">IF($O76="","",INDEX(_Helpers!$A$2:$A$91,$O76-2+1))</f>
        <v/>
      </c>
      <c r="B76" s="26" t="str">
        <f aca="false">IF($O76="","",INDEX(_Helpers!$D$2:$D$91,$O76-2+1))</f>
        <v/>
      </c>
      <c r="C76" s="27" t="str">
        <f aca="false">IF($O76="","",INDEX(_Helpers!$B$2:$B$91,$O76-2+1))</f>
        <v/>
      </c>
      <c r="D76" s="27" t="str">
        <f aca="false">IF($O76="","",INDEX(_Helpers!$C$2:$C$91,$O76-2+1))</f>
        <v/>
      </c>
      <c r="E76" s="27" t="str">
        <f aca="false">IF($O76="","",INDEX(_Helpers!$L$2:$L$91,$O76-2+1))</f>
        <v/>
      </c>
      <c r="F76" s="28" t="str">
        <f aca="false">IF($O76="","",INDEX(_Helpers!$M$2:$M$91,$O76-2+1))</f>
        <v/>
      </c>
      <c r="G76" s="29" t="str">
        <f aca="false">IF($O76="","",IF(INDEX(_Helpers!$G$2:$G$91,$O76-2+1)=1,"Starter",""))</f>
        <v/>
      </c>
      <c r="H76" s="29" t="str">
        <f aca="false">IF($O76="","",IF(INDEX(_Helpers!$H$2:$H$91,$O76-2+1)=1,"Leaver",""))</f>
        <v/>
      </c>
      <c r="I76" s="29" t="str">
        <f aca="false">IF($O76="","",INDEX(_Helpers!$P$2:$P$91,$O76-2+1))</f>
        <v/>
      </c>
      <c r="J76" s="28" t="str">
        <f aca="false">IF($O76="","",INDEX(_Helpers!$V$2:$V$91,$O76-2+1))</f>
        <v/>
      </c>
      <c r="K76" s="29" t="str">
        <f aca="false">IF($O76="","",INDEX(_Helpers!$AJ$2:$AJ$91,$O76-2+1))</f>
        <v/>
      </c>
      <c r="L76" s="27" t="str">
        <f aca="false">IF($O76="","",INDEX(_Helpers!$AK$2:$AK$91,$O76-2+1))</f>
        <v/>
      </c>
      <c r="M76" s="30"/>
      <c r="N76" s="2"/>
      <c r="O76" s="25" t="str">
        <f aca="false" t="array" ref="O76:O76">IFERROR(SMALL(IF(_Helpers!$F$2:$F$91=1,ROW(_Helpers!$F$2:$F$91)),ROWS($A$4:A76)),"")</f>
        <v/>
      </c>
    </row>
    <row r="77" customFormat="false" ht="15" hidden="false" customHeight="false" outlineLevel="0" collapsed="false">
      <c r="A77" s="26" t="str">
        <f aca="false">IF($O77="","",INDEX(_Helpers!$A$2:$A$91,$O77-2+1))</f>
        <v/>
      </c>
      <c r="B77" s="26" t="str">
        <f aca="false">IF($O77="","",INDEX(_Helpers!$D$2:$D$91,$O77-2+1))</f>
        <v/>
      </c>
      <c r="C77" s="27" t="str">
        <f aca="false">IF($O77="","",INDEX(_Helpers!$B$2:$B$91,$O77-2+1))</f>
        <v/>
      </c>
      <c r="D77" s="27" t="str">
        <f aca="false">IF($O77="","",INDEX(_Helpers!$C$2:$C$91,$O77-2+1))</f>
        <v/>
      </c>
      <c r="E77" s="27" t="str">
        <f aca="false">IF($O77="","",INDEX(_Helpers!$L$2:$L$91,$O77-2+1))</f>
        <v/>
      </c>
      <c r="F77" s="28" t="str">
        <f aca="false">IF($O77="","",INDEX(_Helpers!$M$2:$M$91,$O77-2+1))</f>
        <v/>
      </c>
      <c r="G77" s="29" t="str">
        <f aca="false">IF($O77="","",IF(INDEX(_Helpers!$G$2:$G$91,$O77-2+1)=1,"Starter",""))</f>
        <v/>
      </c>
      <c r="H77" s="29" t="str">
        <f aca="false">IF($O77="","",IF(INDEX(_Helpers!$H$2:$H$91,$O77-2+1)=1,"Leaver",""))</f>
        <v/>
      </c>
      <c r="I77" s="29" t="str">
        <f aca="false">IF($O77="","",INDEX(_Helpers!$P$2:$P$91,$O77-2+1))</f>
        <v/>
      </c>
      <c r="J77" s="28" t="str">
        <f aca="false">IF($O77="","",INDEX(_Helpers!$V$2:$V$91,$O77-2+1))</f>
        <v/>
      </c>
      <c r="K77" s="29" t="str">
        <f aca="false">IF($O77="","",INDEX(_Helpers!$AJ$2:$AJ$91,$O77-2+1))</f>
        <v/>
      </c>
      <c r="L77" s="27" t="str">
        <f aca="false">IF($O77="","",INDEX(_Helpers!$AK$2:$AK$91,$O77-2+1))</f>
        <v/>
      </c>
      <c r="M77" s="30"/>
      <c r="N77" s="2"/>
      <c r="O77" s="25" t="str">
        <f aca="false" t="array" ref="O77:O77">IFERROR(SMALL(IF(_Helpers!$F$2:$F$91=1,ROW(_Helpers!$F$2:$F$91)),ROWS($A$4:A77)),"")</f>
        <v/>
      </c>
    </row>
    <row r="78" customFormat="false" ht="15" hidden="false" customHeight="false" outlineLevel="0" collapsed="false">
      <c r="A78" s="26" t="str">
        <f aca="false">IF($O78="","",INDEX(_Helpers!$A$2:$A$91,$O78-2+1))</f>
        <v/>
      </c>
      <c r="B78" s="26" t="str">
        <f aca="false">IF($O78="","",INDEX(_Helpers!$D$2:$D$91,$O78-2+1))</f>
        <v/>
      </c>
      <c r="C78" s="27" t="str">
        <f aca="false">IF($O78="","",INDEX(_Helpers!$B$2:$B$91,$O78-2+1))</f>
        <v/>
      </c>
      <c r="D78" s="27" t="str">
        <f aca="false">IF($O78="","",INDEX(_Helpers!$C$2:$C$91,$O78-2+1))</f>
        <v/>
      </c>
      <c r="E78" s="27" t="str">
        <f aca="false">IF($O78="","",INDEX(_Helpers!$L$2:$L$91,$O78-2+1))</f>
        <v/>
      </c>
      <c r="F78" s="28" t="str">
        <f aca="false">IF($O78="","",INDEX(_Helpers!$M$2:$M$91,$O78-2+1))</f>
        <v/>
      </c>
      <c r="G78" s="29" t="str">
        <f aca="false">IF($O78="","",IF(INDEX(_Helpers!$G$2:$G$91,$O78-2+1)=1,"Starter",""))</f>
        <v/>
      </c>
      <c r="H78" s="29" t="str">
        <f aca="false">IF($O78="","",IF(INDEX(_Helpers!$H$2:$H$91,$O78-2+1)=1,"Leaver",""))</f>
        <v/>
      </c>
      <c r="I78" s="29" t="str">
        <f aca="false">IF($O78="","",INDEX(_Helpers!$P$2:$P$91,$O78-2+1))</f>
        <v/>
      </c>
      <c r="J78" s="28" t="str">
        <f aca="false">IF($O78="","",INDEX(_Helpers!$V$2:$V$91,$O78-2+1))</f>
        <v/>
      </c>
      <c r="K78" s="29" t="str">
        <f aca="false">IF($O78="","",INDEX(_Helpers!$AJ$2:$AJ$91,$O78-2+1))</f>
        <v/>
      </c>
      <c r="L78" s="27" t="str">
        <f aca="false">IF($O78="","",INDEX(_Helpers!$AK$2:$AK$91,$O78-2+1))</f>
        <v/>
      </c>
      <c r="M78" s="30"/>
      <c r="N78" s="2"/>
      <c r="O78" s="25" t="str">
        <f aca="false" t="array" ref="O78:O78">IFERROR(SMALL(IF(_Helpers!$F$2:$F$91=1,ROW(_Helpers!$F$2:$F$91)),ROWS($A$4:A78)),"")</f>
        <v/>
      </c>
    </row>
    <row r="79" customFormat="false" ht="15" hidden="false" customHeight="false" outlineLevel="0" collapsed="false">
      <c r="A79" s="26" t="str">
        <f aca="false">IF($O79="","",INDEX(_Helpers!$A$2:$A$91,$O79-2+1))</f>
        <v/>
      </c>
      <c r="B79" s="26" t="str">
        <f aca="false">IF($O79="","",INDEX(_Helpers!$D$2:$D$91,$O79-2+1))</f>
        <v/>
      </c>
      <c r="C79" s="27" t="str">
        <f aca="false">IF($O79="","",INDEX(_Helpers!$B$2:$B$91,$O79-2+1))</f>
        <v/>
      </c>
      <c r="D79" s="27" t="str">
        <f aca="false">IF($O79="","",INDEX(_Helpers!$C$2:$C$91,$O79-2+1))</f>
        <v/>
      </c>
      <c r="E79" s="27" t="str">
        <f aca="false">IF($O79="","",INDEX(_Helpers!$L$2:$L$91,$O79-2+1))</f>
        <v/>
      </c>
      <c r="F79" s="28" t="str">
        <f aca="false">IF($O79="","",INDEX(_Helpers!$M$2:$M$91,$O79-2+1))</f>
        <v/>
      </c>
      <c r="G79" s="29" t="str">
        <f aca="false">IF($O79="","",IF(INDEX(_Helpers!$G$2:$G$91,$O79-2+1)=1,"Starter",""))</f>
        <v/>
      </c>
      <c r="H79" s="29" t="str">
        <f aca="false">IF($O79="","",IF(INDEX(_Helpers!$H$2:$H$91,$O79-2+1)=1,"Leaver",""))</f>
        <v/>
      </c>
      <c r="I79" s="29" t="str">
        <f aca="false">IF($O79="","",INDEX(_Helpers!$P$2:$P$91,$O79-2+1))</f>
        <v/>
      </c>
      <c r="J79" s="28" t="str">
        <f aca="false">IF($O79="","",INDEX(_Helpers!$V$2:$V$91,$O79-2+1))</f>
        <v/>
      </c>
      <c r="K79" s="29" t="str">
        <f aca="false">IF($O79="","",INDEX(_Helpers!$AJ$2:$AJ$91,$O79-2+1))</f>
        <v/>
      </c>
      <c r="L79" s="27" t="str">
        <f aca="false">IF($O79="","",INDEX(_Helpers!$AK$2:$AK$91,$O79-2+1))</f>
        <v/>
      </c>
      <c r="M79" s="30"/>
      <c r="N79" s="2"/>
      <c r="O79" s="25" t="str">
        <f aca="false" t="array" ref="O79:O79">IFERROR(SMALL(IF(_Helpers!$F$2:$F$91=1,ROW(_Helpers!$F$2:$F$91)),ROWS($A$4:A79)),"")</f>
        <v/>
      </c>
    </row>
    <row r="80" customFormat="false" ht="15" hidden="false" customHeight="false" outlineLevel="0" collapsed="false">
      <c r="A80" s="26" t="str">
        <f aca="false">IF($O80="","",INDEX(_Helpers!$A$2:$A$91,$O80-2+1))</f>
        <v/>
      </c>
      <c r="B80" s="26" t="str">
        <f aca="false">IF($O80="","",INDEX(_Helpers!$D$2:$D$91,$O80-2+1))</f>
        <v/>
      </c>
      <c r="C80" s="27" t="str">
        <f aca="false">IF($O80="","",INDEX(_Helpers!$B$2:$B$91,$O80-2+1))</f>
        <v/>
      </c>
      <c r="D80" s="27" t="str">
        <f aca="false">IF($O80="","",INDEX(_Helpers!$C$2:$C$91,$O80-2+1))</f>
        <v/>
      </c>
      <c r="E80" s="27" t="str">
        <f aca="false">IF($O80="","",INDEX(_Helpers!$L$2:$L$91,$O80-2+1))</f>
        <v/>
      </c>
      <c r="F80" s="28" t="str">
        <f aca="false">IF($O80="","",INDEX(_Helpers!$M$2:$M$91,$O80-2+1))</f>
        <v/>
      </c>
      <c r="G80" s="29" t="str">
        <f aca="false">IF($O80="","",IF(INDEX(_Helpers!$G$2:$G$91,$O80-2+1)=1,"Starter",""))</f>
        <v/>
      </c>
      <c r="H80" s="29" t="str">
        <f aca="false">IF($O80="","",IF(INDEX(_Helpers!$H$2:$H$91,$O80-2+1)=1,"Leaver",""))</f>
        <v/>
      </c>
      <c r="I80" s="29" t="str">
        <f aca="false">IF($O80="","",INDEX(_Helpers!$P$2:$P$91,$O80-2+1))</f>
        <v/>
      </c>
      <c r="J80" s="28" t="str">
        <f aca="false">IF($O80="","",INDEX(_Helpers!$V$2:$V$91,$O80-2+1))</f>
        <v/>
      </c>
      <c r="K80" s="29" t="str">
        <f aca="false">IF($O80="","",INDEX(_Helpers!$AJ$2:$AJ$91,$O80-2+1))</f>
        <v/>
      </c>
      <c r="L80" s="27" t="str">
        <f aca="false">IF($O80="","",INDEX(_Helpers!$AK$2:$AK$91,$O80-2+1))</f>
        <v/>
      </c>
      <c r="M80" s="30"/>
      <c r="N80" s="2"/>
      <c r="O80" s="25" t="str">
        <f aca="false" t="array" ref="O80:O80">IFERROR(SMALL(IF(_Helpers!$F$2:$F$91=1,ROW(_Helpers!$F$2:$F$91)),ROWS($A$4:A80)),"")</f>
        <v/>
      </c>
    </row>
    <row r="81" customFormat="false" ht="15" hidden="false" customHeight="false" outlineLevel="0" collapsed="false">
      <c r="A81" s="26" t="str">
        <f aca="false">IF($O81="","",INDEX(_Helpers!$A$2:$A$91,$O81-2+1))</f>
        <v/>
      </c>
      <c r="B81" s="26" t="str">
        <f aca="false">IF($O81="","",INDEX(_Helpers!$D$2:$D$91,$O81-2+1))</f>
        <v/>
      </c>
      <c r="C81" s="27" t="str">
        <f aca="false">IF($O81="","",INDEX(_Helpers!$B$2:$B$91,$O81-2+1))</f>
        <v/>
      </c>
      <c r="D81" s="27" t="str">
        <f aca="false">IF($O81="","",INDEX(_Helpers!$C$2:$C$91,$O81-2+1))</f>
        <v/>
      </c>
      <c r="E81" s="27" t="str">
        <f aca="false">IF($O81="","",INDEX(_Helpers!$L$2:$L$91,$O81-2+1))</f>
        <v/>
      </c>
      <c r="F81" s="28" t="str">
        <f aca="false">IF($O81="","",INDEX(_Helpers!$M$2:$M$91,$O81-2+1))</f>
        <v/>
      </c>
      <c r="G81" s="29" t="str">
        <f aca="false">IF($O81="","",IF(INDEX(_Helpers!$G$2:$G$91,$O81-2+1)=1,"Starter",""))</f>
        <v/>
      </c>
      <c r="H81" s="29" t="str">
        <f aca="false">IF($O81="","",IF(INDEX(_Helpers!$H$2:$H$91,$O81-2+1)=1,"Leaver",""))</f>
        <v/>
      </c>
      <c r="I81" s="29" t="str">
        <f aca="false">IF($O81="","",INDEX(_Helpers!$P$2:$P$91,$O81-2+1))</f>
        <v/>
      </c>
      <c r="J81" s="28" t="str">
        <f aca="false">IF($O81="","",INDEX(_Helpers!$V$2:$V$91,$O81-2+1))</f>
        <v/>
      </c>
      <c r="K81" s="29" t="str">
        <f aca="false">IF($O81="","",INDEX(_Helpers!$AJ$2:$AJ$91,$O81-2+1))</f>
        <v/>
      </c>
      <c r="L81" s="27" t="str">
        <f aca="false">IF($O81="","",INDEX(_Helpers!$AK$2:$AK$91,$O81-2+1))</f>
        <v/>
      </c>
      <c r="M81" s="30"/>
      <c r="N81" s="2"/>
      <c r="O81" s="25" t="str">
        <f aca="false" t="array" ref="O81:O81">IFERROR(SMALL(IF(_Helpers!$F$2:$F$91=1,ROW(_Helpers!$F$2:$F$91)),ROWS($A$4:A81)),"")</f>
        <v/>
      </c>
    </row>
    <row r="82" customFormat="false" ht="15" hidden="false" customHeight="false" outlineLevel="0" collapsed="false">
      <c r="A82" s="26" t="str">
        <f aca="false">IF($O82="","",INDEX(_Helpers!$A$2:$A$91,$O82-2+1))</f>
        <v/>
      </c>
      <c r="B82" s="26" t="str">
        <f aca="false">IF($O82="","",INDEX(_Helpers!$D$2:$D$91,$O82-2+1))</f>
        <v/>
      </c>
      <c r="C82" s="27" t="str">
        <f aca="false">IF($O82="","",INDEX(_Helpers!$B$2:$B$91,$O82-2+1))</f>
        <v/>
      </c>
      <c r="D82" s="27" t="str">
        <f aca="false">IF($O82="","",INDEX(_Helpers!$C$2:$C$91,$O82-2+1))</f>
        <v/>
      </c>
      <c r="E82" s="27" t="str">
        <f aca="false">IF($O82="","",INDEX(_Helpers!$L$2:$L$91,$O82-2+1))</f>
        <v/>
      </c>
      <c r="F82" s="28" t="str">
        <f aca="false">IF($O82="","",INDEX(_Helpers!$M$2:$M$91,$O82-2+1))</f>
        <v/>
      </c>
      <c r="G82" s="29" t="str">
        <f aca="false">IF($O82="","",IF(INDEX(_Helpers!$G$2:$G$91,$O82-2+1)=1,"Starter",""))</f>
        <v/>
      </c>
      <c r="H82" s="29" t="str">
        <f aca="false">IF($O82="","",IF(INDEX(_Helpers!$H$2:$H$91,$O82-2+1)=1,"Leaver",""))</f>
        <v/>
      </c>
      <c r="I82" s="29" t="str">
        <f aca="false">IF($O82="","",INDEX(_Helpers!$P$2:$P$91,$O82-2+1))</f>
        <v/>
      </c>
      <c r="J82" s="28" t="str">
        <f aca="false">IF($O82="","",INDEX(_Helpers!$V$2:$V$91,$O82-2+1))</f>
        <v/>
      </c>
      <c r="K82" s="29" t="str">
        <f aca="false">IF($O82="","",INDEX(_Helpers!$AJ$2:$AJ$91,$O82-2+1))</f>
        <v/>
      </c>
      <c r="L82" s="27" t="str">
        <f aca="false">IF($O82="","",INDEX(_Helpers!$AK$2:$AK$91,$O82-2+1))</f>
        <v/>
      </c>
      <c r="M82" s="30"/>
      <c r="N82" s="2"/>
      <c r="O82" s="25" t="str">
        <f aca="false" t="array" ref="O82:O82">IFERROR(SMALL(IF(_Helpers!$F$2:$F$91=1,ROW(_Helpers!$F$2:$F$91)),ROWS($A$4:A82)),"")</f>
        <v/>
      </c>
    </row>
    <row r="83" customFormat="false" ht="15" hidden="false" customHeight="false" outlineLevel="0" collapsed="false">
      <c r="A83" s="26" t="str">
        <f aca="false">IF($O83="","",INDEX(_Helpers!$A$2:$A$91,$O83-2+1))</f>
        <v/>
      </c>
      <c r="B83" s="26" t="str">
        <f aca="false">IF($O83="","",INDEX(_Helpers!$D$2:$D$91,$O83-2+1))</f>
        <v/>
      </c>
      <c r="C83" s="27" t="str">
        <f aca="false">IF($O83="","",INDEX(_Helpers!$B$2:$B$91,$O83-2+1))</f>
        <v/>
      </c>
      <c r="D83" s="27" t="str">
        <f aca="false">IF($O83="","",INDEX(_Helpers!$C$2:$C$91,$O83-2+1))</f>
        <v/>
      </c>
      <c r="E83" s="27" t="str">
        <f aca="false">IF($O83="","",INDEX(_Helpers!$L$2:$L$91,$O83-2+1))</f>
        <v/>
      </c>
      <c r="F83" s="28" t="str">
        <f aca="false">IF($O83="","",INDEX(_Helpers!$M$2:$M$91,$O83-2+1))</f>
        <v/>
      </c>
      <c r="G83" s="29" t="str">
        <f aca="false">IF($O83="","",IF(INDEX(_Helpers!$G$2:$G$91,$O83-2+1)=1,"Starter",""))</f>
        <v/>
      </c>
      <c r="H83" s="29" t="str">
        <f aca="false">IF($O83="","",IF(INDEX(_Helpers!$H$2:$H$91,$O83-2+1)=1,"Leaver",""))</f>
        <v/>
      </c>
      <c r="I83" s="29" t="str">
        <f aca="false">IF($O83="","",INDEX(_Helpers!$P$2:$P$91,$O83-2+1))</f>
        <v/>
      </c>
      <c r="J83" s="28" t="str">
        <f aca="false">IF($O83="","",INDEX(_Helpers!$V$2:$V$91,$O83-2+1))</f>
        <v/>
      </c>
      <c r="K83" s="29" t="str">
        <f aca="false">IF($O83="","",INDEX(_Helpers!$AJ$2:$AJ$91,$O83-2+1))</f>
        <v/>
      </c>
      <c r="L83" s="27" t="str">
        <f aca="false">IF($O83="","",INDEX(_Helpers!$AK$2:$AK$91,$O83-2+1))</f>
        <v/>
      </c>
      <c r="M83" s="30"/>
      <c r="N83" s="2"/>
      <c r="O83" s="25" t="str">
        <f aca="false" t="array" ref="O83:O83">IFERROR(SMALL(IF(_Helpers!$F$2:$F$91=1,ROW(_Helpers!$F$2:$F$91)),ROWS($A$4:A83)),"")</f>
        <v/>
      </c>
    </row>
    <row r="84" customFormat="false" ht="15" hidden="false" customHeight="false" outlineLevel="0" collapsed="false">
      <c r="A84" s="26" t="str">
        <f aca="false">IF($O84="","",INDEX(_Helpers!$A$2:$A$91,$O84-2+1))</f>
        <v/>
      </c>
      <c r="B84" s="26" t="str">
        <f aca="false">IF($O84="","",INDEX(_Helpers!$D$2:$D$91,$O84-2+1))</f>
        <v/>
      </c>
      <c r="C84" s="27" t="str">
        <f aca="false">IF($O84="","",INDEX(_Helpers!$B$2:$B$91,$O84-2+1))</f>
        <v/>
      </c>
      <c r="D84" s="27" t="str">
        <f aca="false">IF($O84="","",INDEX(_Helpers!$C$2:$C$91,$O84-2+1))</f>
        <v/>
      </c>
      <c r="E84" s="27" t="str">
        <f aca="false">IF($O84="","",INDEX(_Helpers!$L$2:$L$91,$O84-2+1))</f>
        <v/>
      </c>
      <c r="F84" s="28" t="str">
        <f aca="false">IF($O84="","",INDEX(_Helpers!$M$2:$M$91,$O84-2+1))</f>
        <v/>
      </c>
      <c r="G84" s="29" t="str">
        <f aca="false">IF($O84="","",IF(INDEX(_Helpers!$G$2:$G$91,$O84-2+1)=1,"Starter",""))</f>
        <v/>
      </c>
      <c r="H84" s="29" t="str">
        <f aca="false">IF($O84="","",IF(INDEX(_Helpers!$H$2:$H$91,$O84-2+1)=1,"Leaver",""))</f>
        <v/>
      </c>
      <c r="I84" s="29" t="str">
        <f aca="false">IF($O84="","",INDEX(_Helpers!$P$2:$P$91,$O84-2+1))</f>
        <v/>
      </c>
      <c r="J84" s="28" t="str">
        <f aca="false">IF($O84="","",INDEX(_Helpers!$V$2:$V$91,$O84-2+1))</f>
        <v/>
      </c>
      <c r="K84" s="29" t="str">
        <f aca="false">IF($O84="","",INDEX(_Helpers!$AJ$2:$AJ$91,$O84-2+1))</f>
        <v/>
      </c>
      <c r="L84" s="27" t="str">
        <f aca="false">IF($O84="","",INDEX(_Helpers!$AK$2:$AK$91,$O84-2+1))</f>
        <v/>
      </c>
      <c r="M84" s="30"/>
      <c r="N84" s="2"/>
      <c r="O84" s="25" t="str">
        <f aca="false" t="array" ref="O84:O84">IFERROR(SMALL(IF(_Helpers!$F$2:$F$91=1,ROW(_Helpers!$F$2:$F$91)),ROWS($A$4:A84)),"")</f>
        <v/>
      </c>
    </row>
    <row r="85" customFormat="false" ht="15" hidden="false" customHeight="false" outlineLevel="0" collapsed="false">
      <c r="A85" s="26" t="str">
        <f aca="false">IF($O85="","",INDEX(_Helpers!$A$2:$A$91,$O85-2+1))</f>
        <v/>
      </c>
      <c r="B85" s="26" t="str">
        <f aca="false">IF($O85="","",INDEX(_Helpers!$D$2:$D$91,$O85-2+1))</f>
        <v/>
      </c>
      <c r="C85" s="27" t="str">
        <f aca="false">IF($O85="","",INDEX(_Helpers!$B$2:$B$91,$O85-2+1))</f>
        <v/>
      </c>
      <c r="D85" s="27" t="str">
        <f aca="false">IF($O85="","",INDEX(_Helpers!$C$2:$C$91,$O85-2+1))</f>
        <v/>
      </c>
      <c r="E85" s="27" t="str">
        <f aca="false">IF($O85="","",INDEX(_Helpers!$L$2:$L$91,$O85-2+1))</f>
        <v/>
      </c>
      <c r="F85" s="28" t="str">
        <f aca="false">IF($O85="","",INDEX(_Helpers!$M$2:$M$91,$O85-2+1))</f>
        <v/>
      </c>
      <c r="G85" s="29" t="str">
        <f aca="false">IF($O85="","",IF(INDEX(_Helpers!$G$2:$G$91,$O85-2+1)=1,"Starter",""))</f>
        <v/>
      </c>
      <c r="H85" s="29" t="str">
        <f aca="false">IF($O85="","",IF(INDEX(_Helpers!$H$2:$H$91,$O85-2+1)=1,"Leaver",""))</f>
        <v/>
      </c>
      <c r="I85" s="29" t="str">
        <f aca="false">IF($O85="","",INDEX(_Helpers!$P$2:$P$91,$O85-2+1))</f>
        <v/>
      </c>
      <c r="J85" s="28" t="str">
        <f aca="false">IF($O85="","",INDEX(_Helpers!$V$2:$V$91,$O85-2+1))</f>
        <v/>
      </c>
      <c r="K85" s="29" t="str">
        <f aca="false">IF($O85="","",INDEX(_Helpers!$AJ$2:$AJ$91,$O85-2+1))</f>
        <v/>
      </c>
      <c r="L85" s="27" t="str">
        <f aca="false">IF($O85="","",INDEX(_Helpers!$AK$2:$AK$91,$O85-2+1))</f>
        <v/>
      </c>
      <c r="M85" s="30"/>
      <c r="N85" s="2"/>
      <c r="O85" s="25" t="str">
        <f aca="false" t="array" ref="O85:O85">IFERROR(SMALL(IF(_Helpers!$F$2:$F$91=1,ROW(_Helpers!$F$2:$F$91)),ROWS($A$4:A85)),"")</f>
        <v/>
      </c>
    </row>
    <row r="86" customFormat="false" ht="15" hidden="false" customHeight="false" outlineLevel="0" collapsed="false">
      <c r="A86" s="26" t="str">
        <f aca="false">IF($O86="","",INDEX(_Helpers!$A$2:$A$91,$O86-2+1))</f>
        <v/>
      </c>
      <c r="B86" s="26" t="str">
        <f aca="false">IF($O86="","",INDEX(_Helpers!$D$2:$D$91,$O86-2+1))</f>
        <v/>
      </c>
      <c r="C86" s="27" t="str">
        <f aca="false">IF($O86="","",INDEX(_Helpers!$B$2:$B$91,$O86-2+1))</f>
        <v/>
      </c>
      <c r="D86" s="27" t="str">
        <f aca="false">IF($O86="","",INDEX(_Helpers!$C$2:$C$91,$O86-2+1))</f>
        <v/>
      </c>
      <c r="E86" s="27" t="str">
        <f aca="false">IF($O86="","",INDEX(_Helpers!$L$2:$L$91,$O86-2+1))</f>
        <v/>
      </c>
      <c r="F86" s="28" t="str">
        <f aca="false">IF($O86="","",INDEX(_Helpers!$M$2:$M$91,$O86-2+1))</f>
        <v/>
      </c>
      <c r="G86" s="29" t="str">
        <f aca="false">IF($O86="","",IF(INDEX(_Helpers!$G$2:$G$91,$O86-2+1)=1,"Starter",""))</f>
        <v/>
      </c>
      <c r="H86" s="29" t="str">
        <f aca="false">IF($O86="","",IF(INDEX(_Helpers!$H$2:$H$91,$O86-2+1)=1,"Leaver",""))</f>
        <v/>
      </c>
      <c r="I86" s="29" t="str">
        <f aca="false">IF($O86="","",INDEX(_Helpers!$P$2:$P$91,$O86-2+1))</f>
        <v/>
      </c>
      <c r="J86" s="28" t="str">
        <f aca="false">IF($O86="","",INDEX(_Helpers!$V$2:$V$91,$O86-2+1))</f>
        <v/>
      </c>
      <c r="K86" s="29" t="str">
        <f aca="false">IF($O86="","",INDEX(_Helpers!$AJ$2:$AJ$91,$O86-2+1))</f>
        <v/>
      </c>
      <c r="L86" s="27" t="str">
        <f aca="false">IF($O86="","",INDEX(_Helpers!$AK$2:$AK$91,$O86-2+1))</f>
        <v/>
      </c>
      <c r="M86" s="30"/>
      <c r="N86" s="2"/>
      <c r="O86" s="25" t="str">
        <f aca="false" t="array" ref="O86:O86">IFERROR(SMALL(IF(_Helpers!$F$2:$F$91=1,ROW(_Helpers!$F$2:$F$91)),ROWS($A$4:A86)),"")</f>
        <v/>
      </c>
    </row>
    <row r="87" customFormat="false" ht="15" hidden="false" customHeight="false" outlineLevel="0" collapsed="false">
      <c r="A87" s="26" t="str">
        <f aca="false">IF($O87="","",INDEX(_Helpers!$A$2:$A$91,$O87-2+1))</f>
        <v/>
      </c>
      <c r="B87" s="26" t="str">
        <f aca="false">IF($O87="","",INDEX(_Helpers!$D$2:$D$91,$O87-2+1))</f>
        <v/>
      </c>
      <c r="C87" s="27" t="str">
        <f aca="false">IF($O87="","",INDEX(_Helpers!$B$2:$B$91,$O87-2+1))</f>
        <v/>
      </c>
      <c r="D87" s="27" t="str">
        <f aca="false">IF($O87="","",INDEX(_Helpers!$C$2:$C$91,$O87-2+1))</f>
        <v/>
      </c>
      <c r="E87" s="27" t="str">
        <f aca="false">IF($O87="","",INDEX(_Helpers!$L$2:$L$91,$O87-2+1))</f>
        <v/>
      </c>
      <c r="F87" s="28" t="str">
        <f aca="false">IF($O87="","",INDEX(_Helpers!$M$2:$M$91,$O87-2+1))</f>
        <v/>
      </c>
      <c r="G87" s="29" t="str">
        <f aca="false">IF($O87="","",IF(INDEX(_Helpers!$G$2:$G$91,$O87-2+1)=1,"Starter",""))</f>
        <v/>
      </c>
      <c r="H87" s="29" t="str">
        <f aca="false">IF($O87="","",IF(INDEX(_Helpers!$H$2:$H$91,$O87-2+1)=1,"Leaver",""))</f>
        <v/>
      </c>
      <c r="I87" s="29" t="str">
        <f aca="false">IF($O87="","",INDEX(_Helpers!$P$2:$P$91,$O87-2+1))</f>
        <v/>
      </c>
      <c r="J87" s="28" t="str">
        <f aca="false">IF($O87="","",INDEX(_Helpers!$V$2:$V$91,$O87-2+1))</f>
        <v/>
      </c>
      <c r="K87" s="29" t="str">
        <f aca="false">IF($O87="","",INDEX(_Helpers!$AJ$2:$AJ$91,$O87-2+1))</f>
        <v/>
      </c>
      <c r="L87" s="27" t="str">
        <f aca="false">IF($O87="","",INDEX(_Helpers!$AK$2:$AK$91,$O87-2+1))</f>
        <v/>
      </c>
      <c r="M87" s="30"/>
      <c r="N87" s="2"/>
      <c r="O87" s="25" t="str">
        <f aca="false" t="array" ref="O87:O87">IFERROR(SMALL(IF(_Helpers!$F$2:$F$91=1,ROW(_Helpers!$F$2:$F$91)),ROWS($A$4:A87)),"")</f>
        <v/>
      </c>
    </row>
    <row r="88" customFormat="false" ht="15" hidden="false" customHeight="false" outlineLevel="0" collapsed="false">
      <c r="A88" s="26" t="str">
        <f aca="false">IF($O88="","",INDEX(_Helpers!$A$2:$A$91,$O88-2+1))</f>
        <v/>
      </c>
      <c r="B88" s="26" t="str">
        <f aca="false">IF($O88="","",INDEX(_Helpers!$D$2:$D$91,$O88-2+1))</f>
        <v/>
      </c>
      <c r="C88" s="27" t="str">
        <f aca="false">IF($O88="","",INDEX(_Helpers!$B$2:$B$91,$O88-2+1))</f>
        <v/>
      </c>
      <c r="D88" s="27" t="str">
        <f aca="false">IF($O88="","",INDEX(_Helpers!$C$2:$C$91,$O88-2+1))</f>
        <v/>
      </c>
      <c r="E88" s="27" t="str">
        <f aca="false">IF($O88="","",INDEX(_Helpers!$L$2:$L$91,$O88-2+1))</f>
        <v/>
      </c>
      <c r="F88" s="28" t="str">
        <f aca="false">IF($O88="","",INDEX(_Helpers!$M$2:$M$91,$O88-2+1))</f>
        <v/>
      </c>
      <c r="G88" s="29" t="str">
        <f aca="false">IF($O88="","",IF(INDEX(_Helpers!$G$2:$G$91,$O88-2+1)=1,"Starter",""))</f>
        <v/>
      </c>
      <c r="H88" s="29" t="str">
        <f aca="false">IF($O88="","",IF(INDEX(_Helpers!$H$2:$H$91,$O88-2+1)=1,"Leaver",""))</f>
        <v/>
      </c>
      <c r="I88" s="29" t="str">
        <f aca="false">IF($O88="","",INDEX(_Helpers!$P$2:$P$91,$O88-2+1))</f>
        <v/>
      </c>
      <c r="J88" s="28" t="str">
        <f aca="false">IF($O88="","",INDEX(_Helpers!$V$2:$V$91,$O88-2+1))</f>
        <v/>
      </c>
      <c r="K88" s="29" t="str">
        <f aca="false">IF($O88="","",INDEX(_Helpers!$AJ$2:$AJ$91,$O88-2+1))</f>
        <v/>
      </c>
      <c r="L88" s="27" t="str">
        <f aca="false">IF($O88="","",INDEX(_Helpers!$AK$2:$AK$91,$O88-2+1))</f>
        <v/>
      </c>
      <c r="M88" s="30"/>
      <c r="N88" s="2"/>
      <c r="O88" s="25" t="str">
        <f aca="false" t="array" ref="O88:O88">IFERROR(SMALL(IF(_Helpers!$F$2:$F$91=1,ROW(_Helpers!$F$2:$F$91)),ROWS($A$4:A88)),"")</f>
        <v/>
      </c>
    </row>
    <row r="89" customFormat="false" ht="15" hidden="false" customHeight="false" outlineLevel="0" collapsed="false">
      <c r="A89" s="26" t="str">
        <f aca="false">IF($O89="","",INDEX(_Helpers!$A$2:$A$91,$O89-2+1))</f>
        <v/>
      </c>
      <c r="B89" s="26" t="str">
        <f aca="false">IF($O89="","",INDEX(_Helpers!$D$2:$D$91,$O89-2+1))</f>
        <v/>
      </c>
      <c r="C89" s="27" t="str">
        <f aca="false">IF($O89="","",INDEX(_Helpers!$B$2:$B$91,$O89-2+1))</f>
        <v/>
      </c>
      <c r="D89" s="27" t="str">
        <f aca="false">IF($O89="","",INDEX(_Helpers!$C$2:$C$91,$O89-2+1))</f>
        <v/>
      </c>
      <c r="E89" s="27" t="str">
        <f aca="false">IF($O89="","",INDEX(_Helpers!$L$2:$L$91,$O89-2+1))</f>
        <v/>
      </c>
      <c r="F89" s="28" t="str">
        <f aca="false">IF($O89="","",INDEX(_Helpers!$M$2:$M$91,$O89-2+1))</f>
        <v/>
      </c>
      <c r="G89" s="29" t="str">
        <f aca="false">IF($O89="","",IF(INDEX(_Helpers!$G$2:$G$91,$O89-2+1)=1,"Starter",""))</f>
        <v/>
      </c>
      <c r="H89" s="29" t="str">
        <f aca="false">IF($O89="","",IF(INDEX(_Helpers!$H$2:$H$91,$O89-2+1)=1,"Leaver",""))</f>
        <v/>
      </c>
      <c r="I89" s="29" t="str">
        <f aca="false">IF($O89="","",INDEX(_Helpers!$P$2:$P$91,$O89-2+1))</f>
        <v/>
      </c>
      <c r="J89" s="28" t="str">
        <f aca="false">IF($O89="","",INDEX(_Helpers!$V$2:$V$91,$O89-2+1))</f>
        <v/>
      </c>
      <c r="K89" s="29" t="str">
        <f aca="false">IF($O89="","",INDEX(_Helpers!$AJ$2:$AJ$91,$O89-2+1))</f>
        <v/>
      </c>
      <c r="L89" s="27" t="str">
        <f aca="false">IF($O89="","",INDEX(_Helpers!$AK$2:$AK$91,$O89-2+1))</f>
        <v/>
      </c>
      <c r="M89" s="30"/>
      <c r="N89" s="2"/>
      <c r="O89" s="25" t="str">
        <f aca="false" t="array" ref="O89:O89">IFERROR(SMALL(IF(_Helpers!$F$2:$F$91=1,ROW(_Helpers!$F$2:$F$91)),ROWS($A$4:A89)),"")</f>
        <v/>
      </c>
    </row>
    <row r="90" customFormat="false" ht="15" hidden="false" customHeight="false" outlineLevel="0" collapsed="false">
      <c r="A90" s="26" t="str">
        <f aca="false">IF($O90="","",INDEX(_Helpers!$A$2:$A$91,$O90-2+1))</f>
        <v/>
      </c>
      <c r="B90" s="26" t="str">
        <f aca="false">IF($O90="","",INDEX(_Helpers!$D$2:$D$91,$O90-2+1))</f>
        <v/>
      </c>
      <c r="C90" s="27" t="str">
        <f aca="false">IF($O90="","",INDEX(_Helpers!$B$2:$B$91,$O90-2+1))</f>
        <v/>
      </c>
      <c r="D90" s="27" t="str">
        <f aca="false">IF($O90="","",INDEX(_Helpers!$C$2:$C$91,$O90-2+1))</f>
        <v/>
      </c>
      <c r="E90" s="27" t="str">
        <f aca="false">IF($O90="","",INDEX(_Helpers!$L$2:$L$91,$O90-2+1))</f>
        <v/>
      </c>
      <c r="F90" s="28" t="str">
        <f aca="false">IF($O90="","",INDEX(_Helpers!$M$2:$M$91,$O90-2+1))</f>
        <v/>
      </c>
      <c r="G90" s="29" t="str">
        <f aca="false">IF($O90="","",IF(INDEX(_Helpers!$G$2:$G$91,$O90-2+1)=1,"Starter",""))</f>
        <v/>
      </c>
      <c r="H90" s="29" t="str">
        <f aca="false">IF($O90="","",IF(INDEX(_Helpers!$H$2:$H$91,$O90-2+1)=1,"Leaver",""))</f>
        <v/>
      </c>
      <c r="I90" s="29" t="str">
        <f aca="false">IF($O90="","",INDEX(_Helpers!$P$2:$P$91,$O90-2+1))</f>
        <v/>
      </c>
      <c r="J90" s="28" t="str">
        <f aca="false">IF($O90="","",INDEX(_Helpers!$V$2:$V$91,$O90-2+1))</f>
        <v/>
      </c>
      <c r="K90" s="29" t="str">
        <f aca="false">IF($O90="","",INDEX(_Helpers!$AJ$2:$AJ$91,$O90-2+1))</f>
        <v/>
      </c>
      <c r="L90" s="27" t="str">
        <f aca="false">IF($O90="","",INDEX(_Helpers!$AK$2:$AK$91,$O90-2+1))</f>
        <v/>
      </c>
      <c r="M90" s="30"/>
      <c r="N90" s="2"/>
      <c r="O90" s="25" t="str">
        <f aca="false" t="array" ref="O90:O90">IFERROR(SMALL(IF(_Helpers!$F$2:$F$91=1,ROW(_Helpers!$F$2:$F$91)),ROWS($A$4:A90)),"")</f>
        <v/>
      </c>
    </row>
    <row r="91" customFormat="false" ht="15" hidden="false" customHeight="false" outlineLevel="0" collapsed="false">
      <c r="A91" s="26" t="str">
        <f aca="false">IF($O91="","",INDEX(_Helpers!$A$2:$A$91,$O91-2+1))</f>
        <v/>
      </c>
      <c r="B91" s="26" t="str">
        <f aca="false">IF($O91="","",INDEX(_Helpers!$D$2:$D$91,$O91-2+1))</f>
        <v/>
      </c>
      <c r="C91" s="27" t="str">
        <f aca="false">IF($O91="","",INDEX(_Helpers!$B$2:$B$91,$O91-2+1))</f>
        <v/>
      </c>
      <c r="D91" s="27" t="str">
        <f aca="false">IF($O91="","",INDEX(_Helpers!$C$2:$C$91,$O91-2+1))</f>
        <v/>
      </c>
      <c r="E91" s="27" t="str">
        <f aca="false">IF($O91="","",INDEX(_Helpers!$L$2:$L$91,$O91-2+1))</f>
        <v/>
      </c>
      <c r="F91" s="28" t="str">
        <f aca="false">IF($O91="","",INDEX(_Helpers!$M$2:$M$91,$O91-2+1))</f>
        <v/>
      </c>
      <c r="G91" s="29" t="str">
        <f aca="false">IF($O91="","",IF(INDEX(_Helpers!$G$2:$G$91,$O91-2+1)=1,"Starter",""))</f>
        <v/>
      </c>
      <c r="H91" s="29" t="str">
        <f aca="false">IF($O91="","",IF(INDEX(_Helpers!$H$2:$H$91,$O91-2+1)=1,"Leaver",""))</f>
        <v/>
      </c>
      <c r="I91" s="29" t="str">
        <f aca="false">IF($O91="","",INDEX(_Helpers!$P$2:$P$91,$O91-2+1))</f>
        <v/>
      </c>
      <c r="J91" s="28" t="str">
        <f aca="false">IF($O91="","",INDEX(_Helpers!$V$2:$V$91,$O91-2+1))</f>
        <v/>
      </c>
      <c r="K91" s="29" t="str">
        <f aca="false">IF($O91="","",INDEX(_Helpers!$AJ$2:$AJ$91,$O91-2+1))</f>
        <v/>
      </c>
      <c r="L91" s="27" t="str">
        <f aca="false">IF($O91="","",INDEX(_Helpers!$AK$2:$AK$91,$O91-2+1))</f>
        <v/>
      </c>
      <c r="M91" s="30"/>
      <c r="N91" s="2"/>
      <c r="O91" s="25" t="str">
        <f aca="false" t="array" ref="O91:O91">IFERROR(SMALL(IF(_Helpers!$F$2:$F$91=1,ROW(_Helpers!$F$2:$F$91)),ROWS($A$4:A91)),"")</f>
        <v/>
      </c>
    </row>
    <row r="92" customFormat="false" ht="15" hidden="false" customHeight="false" outlineLevel="0" collapsed="false">
      <c r="A92" s="26" t="str">
        <f aca="false">IF($O92="","",INDEX(_Helpers!$A$2:$A$91,$O92-2+1))</f>
        <v/>
      </c>
      <c r="B92" s="26" t="str">
        <f aca="false">IF($O92="","",INDEX(_Helpers!$D$2:$D$91,$O92-2+1))</f>
        <v/>
      </c>
      <c r="C92" s="27" t="str">
        <f aca="false">IF($O92="","",INDEX(_Helpers!$B$2:$B$91,$O92-2+1))</f>
        <v/>
      </c>
      <c r="D92" s="27" t="str">
        <f aca="false">IF($O92="","",INDEX(_Helpers!$C$2:$C$91,$O92-2+1))</f>
        <v/>
      </c>
      <c r="E92" s="27" t="str">
        <f aca="false">IF($O92="","",INDEX(_Helpers!$L$2:$L$91,$O92-2+1))</f>
        <v/>
      </c>
      <c r="F92" s="28" t="str">
        <f aca="false">IF($O92="","",INDEX(_Helpers!$M$2:$M$91,$O92-2+1))</f>
        <v/>
      </c>
      <c r="G92" s="29" t="str">
        <f aca="false">IF($O92="","",IF(INDEX(_Helpers!$G$2:$G$91,$O92-2+1)=1,"Starter",""))</f>
        <v/>
      </c>
      <c r="H92" s="29" t="str">
        <f aca="false">IF($O92="","",IF(INDEX(_Helpers!$H$2:$H$91,$O92-2+1)=1,"Leaver",""))</f>
        <v/>
      </c>
      <c r="I92" s="29" t="str">
        <f aca="false">IF($O92="","",INDEX(_Helpers!$P$2:$P$91,$O92-2+1))</f>
        <v/>
      </c>
      <c r="J92" s="28" t="str">
        <f aca="false">IF($O92="","",INDEX(_Helpers!$V$2:$V$91,$O92-2+1))</f>
        <v/>
      </c>
      <c r="K92" s="29" t="str">
        <f aca="false">IF($O92="","",INDEX(_Helpers!$AJ$2:$AJ$91,$O92-2+1))</f>
        <v/>
      </c>
      <c r="L92" s="27" t="str">
        <f aca="false">IF($O92="","",INDEX(_Helpers!$AK$2:$AK$91,$O92-2+1))</f>
        <v/>
      </c>
      <c r="M92" s="30"/>
      <c r="N92" s="2"/>
      <c r="O92" s="25" t="str">
        <f aca="false" t="array" ref="O92:O92">IFERROR(SMALL(IF(_Helpers!$F$2:$F$91=1,ROW(_Helpers!$F$2:$F$91)),ROWS($A$4:A92)),"")</f>
        <v/>
      </c>
    </row>
    <row r="93" customFormat="false" ht="15" hidden="false" customHeight="false" outlineLevel="0" collapsed="false">
      <c r="A93" s="26" t="str">
        <f aca="false">IF($O93="","",INDEX(_Helpers!$A$2:$A$91,$O93-2+1))</f>
        <v/>
      </c>
      <c r="B93" s="26" t="str">
        <f aca="false">IF($O93="","",INDEX(_Helpers!$D$2:$D$91,$O93-2+1))</f>
        <v/>
      </c>
      <c r="C93" s="27" t="str">
        <f aca="false">IF($O93="","",INDEX(_Helpers!$B$2:$B$91,$O93-2+1))</f>
        <v/>
      </c>
      <c r="D93" s="27" t="str">
        <f aca="false">IF($O93="","",INDEX(_Helpers!$C$2:$C$91,$O93-2+1))</f>
        <v/>
      </c>
      <c r="E93" s="27" t="str">
        <f aca="false">IF($O93="","",INDEX(_Helpers!$L$2:$L$91,$O93-2+1))</f>
        <v/>
      </c>
      <c r="F93" s="28" t="str">
        <f aca="false">IF($O93="","",INDEX(_Helpers!$M$2:$M$91,$O93-2+1))</f>
        <v/>
      </c>
      <c r="G93" s="29" t="str">
        <f aca="false">IF($O93="","",IF(INDEX(_Helpers!$G$2:$G$91,$O93-2+1)=1,"Starter",""))</f>
        <v/>
      </c>
      <c r="H93" s="29" t="str">
        <f aca="false">IF($O93="","",IF(INDEX(_Helpers!$H$2:$H$91,$O93-2+1)=1,"Leaver",""))</f>
        <v/>
      </c>
      <c r="I93" s="29" t="str">
        <f aca="false">IF($O93="","",INDEX(_Helpers!$P$2:$P$91,$O93-2+1))</f>
        <v/>
      </c>
      <c r="J93" s="28" t="str">
        <f aca="false">IF($O93="","",INDEX(_Helpers!$V$2:$V$91,$O93-2+1))</f>
        <v/>
      </c>
      <c r="K93" s="29" t="str">
        <f aca="false">IF($O93="","",INDEX(_Helpers!$AJ$2:$AJ$91,$O93-2+1))</f>
        <v/>
      </c>
      <c r="L93" s="27" t="str">
        <f aca="false">IF($O93="","",INDEX(_Helpers!$AK$2:$AK$91,$O93-2+1))</f>
        <v/>
      </c>
      <c r="M93" s="30"/>
      <c r="N93" s="2"/>
      <c r="O93" s="25" t="str">
        <f aca="false" t="array" ref="O93:O93">IFERROR(SMALL(IF(_Helpers!$F$2:$F$91=1,ROW(_Helpers!$F$2:$F$91)),ROWS($A$4:A93)),"")</f>
        <v/>
      </c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</sheetData>
  <autoFilter ref="A3:N93"/>
  <mergeCells count="2">
    <mergeCell ref="A1:M1"/>
    <mergeCell ref="A2:M2"/>
  </mergeCells>
  <conditionalFormatting sqref="A4:M93">
    <cfRule type="expression" priority="2" aboveAverage="0" equalAverage="0" bottom="0" percent="0" rank="0" text="" dxfId="0">
      <formula>$I4="Review required"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15D"/>
    <pageSetUpPr fitToPage="fals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true" outlineLevel="0" max="8" min="8" style="0" width="13"/>
  </cols>
  <sheetData>
    <row r="1" customFormat="false" ht="19.7" hidden="false" customHeight="false" outlineLevel="0" collapsed="false">
      <c r="A1" s="1" t="s">
        <v>120</v>
      </c>
      <c r="B1" s="1"/>
      <c r="C1" s="1"/>
      <c r="D1" s="1"/>
      <c r="E1" s="1"/>
      <c r="F1" s="1"/>
      <c r="G1" s="1"/>
      <c r="H1" s="2"/>
      <c r="I1" s="2"/>
      <c r="J1" s="2"/>
    </row>
    <row r="2" customFormat="false" ht="15" hidden="false" customHeight="false" outlineLevel="0" collapsed="false">
      <c r="A2" s="24" t="s">
        <v>121</v>
      </c>
      <c r="B2" s="24"/>
      <c r="C2" s="24"/>
      <c r="D2" s="24"/>
      <c r="E2" s="24"/>
      <c r="F2" s="24"/>
      <c r="G2" s="24"/>
      <c r="H2" s="2"/>
      <c r="I2" s="2"/>
      <c r="J2" s="2"/>
    </row>
    <row r="3" customFormat="false" ht="21.75" hidden="false" customHeight="true" outlineLevel="0" collapsed="false">
      <c r="A3" s="16" t="s">
        <v>87</v>
      </c>
      <c r="B3" s="16" t="s">
        <v>43</v>
      </c>
      <c r="C3" s="16" t="s">
        <v>88</v>
      </c>
      <c r="D3" s="16" t="s">
        <v>89</v>
      </c>
      <c r="E3" s="16" t="s">
        <v>90</v>
      </c>
      <c r="F3" s="16" t="s">
        <v>91</v>
      </c>
      <c r="G3" s="2"/>
      <c r="H3" s="25" t="s">
        <v>119</v>
      </c>
      <c r="I3" s="2"/>
      <c r="J3" s="2"/>
    </row>
    <row r="4" customFormat="false" ht="15" hidden="false" customHeight="false" outlineLevel="0" collapsed="false">
      <c r="A4" s="26" t="str">
        <f aca="false">IF($H4="","",INDEX(_Helpers!$A$2:$A$91,$H4-2+1))</f>
        <v>P34356</v>
      </c>
      <c r="B4" s="26" t="str">
        <f aca="false">IF($H4="","",INDEX(_Helpers!$D$2:$D$91,$H4-2+1))</f>
        <v>Kings Road Dental Practice</v>
      </c>
      <c r="C4" s="27" t="n">
        <f aca="false">IF($H4="","",INDEX(_Helpers!$B$2:$B$91,$H4-2+1))</f>
        <v>181.28</v>
      </c>
      <c r="D4" s="27" t="n">
        <f aca="false">IF($H4="","",INDEX(_Helpers!$C$2:$C$91,$H4-2+1))</f>
        <v>210.61</v>
      </c>
      <c r="E4" s="27" t="n">
        <f aca="false">IF($H4="","",INDEX(_Helpers!$L$2:$L$91,$H4-2+1))</f>
        <v>29.33</v>
      </c>
      <c r="F4" s="28" t="n">
        <f aca="false">IF($H4="","",INDEX(_Helpers!$M$2:$M$91,$H4-2+1))</f>
        <v>0.161793909973522</v>
      </c>
      <c r="G4" s="2"/>
      <c r="H4" s="25" t="n">
        <f aca="false" t="array" ref="H4:H4">IFERROR(SMALL(IF(_Helpers!$E$2:$E$91=1,ROW(_Helpers!$E$2:$E$91)),ROWS($A$4:A4)),"")</f>
        <v>50</v>
      </c>
      <c r="I4" s="2"/>
      <c r="J4" s="2"/>
    </row>
    <row r="5" customFormat="false" ht="15" hidden="false" customHeight="false" outlineLevel="0" collapsed="false">
      <c r="A5" s="26" t="str">
        <f aca="false">IF($H5="","",INDEX(_Helpers!$A$2:$A$91,$H5-2+1))</f>
        <v>P40828</v>
      </c>
      <c r="B5" s="26" t="str">
        <f aca="false">IF($H5="","",INDEX(_Helpers!$D$2:$D$91,$H5-2+1))</f>
        <v>Riverside Dental Practice</v>
      </c>
      <c r="C5" s="27" t="n">
        <f aca="false">IF($H5="","",INDEX(_Helpers!$B$2:$B$91,$H5-2+1))</f>
        <v>477.27</v>
      </c>
      <c r="D5" s="27" t="n">
        <f aca="false">IF($H5="","",INDEX(_Helpers!$C$2:$C$91,$H5-2+1))</f>
        <v>674.3</v>
      </c>
      <c r="E5" s="27" t="n">
        <f aca="false">IF($H5="","",INDEX(_Helpers!$L$2:$L$91,$H5-2+1))</f>
        <v>197.03</v>
      </c>
      <c r="F5" s="28" t="n">
        <f aca="false">IF($H5="","",INDEX(_Helpers!$M$2:$M$91,$H5-2+1))</f>
        <v>0.412827120916881</v>
      </c>
      <c r="G5" s="2"/>
      <c r="H5" s="25" t="n">
        <f aca="false" t="array" ref="H5:H5">IFERROR(SMALL(IF(_Helpers!$E$2:$E$91=1,ROW(_Helpers!$E$2:$E$91)),ROWS($A$4:A5)),"")</f>
        <v>51</v>
      </c>
      <c r="I5" s="2"/>
      <c r="J5" s="2"/>
    </row>
    <row r="6" customFormat="false" ht="15" hidden="false" customHeight="false" outlineLevel="0" collapsed="false">
      <c r="A6" s="26" t="str">
        <f aca="false">IF($H6="","",INDEX(_Helpers!$A$2:$A$91,$H6-2+1))</f>
        <v>P42271</v>
      </c>
      <c r="B6" s="26" t="str">
        <f aca="false">IF($H6="","",INDEX(_Helpers!$D$2:$D$91,$H6-2+1))</f>
        <v>Oakfield Dental Practice</v>
      </c>
      <c r="C6" s="27" t="n">
        <f aca="false">IF($H6="","",INDEX(_Helpers!$B$2:$B$91,$H6-2+1))</f>
        <v>215.94</v>
      </c>
      <c r="D6" s="27" t="n">
        <f aca="false">IF($H6="","",INDEX(_Helpers!$C$2:$C$91,$H6-2+1))</f>
        <v>374.74</v>
      </c>
      <c r="E6" s="27" t="n">
        <f aca="false">IF($H6="","",INDEX(_Helpers!$L$2:$L$91,$H6-2+1))</f>
        <v>158.8</v>
      </c>
      <c r="F6" s="28" t="n">
        <f aca="false">IF($H6="","",INDEX(_Helpers!$M$2:$M$91,$H6-2+1))</f>
        <v>0.735389460035195</v>
      </c>
      <c r="G6" s="2"/>
      <c r="H6" s="25" t="n">
        <f aca="false" t="array" ref="H6:H6">IFERROR(SMALL(IF(_Helpers!$E$2:$E$91=1,ROW(_Helpers!$E$2:$E$91)),ROWS($A$4:A6)),"")</f>
        <v>52</v>
      </c>
      <c r="I6" s="2"/>
      <c r="J6" s="2"/>
    </row>
    <row r="7" customFormat="false" ht="15" hidden="false" customHeight="false" outlineLevel="0" collapsed="false">
      <c r="A7" s="26" t="str">
        <f aca="false">IF($H7="","",INDEX(_Helpers!$A$2:$A$91,$H7-2+1))</f>
        <v>P86503</v>
      </c>
      <c r="B7" s="26" t="str">
        <f aca="false">IF($H7="","",INDEX(_Helpers!$D$2:$D$91,$H7-2+1))</f>
        <v>Riverside Dental Practice</v>
      </c>
      <c r="C7" s="27" t="n">
        <f aca="false">IF($H7="","",INDEX(_Helpers!$B$2:$B$91,$H7-2+1))</f>
        <v>490.66</v>
      </c>
      <c r="D7" s="27" t="n">
        <f aca="false">IF($H7="","",INDEX(_Helpers!$C$2:$C$91,$H7-2+1))</f>
        <v>504.81</v>
      </c>
      <c r="E7" s="27" t="n">
        <f aca="false">IF($H7="","",INDEX(_Helpers!$L$2:$L$91,$H7-2+1))</f>
        <v>14.15</v>
      </c>
      <c r="F7" s="28" t="n">
        <f aca="false">IF($H7="","",INDEX(_Helpers!$M$2:$M$91,$H7-2+1))</f>
        <v>0.0288387070476501</v>
      </c>
      <c r="G7" s="2"/>
      <c r="H7" s="25" t="n">
        <f aca="false" t="array" ref="H7:H7">IFERROR(SMALL(IF(_Helpers!$E$2:$E$91=1,ROW(_Helpers!$E$2:$E$91)),ROWS($A$4:A7)),"")</f>
        <v>53</v>
      </c>
      <c r="I7" s="2"/>
      <c r="J7" s="2"/>
    </row>
    <row r="8" customFormat="false" ht="15" hidden="false" customHeight="false" outlineLevel="0" collapsed="false">
      <c r="A8" s="26" t="str">
        <f aca="false">IF($H8="","",INDEX(_Helpers!$A$2:$A$91,$H8-2+1))</f>
        <v/>
      </c>
      <c r="B8" s="26" t="str">
        <f aca="false">IF($H8="","",INDEX(_Helpers!$D$2:$D$91,$H8-2+1))</f>
        <v/>
      </c>
      <c r="C8" s="27" t="str">
        <f aca="false">IF($H8="","",INDEX(_Helpers!$B$2:$B$91,$H8-2+1))</f>
        <v/>
      </c>
      <c r="D8" s="27" t="str">
        <f aca="false">IF($H8="","",INDEX(_Helpers!$C$2:$C$91,$H8-2+1))</f>
        <v/>
      </c>
      <c r="E8" s="27" t="str">
        <f aca="false">IF($H8="","",INDEX(_Helpers!$L$2:$L$91,$H8-2+1))</f>
        <v/>
      </c>
      <c r="F8" s="28" t="str">
        <f aca="false">IF($H8="","",INDEX(_Helpers!$M$2:$M$91,$H8-2+1))</f>
        <v/>
      </c>
      <c r="G8" s="2"/>
      <c r="H8" s="25" t="str">
        <f aca="false" t="array" ref="H8:H8">IFERROR(SMALL(IF(_Helpers!$E$2:$E$91=1,ROW(_Helpers!$E$2:$E$91)),ROWS($A$4:A8)),"")</f>
        <v/>
      </c>
      <c r="I8" s="2"/>
      <c r="J8" s="2"/>
    </row>
    <row r="9" customFormat="false" ht="15" hidden="false" customHeight="false" outlineLevel="0" collapsed="false">
      <c r="A9" s="26" t="str">
        <f aca="false">IF($H9="","",INDEX(_Helpers!$A$2:$A$91,$H9-2+1))</f>
        <v/>
      </c>
      <c r="B9" s="26" t="str">
        <f aca="false">IF($H9="","",INDEX(_Helpers!$D$2:$D$91,$H9-2+1))</f>
        <v/>
      </c>
      <c r="C9" s="27" t="str">
        <f aca="false">IF($H9="","",INDEX(_Helpers!$B$2:$B$91,$H9-2+1))</f>
        <v/>
      </c>
      <c r="D9" s="27" t="str">
        <f aca="false">IF($H9="","",INDEX(_Helpers!$C$2:$C$91,$H9-2+1))</f>
        <v/>
      </c>
      <c r="E9" s="27" t="str">
        <f aca="false">IF($H9="","",INDEX(_Helpers!$L$2:$L$91,$H9-2+1))</f>
        <v/>
      </c>
      <c r="F9" s="28" t="str">
        <f aca="false">IF($H9="","",INDEX(_Helpers!$M$2:$M$91,$H9-2+1))</f>
        <v/>
      </c>
      <c r="G9" s="2"/>
      <c r="H9" s="25" t="str">
        <f aca="false" t="array" ref="H9:H9">IFERROR(SMALL(IF(_Helpers!$E$2:$E$91=1,ROW(_Helpers!$E$2:$E$91)),ROWS($A$4:A9)),"")</f>
        <v/>
      </c>
      <c r="I9" s="2"/>
      <c r="J9" s="2"/>
    </row>
    <row r="10" customFormat="false" ht="15" hidden="false" customHeight="false" outlineLevel="0" collapsed="false">
      <c r="A10" s="26" t="str">
        <f aca="false">IF($H10="","",INDEX(_Helpers!$A$2:$A$91,$H10-2+1))</f>
        <v/>
      </c>
      <c r="B10" s="26" t="str">
        <f aca="false">IF($H10="","",INDEX(_Helpers!$D$2:$D$91,$H10-2+1))</f>
        <v/>
      </c>
      <c r="C10" s="27" t="str">
        <f aca="false">IF($H10="","",INDEX(_Helpers!$B$2:$B$91,$H10-2+1))</f>
        <v/>
      </c>
      <c r="D10" s="27" t="str">
        <f aca="false">IF($H10="","",INDEX(_Helpers!$C$2:$C$91,$H10-2+1))</f>
        <v/>
      </c>
      <c r="E10" s="27" t="str">
        <f aca="false">IF($H10="","",INDEX(_Helpers!$L$2:$L$91,$H10-2+1))</f>
        <v/>
      </c>
      <c r="F10" s="28" t="str">
        <f aca="false">IF($H10="","",INDEX(_Helpers!$M$2:$M$91,$H10-2+1))</f>
        <v/>
      </c>
      <c r="G10" s="2"/>
      <c r="H10" s="25" t="str">
        <f aca="false" t="array" ref="H10:H10">IFERROR(SMALL(IF(_Helpers!$E$2:$E$91=1,ROW(_Helpers!$E$2:$E$91)),ROWS($A$4:A10)),"")</f>
        <v/>
      </c>
      <c r="I10" s="2"/>
      <c r="J10" s="2"/>
    </row>
    <row r="11" customFormat="false" ht="15" hidden="false" customHeight="false" outlineLevel="0" collapsed="false">
      <c r="A11" s="26" t="str">
        <f aca="false">IF($H11="","",INDEX(_Helpers!$A$2:$A$91,$H11-2+1))</f>
        <v/>
      </c>
      <c r="B11" s="26" t="str">
        <f aca="false">IF($H11="","",INDEX(_Helpers!$D$2:$D$91,$H11-2+1))</f>
        <v/>
      </c>
      <c r="C11" s="27" t="str">
        <f aca="false">IF($H11="","",INDEX(_Helpers!$B$2:$B$91,$H11-2+1))</f>
        <v/>
      </c>
      <c r="D11" s="27" t="str">
        <f aca="false">IF($H11="","",INDEX(_Helpers!$C$2:$C$91,$H11-2+1))</f>
        <v/>
      </c>
      <c r="E11" s="27" t="str">
        <f aca="false">IF($H11="","",INDEX(_Helpers!$L$2:$L$91,$H11-2+1))</f>
        <v/>
      </c>
      <c r="F11" s="28" t="str">
        <f aca="false">IF($H11="","",INDEX(_Helpers!$M$2:$M$91,$H11-2+1))</f>
        <v/>
      </c>
      <c r="G11" s="2"/>
      <c r="H11" s="25" t="str">
        <f aca="false" t="array" ref="H11:H11">IFERROR(SMALL(IF(_Helpers!$E$2:$E$91=1,ROW(_Helpers!$E$2:$E$91)),ROWS($A$4:A11)),"")</f>
        <v/>
      </c>
      <c r="I11" s="2"/>
      <c r="J11" s="2"/>
    </row>
    <row r="12" customFormat="false" ht="15" hidden="false" customHeight="false" outlineLevel="0" collapsed="false">
      <c r="A12" s="26" t="str">
        <f aca="false">IF($H12="","",INDEX(_Helpers!$A$2:$A$91,$H12-2+1))</f>
        <v/>
      </c>
      <c r="B12" s="26" t="str">
        <f aca="false">IF($H12="","",INDEX(_Helpers!$D$2:$D$91,$H12-2+1))</f>
        <v/>
      </c>
      <c r="C12" s="27" t="str">
        <f aca="false">IF($H12="","",INDEX(_Helpers!$B$2:$B$91,$H12-2+1))</f>
        <v/>
      </c>
      <c r="D12" s="27" t="str">
        <f aca="false">IF($H12="","",INDEX(_Helpers!$C$2:$C$91,$H12-2+1))</f>
        <v/>
      </c>
      <c r="E12" s="27" t="str">
        <f aca="false">IF($H12="","",INDEX(_Helpers!$L$2:$L$91,$H12-2+1))</f>
        <v/>
      </c>
      <c r="F12" s="28" t="str">
        <f aca="false">IF($H12="","",INDEX(_Helpers!$M$2:$M$91,$H12-2+1))</f>
        <v/>
      </c>
      <c r="G12" s="2"/>
      <c r="H12" s="25" t="str">
        <f aca="false" t="array" ref="H12:H12">IFERROR(SMALL(IF(_Helpers!$E$2:$E$91=1,ROW(_Helpers!$E$2:$E$91)),ROWS($A$4:A12)),"")</f>
        <v/>
      </c>
      <c r="I12" s="2"/>
      <c r="J12" s="2"/>
    </row>
    <row r="13" customFormat="false" ht="15" hidden="false" customHeight="false" outlineLevel="0" collapsed="false">
      <c r="A13" s="26" t="str">
        <f aca="false">IF($H13="","",INDEX(_Helpers!$A$2:$A$91,$H13-2+1))</f>
        <v/>
      </c>
      <c r="B13" s="26" t="str">
        <f aca="false">IF($H13="","",INDEX(_Helpers!$D$2:$D$91,$H13-2+1))</f>
        <v/>
      </c>
      <c r="C13" s="27" t="str">
        <f aca="false">IF($H13="","",INDEX(_Helpers!$B$2:$B$91,$H13-2+1))</f>
        <v/>
      </c>
      <c r="D13" s="27" t="str">
        <f aca="false">IF($H13="","",INDEX(_Helpers!$C$2:$C$91,$H13-2+1))</f>
        <v/>
      </c>
      <c r="E13" s="27" t="str">
        <f aca="false">IF($H13="","",INDEX(_Helpers!$L$2:$L$91,$H13-2+1))</f>
        <v/>
      </c>
      <c r="F13" s="28" t="str">
        <f aca="false">IF($H13="","",INDEX(_Helpers!$M$2:$M$91,$H13-2+1))</f>
        <v/>
      </c>
      <c r="G13" s="2"/>
      <c r="H13" s="25" t="str">
        <f aca="false" t="array" ref="H13:H13">IFERROR(SMALL(IF(_Helpers!$E$2:$E$91=1,ROW(_Helpers!$E$2:$E$91)),ROWS($A$4:A13)),"")</f>
        <v/>
      </c>
      <c r="I13" s="2"/>
      <c r="J13" s="2"/>
    </row>
    <row r="14" customFormat="false" ht="15" hidden="false" customHeight="false" outlineLevel="0" collapsed="false">
      <c r="A14" s="26" t="str">
        <f aca="false">IF($H14="","",INDEX(_Helpers!$A$2:$A$91,$H14-2+1))</f>
        <v/>
      </c>
      <c r="B14" s="26" t="str">
        <f aca="false">IF($H14="","",INDEX(_Helpers!$D$2:$D$91,$H14-2+1))</f>
        <v/>
      </c>
      <c r="C14" s="27" t="str">
        <f aca="false">IF($H14="","",INDEX(_Helpers!$B$2:$B$91,$H14-2+1))</f>
        <v/>
      </c>
      <c r="D14" s="27" t="str">
        <f aca="false">IF($H14="","",INDEX(_Helpers!$C$2:$C$91,$H14-2+1))</f>
        <v/>
      </c>
      <c r="E14" s="27" t="str">
        <f aca="false">IF($H14="","",INDEX(_Helpers!$L$2:$L$91,$H14-2+1))</f>
        <v/>
      </c>
      <c r="F14" s="28" t="str">
        <f aca="false">IF($H14="","",INDEX(_Helpers!$M$2:$M$91,$H14-2+1))</f>
        <v/>
      </c>
      <c r="G14" s="2"/>
      <c r="H14" s="25" t="str">
        <f aca="false" t="array" ref="H14:H14">IFERROR(SMALL(IF(_Helpers!$E$2:$E$91=1,ROW(_Helpers!$E$2:$E$91)),ROWS($A$4:A14)),"")</f>
        <v/>
      </c>
      <c r="I14" s="2"/>
      <c r="J14" s="2"/>
    </row>
    <row r="15" customFormat="false" ht="15" hidden="false" customHeight="false" outlineLevel="0" collapsed="false">
      <c r="A15" s="26" t="str">
        <f aca="false">IF($H15="","",INDEX(_Helpers!$A$2:$A$91,$H15-2+1))</f>
        <v/>
      </c>
      <c r="B15" s="26" t="str">
        <f aca="false">IF($H15="","",INDEX(_Helpers!$D$2:$D$91,$H15-2+1))</f>
        <v/>
      </c>
      <c r="C15" s="27" t="str">
        <f aca="false">IF($H15="","",INDEX(_Helpers!$B$2:$B$91,$H15-2+1))</f>
        <v/>
      </c>
      <c r="D15" s="27" t="str">
        <f aca="false">IF($H15="","",INDEX(_Helpers!$C$2:$C$91,$H15-2+1))</f>
        <v/>
      </c>
      <c r="E15" s="27" t="str">
        <f aca="false">IF($H15="","",INDEX(_Helpers!$L$2:$L$91,$H15-2+1))</f>
        <v/>
      </c>
      <c r="F15" s="28" t="str">
        <f aca="false">IF($H15="","",INDEX(_Helpers!$M$2:$M$91,$H15-2+1))</f>
        <v/>
      </c>
      <c r="G15" s="2"/>
      <c r="H15" s="25" t="str">
        <f aca="false" t="array" ref="H15:H15">IFERROR(SMALL(IF(_Helpers!$E$2:$E$91=1,ROW(_Helpers!$E$2:$E$91)),ROWS($A$4:A15)),"")</f>
        <v/>
      </c>
      <c r="I15" s="2"/>
      <c r="J15" s="2"/>
    </row>
    <row r="16" customFormat="false" ht="15" hidden="false" customHeight="false" outlineLevel="0" collapsed="false">
      <c r="A16" s="26" t="str">
        <f aca="false">IF($H16="","",INDEX(_Helpers!$A$2:$A$91,$H16-2+1))</f>
        <v/>
      </c>
      <c r="B16" s="26" t="str">
        <f aca="false">IF($H16="","",INDEX(_Helpers!$D$2:$D$91,$H16-2+1))</f>
        <v/>
      </c>
      <c r="C16" s="27" t="str">
        <f aca="false">IF($H16="","",INDEX(_Helpers!$B$2:$B$91,$H16-2+1))</f>
        <v/>
      </c>
      <c r="D16" s="27" t="str">
        <f aca="false">IF($H16="","",INDEX(_Helpers!$C$2:$C$91,$H16-2+1))</f>
        <v/>
      </c>
      <c r="E16" s="27" t="str">
        <f aca="false">IF($H16="","",INDEX(_Helpers!$L$2:$L$91,$H16-2+1))</f>
        <v/>
      </c>
      <c r="F16" s="28" t="str">
        <f aca="false">IF($H16="","",INDEX(_Helpers!$M$2:$M$91,$H16-2+1))</f>
        <v/>
      </c>
      <c r="G16" s="2"/>
      <c r="H16" s="25" t="str">
        <f aca="false" t="array" ref="H16:H16">IFERROR(SMALL(IF(_Helpers!$E$2:$E$91=1,ROW(_Helpers!$E$2:$E$91)),ROWS($A$4:A16)),"")</f>
        <v/>
      </c>
      <c r="I16" s="2"/>
      <c r="J16" s="2"/>
    </row>
    <row r="17" customFormat="false" ht="15" hidden="false" customHeight="false" outlineLevel="0" collapsed="false">
      <c r="A17" s="26" t="str">
        <f aca="false">IF($H17="","",INDEX(_Helpers!$A$2:$A$91,$H17-2+1))</f>
        <v/>
      </c>
      <c r="B17" s="26" t="str">
        <f aca="false">IF($H17="","",INDEX(_Helpers!$D$2:$D$91,$H17-2+1))</f>
        <v/>
      </c>
      <c r="C17" s="27" t="str">
        <f aca="false">IF($H17="","",INDEX(_Helpers!$B$2:$B$91,$H17-2+1))</f>
        <v/>
      </c>
      <c r="D17" s="27" t="str">
        <f aca="false">IF($H17="","",INDEX(_Helpers!$C$2:$C$91,$H17-2+1))</f>
        <v/>
      </c>
      <c r="E17" s="27" t="str">
        <f aca="false">IF($H17="","",INDEX(_Helpers!$L$2:$L$91,$H17-2+1))</f>
        <v/>
      </c>
      <c r="F17" s="28" t="str">
        <f aca="false">IF($H17="","",INDEX(_Helpers!$M$2:$M$91,$H17-2+1))</f>
        <v/>
      </c>
      <c r="G17" s="2"/>
      <c r="H17" s="25" t="str">
        <f aca="false" t="array" ref="H17:H17">IFERROR(SMALL(IF(_Helpers!$E$2:$E$91=1,ROW(_Helpers!$E$2:$E$91)),ROWS($A$4:A17)),"")</f>
        <v/>
      </c>
      <c r="I17" s="2"/>
      <c r="J17" s="2"/>
    </row>
    <row r="18" customFormat="false" ht="15" hidden="false" customHeight="false" outlineLevel="0" collapsed="false">
      <c r="A18" s="26" t="str">
        <f aca="false">IF($H18="","",INDEX(_Helpers!$A$2:$A$91,$H18-2+1))</f>
        <v/>
      </c>
      <c r="B18" s="26" t="str">
        <f aca="false">IF($H18="","",INDEX(_Helpers!$D$2:$D$91,$H18-2+1))</f>
        <v/>
      </c>
      <c r="C18" s="27" t="str">
        <f aca="false">IF($H18="","",INDEX(_Helpers!$B$2:$B$91,$H18-2+1))</f>
        <v/>
      </c>
      <c r="D18" s="27" t="str">
        <f aca="false">IF($H18="","",INDEX(_Helpers!$C$2:$C$91,$H18-2+1))</f>
        <v/>
      </c>
      <c r="E18" s="27" t="str">
        <f aca="false">IF($H18="","",INDEX(_Helpers!$L$2:$L$91,$H18-2+1))</f>
        <v/>
      </c>
      <c r="F18" s="28" t="str">
        <f aca="false">IF($H18="","",INDEX(_Helpers!$M$2:$M$91,$H18-2+1))</f>
        <v/>
      </c>
      <c r="G18" s="2"/>
      <c r="H18" s="25" t="str">
        <f aca="false" t="array" ref="H18:H18">IFERROR(SMALL(IF(_Helpers!$E$2:$E$91=1,ROW(_Helpers!$E$2:$E$91)),ROWS($A$4:A18)),"")</f>
        <v/>
      </c>
      <c r="I18" s="2"/>
      <c r="J18" s="2"/>
    </row>
    <row r="19" customFormat="false" ht="15" hidden="false" customHeight="false" outlineLevel="0" collapsed="false">
      <c r="A19" s="26" t="str">
        <f aca="false">IF($H19="","",INDEX(_Helpers!$A$2:$A$91,$H19-2+1))</f>
        <v/>
      </c>
      <c r="B19" s="26" t="str">
        <f aca="false">IF($H19="","",INDEX(_Helpers!$D$2:$D$91,$H19-2+1))</f>
        <v/>
      </c>
      <c r="C19" s="27" t="str">
        <f aca="false">IF($H19="","",INDEX(_Helpers!$B$2:$B$91,$H19-2+1))</f>
        <v/>
      </c>
      <c r="D19" s="27" t="str">
        <f aca="false">IF($H19="","",INDEX(_Helpers!$C$2:$C$91,$H19-2+1))</f>
        <v/>
      </c>
      <c r="E19" s="27" t="str">
        <f aca="false">IF($H19="","",INDEX(_Helpers!$L$2:$L$91,$H19-2+1))</f>
        <v/>
      </c>
      <c r="F19" s="28" t="str">
        <f aca="false">IF($H19="","",INDEX(_Helpers!$M$2:$M$91,$H19-2+1))</f>
        <v/>
      </c>
      <c r="G19" s="2"/>
      <c r="H19" s="25" t="str">
        <f aca="false" t="array" ref="H19:H19">IFERROR(SMALL(IF(_Helpers!$E$2:$E$91=1,ROW(_Helpers!$E$2:$E$91)),ROWS($A$4:A19)),"")</f>
        <v/>
      </c>
      <c r="I19" s="2"/>
      <c r="J19" s="2"/>
    </row>
    <row r="20" customFormat="false" ht="15" hidden="false" customHeight="false" outlineLevel="0" collapsed="false">
      <c r="A20" s="26" t="str">
        <f aca="false">IF($H20="","",INDEX(_Helpers!$A$2:$A$91,$H20-2+1))</f>
        <v/>
      </c>
      <c r="B20" s="26" t="str">
        <f aca="false">IF($H20="","",INDEX(_Helpers!$D$2:$D$91,$H20-2+1))</f>
        <v/>
      </c>
      <c r="C20" s="27" t="str">
        <f aca="false">IF($H20="","",INDEX(_Helpers!$B$2:$B$91,$H20-2+1))</f>
        <v/>
      </c>
      <c r="D20" s="27" t="str">
        <f aca="false">IF($H20="","",INDEX(_Helpers!$C$2:$C$91,$H20-2+1))</f>
        <v/>
      </c>
      <c r="E20" s="27" t="str">
        <f aca="false">IF($H20="","",INDEX(_Helpers!$L$2:$L$91,$H20-2+1))</f>
        <v/>
      </c>
      <c r="F20" s="28" t="str">
        <f aca="false">IF($H20="","",INDEX(_Helpers!$M$2:$M$91,$H20-2+1))</f>
        <v/>
      </c>
      <c r="G20" s="2"/>
      <c r="H20" s="25" t="str">
        <f aca="false" t="array" ref="H20:H20">IFERROR(SMALL(IF(_Helpers!$E$2:$E$91=1,ROW(_Helpers!$E$2:$E$91)),ROWS($A$4:A20)),"")</f>
        <v/>
      </c>
      <c r="I20" s="2"/>
      <c r="J20" s="2"/>
    </row>
    <row r="21" customFormat="false" ht="15" hidden="false" customHeight="false" outlineLevel="0" collapsed="false">
      <c r="A21" s="26" t="str">
        <f aca="false">IF($H21="","",INDEX(_Helpers!$A$2:$A$91,$H21-2+1))</f>
        <v/>
      </c>
      <c r="B21" s="26" t="str">
        <f aca="false">IF($H21="","",INDEX(_Helpers!$D$2:$D$91,$H21-2+1))</f>
        <v/>
      </c>
      <c r="C21" s="27" t="str">
        <f aca="false">IF($H21="","",INDEX(_Helpers!$B$2:$B$91,$H21-2+1))</f>
        <v/>
      </c>
      <c r="D21" s="27" t="str">
        <f aca="false">IF($H21="","",INDEX(_Helpers!$C$2:$C$91,$H21-2+1))</f>
        <v/>
      </c>
      <c r="E21" s="27" t="str">
        <f aca="false">IF($H21="","",INDEX(_Helpers!$L$2:$L$91,$H21-2+1))</f>
        <v/>
      </c>
      <c r="F21" s="28" t="str">
        <f aca="false">IF($H21="","",INDEX(_Helpers!$M$2:$M$91,$H21-2+1))</f>
        <v/>
      </c>
      <c r="G21" s="2"/>
      <c r="H21" s="25" t="str">
        <f aca="false" t="array" ref="H21:H21">IFERROR(SMALL(IF(_Helpers!$E$2:$E$91=1,ROW(_Helpers!$E$2:$E$91)),ROWS($A$4:A21)),"")</f>
        <v/>
      </c>
      <c r="I21" s="2"/>
      <c r="J21" s="2"/>
    </row>
    <row r="22" customFormat="false" ht="15" hidden="false" customHeight="false" outlineLevel="0" collapsed="false">
      <c r="A22" s="26" t="str">
        <f aca="false">IF($H22="","",INDEX(_Helpers!$A$2:$A$91,$H22-2+1))</f>
        <v/>
      </c>
      <c r="B22" s="26" t="str">
        <f aca="false">IF($H22="","",INDEX(_Helpers!$D$2:$D$91,$H22-2+1))</f>
        <v/>
      </c>
      <c r="C22" s="27" t="str">
        <f aca="false">IF($H22="","",INDEX(_Helpers!$B$2:$B$91,$H22-2+1))</f>
        <v/>
      </c>
      <c r="D22" s="27" t="str">
        <f aca="false">IF($H22="","",INDEX(_Helpers!$C$2:$C$91,$H22-2+1))</f>
        <v/>
      </c>
      <c r="E22" s="27" t="str">
        <f aca="false">IF($H22="","",INDEX(_Helpers!$L$2:$L$91,$H22-2+1))</f>
        <v/>
      </c>
      <c r="F22" s="28" t="str">
        <f aca="false">IF($H22="","",INDEX(_Helpers!$M$2:$M$91,$H22-2+1))</f>
        <v/>
      </c>
      <c r="G22" s="2"/>
      <c r="H22" s="25" t="str">
        <f aca="false" t="array" ref="H22:H22">IFERROR(SMALL(IF(_Helpers!$E$2:$E$91=1,ROW(_Helpers!$E$2:$E$91)),ROWS($A$4:A22)),"")</f>
        <v/>
      </c>
      <c r="I22" s="2"/>
      <c r="J22" s="2"/>
    </row>
    <row r="23" customFormat="false" ht="15" hidden="false" customHeight="false" outlineLevel="0" collapsed="false">
      <c r="A23" s="26" t="str">
        <f aca="false">IF($H23="","",INDEX(_Helpers!$A$2:$A$91,$H23-2+1))</f>
        <v/>
      </c>
      <c r="B23" s="26" t="str">
        <f aca="false">IF($H23="","",INDEX(_Helpers!$D$2:$D$91,$H23-2+1))</f>
        <v/>
      </c>
      <c r="C23" s="27" t="str">
        <f aca="false">IF($H23="","",INDEX(_Helpers!$B$2:$B$91,$H23-2+1))</f>
        <v/>
      </c>
      <c r="D23" s="27" t="str">
        <f aca="false">IF($H23="","",INDEX(_Helpers!$C$2:$C$91,$H23-2+1))</f>
        <v/>
      </c>
      <c r="E23" s="27" t="str">
        <f aca="false">IF($H23="","",INDEX(_Helpers!$L$2:$L$91,$H23-2+1))</f>
        <v/>
      </c>
      <c r="F23" s="28" t="str">
        <f aca="false">IF($H23="","",INDEX(_Helpers!$M$2:$M$91,$H23-2+1))</f>
        <v/>
      </c>
      <c r="G23" s="2"/>
      <c r="H23" s="25" t="str">
        <f aca="false" t="array" ref="H23:H23">IFERROR(SMALL(IF(_Helpers!$E$2:$E$91=1,ROW(_Helpers!$E$2:$E$91)),ROWS($A$4:A23)),"")</f>
        <v/>
      </c>
      <c r="I23" s="2"/>
      <c r="J23" s="2"/>
    </row>
    <row r="24" customFormat="false" ht="15" hidden="false" customHeight="false" outlineLevel="0" collapsed="false">
      <c r="A24" s="26" t="str">
        <f aca="false">IF($H24="","",INDEX(_Helpers!$A$2:$A$91,$H24-2+1))</f>
        <v/>
      </c>
      <c r="B24" s="26" t="str">
        <f aca="false">IF($H24="","",INDEX(_Helpers!$D$2:$D$91,$H24-2+1))</f>
        <v/>
      </c>
      <c r="C24" s="27" t="str">
        <f aca="false">IF($H24="","",INDEX(_Helpers!$B$2:$B$91,$H24-2+1))</f>
        <v/>
      </c>
      <c r="D24" s="27" t="str">
        <f aca="false">IF($H24="","",INDEX(_Helpers!$C$2:$C$91,$H24-2+1))</f>
        <v/>
      </c>
      <c r="E24" s="27" t="str">
        <f aca="false">IF($H24="","",INDEX(_Helpers!$L$2:$L$91,$H24-2+1))</f>
        <v/>
      </c>
      <c r="F24" s="28" t="str">
        <f aca="false">IF($H24="","",INDEX(_Helpers!$M$2:$M$91,$H24-2+1))</f>
        <v/>
      </c>
      <c r="G24" s="2"/>
      <c r="H24" s="25" t="str">
        <f aca="false" t="array" ref="H24:H24">IFERROR(SMALL(IF(_Helpers!$E$2:$E$91=1,ROW(_Helpers!$E$2:$E$91)),ROWS($A$4:A24)),"")</f>
        <v/>
      </c>
      <c r="I24" s="2"/>
      <c r="J24" s="2"/>
    </row>
    <row r="25" customFormat="false" ht="15" hidden="false" customHeight="false" outlineLevel="0" collapsed="false">
      <c r="A25" s="26" t="str">
        <f aca="false">IF($H25="","",INDEX(_Helpers!$A$2:$A$91,$H25-2+1))</f>
        <v/>
      </c>
      <c r="B25" s="26" t="str">
        <f aca="false">IF($H25="","",INDEX(_Helpers!$D$2:$D$91,$H25-2+1))</f>
        <v/>
      </c>
      <c r="C25" s="27" t="str">
        <f aca="false">IF($H25="","",INDEX(_Helpers!$B$2:$B$91,$H25-2+1))</f>
        <v/>
      </c>
      <c r="D25" s="27" t="str">
        <f aca="false">IF($H25="","",INDEX(_Helpers!$C$2:$C$91,$H25-2+1))</f>
        <v/>
      </c>
      <c r="E25" s="27" t="str">
        <f aca="false">IF($H25="","",INDEX(_Helpers!$L$2:$L$91,$H25-2+1))</f>
        <v/>
      </c>
      <c r="F25" s="28" t="str">
        <f aca="false">IF($H25="","",INDEX(_Helpers!$M$2:$M$91,$H25-2+1))</f>
        <v/>
      </c>
      <c r="G25" s="2"/>
      <c r="H25" s="25" t="str">
        <f aca="false" t="array" ref="H25:H25">IFERROR(SMALL(IF(_Helpers!$E$2:$E$91=1,ROW(_Helpers!$E$2:$E$91)),ROWS($A$4:A25)),"")</f>
        <v/>
      </c>
      <c r="I25" s="2"/>
      <c r="J25" s="2"/>
    </row>
    <row r="26" customFormat="false" ht="15" hidden="false" customHeight="false" outlineLevel="0" collapsed="false">
      <c r="A26" s="26" t="str">
        <f aca="false">IF($H26="","",INDEX(_Helpers!$A$2:$A$91,$H26-2+1))</f>
        <v/>
      </c>
      <c r="B26" s="26" t="str">
        <f aca="false">IF($H26="","",INDEX(_Helpers!$D$2:$D$91,$H26-2+1))</f>
        <v/>
      </c>
      <c r="C26" s="27" t="str">
        <f aca="false">IF($H26="","",INDEX(_Helpers!$B$2:$B$91,$H26-2+1))</f>
        <v/>
      </c>
      <c r="D26" s="27" t="str">
        <f aca="false">IF($H26="","",INDEX(_Helpers!$C$2:$C$91,$H26-2+1))</f>
        <v/>
      </c>
      <c r="E26" s="27" t="str">
        <f aca="false">IF($H26="","",INDEX(_Helpers!$L$2:$L$91,$H26-2+1))</f>
        <v/>
      </c>
      <c r="F26" s="28" t="str">
        <f aca="false">IF($H26="","",INDEX(_Helpers!$M$2:$M$91,$H26-2+1))</f>
        <v/>
      </c>
      <c r="G26" s="2"/>
      <c r="H26" s="25" t="str">
        <f aca="false" t="array" ref="H26:H26">IFERROR(SMALL(IF(_Helpers!$E$2:$E$91=1,ROW(_Helpers!$E$2:$E$91)),ROWS($A$4:A26)),"")</f>
        <v/>
      </c>
      <c r="I26" s="2"/>
      <c r="J26" s="2"/>
    </row>
    <row r="27" customFormat="false" ht="15" hidden="false" customHeight="false" outlineLevel="0" collapsed="false">
      <c r="A27" s="26" t="str">
        <f aca="false">IF($H27="","",INDEX(_Helpers!$A$2:$A$91,$H27-2+1))</f>
        <v/>
      </c>
      <c r="B27" s="26" t="str">
        <f aca="false">IF($H27="","",INDEX(_Helpers!$D$2:$D$91,$H27-2+1))</f>
        <v/>
      </c>
      <c r="C27" s="27" t="str">
        <f aca="false">IF($H27="","",INDEX(_Helpers!$B$2:$B$91,$H27-2+1))</f>
        <v/>
      </c>
      <c r="D27" s="27" t="str">
        <f aca="false">IF($H27="","",INDEX(_Helpers!$C$2:$C$91,$H27-2+1))</f>
        <v/>
      </c>
      <c r="E27" s="27" t="str">
        <f aca="false">IF($H27="","",INDEX(_Helpers!$L$2:$L$91,$H27-2+1))</f>
        <v/>
      </c>
      <c r="F27" s="28" t="str">
        <f aca="false">IF($H27="","",INDEX(_Helpers!$M$2:$M$91,$H27-2+1))</f>
        <v/>
      </c>
      <c r="G27" s="2"/>
      <c r="H27" s="25" t="str">
        <f aca="false" t="array" ref="H27:H27">IFERROR(SMALL(IF(_Helpers!$E$2:$E$91=1,ROW(_Helpers!$E$2:$E$91)),ROWS($A$4:A27)),"")</f>
        <v/>
      </c>
      <c r="I27" s="2"/>
      <c r="J27" s="2"/>
    </row>
    <row r="28" customFormat="false" ht="15" hidden="false" customHeight="false" outlineLevel="0" collapsed="false">
      <c r="A28" s="26" t="str">
        <f aca="false">IF($H28="","",INDEX(_Helpers!$A$2:$A$91,$H28-2+1))</f>
        <v/>
      </c>
      <c r="B28" s="26" t="str">
        <f aca="false">IF($H28="","",INDEX(_Helpers!$D$2:$D$91,$H28-2+1))</f>
        <v/>
      </c>
      <c r="C28" s="27" t="str">
        <f aca="false">IF($H28="","",INDEX(_Helpers!$B$2:$B$91,$H28-2+1))</f>
        <v/>
      </c>
      <c r="D28" s="27" t="str">
        <f aca="false">IF($H28="","",INDEX(_Helpers!$C$2:$C$91,$H28-2+1))</f>
        <v/>
      </c>
      <c r="E28" s="27" t="str">
        <f aca="false">IF($H28="","",INDEX(_Helpers!$L$2:$L$91,$H28-2+1))</f>
        <v/>
      </c>
      <c r="F28" s="28" t="str">
        <f aca="false">IF($H28="","",INDEX(_Helpers!$M$2:$M$91,$H28-2+1))</f>
        <v/>
      </c>
      <c r="G28" s="2"/>
      <c r="H28" s="25" t="str">
        <f aca="false" t="array" ref="H28:H28">IFERROR(SMALL(IF(_Helpers!$E$2:$E$91=1,ROW(_Helpers!$E$2:$E$91)),ROWS($A$4:A28)),"")</f>
        <v/>
      </c>
      <c r="I28" s="2"/>
      <c r="J28" s="2"/>
    </row>
    <row r="29" customFormat="false" ht="15" hidden="false" customHeight="false" outlineLevel="0" collapsed="false">
      <c r="A29" s="26" t="str">
        <f aca="false">IF($H29="","",INDEX(_Helpers!$A$2:$A$91,$H29-2+1))</f>
        <v/>
      </c>
      <c r="B29" s="26" t="str">
        <f aca="false">IF($H29="","",INDEX(_Helpers!$D$2:$D$91,$H29-2+1))</f>
        <v/>
      </c>
      <c r="C29" s="27" t="str">
        <f aca="false">IF($H29="","",INDEX(_Helpers!$B$2:$B$91,$H29-2+1))</f>
        <v/>
      </c>
      <c r="D29" s="27" t="str">
        <f aca="false">IF($H29="","",INDEX(_Helpers!$C$2:$C$91,$H29-2+1))</f>
        <v/>
      </c>
      <c r="E29" s="27" t="str">
        <f aca="false">IF($H29="","",INDEX(_Helpers!$L$2:$L$91,$H29-2+1))</f>
        <v/>
      </c>
      <c r="F29" s="28" t="str">
        <f aca="false">IF($H29="","",INDEX(_Helpers!$M$2:$M$91,$H29-2+1))</f>
        <v/>
      </c>
      <c r="G29" s="2"/>
      <c r="H29" s="25" t="str">
        <f aca="false" t="array" ref="H29:H29">IFERROR(SMALL(IF(_Helpers!$E$2:$E$91=1,ROW(_Helpers!$E$2:$E$91)),ROWS($A$4:A29)),"")</f>
        <v/>
      </c>
      <c r="I29" s="2"/>
      <c r="J29" s="2"/>
    </row>
    <row r="30" customFormat="false" ht="15" hidden="false" customHeight="false" outlineLevel="0" collapsed="false">
      <c r="A30" s="26" t="str">
        <f aca="false">IF($H30="","",INDEX(_Helpers!$A$2:$A$91,$H30-2+1))</f>
        <v/>
      </c>
      <c r="B30" s="26" t="str">
        <f aca="false">IF($H30="","",INDEX(_Helpers!$D$2:$D$91,$H30-2+1))</f>
        <v/>
      </c>
      <c r="C30" s="27" t="str">
        <f aca="false">IF($H30="","",INDEX(_Helpers!$B$2:$B$91,$H30-2+1))</f>
        <v/>
      </c>
      <c r="D30" s="27" t="str">
        <f aca="false">IF($H30="","",INDEX(_Helpers!$C$2:$C$91,$H30-2+1))</f>
        <v/>
      </c>
      <c r="E30" s="27" t="str">
        <f aca="false">IF($H30="","",INDEX(_Helpers!$L$2:$L$91,$H30-2+1))</f>
        <v/>
      </c>
      <c r="F30" s="28" t="str">
        <f aca="false">IF($H30="","",INDEX(_Helpers!$M$2:$M$91,$H30-2+1))</f>
        <v/>
      </c>
      <c r="G30" s="2"/>
      <c r="H30" s="25" t="str">
        <f aca="false" t="array" ref="H30:H30">IFERROR(SMALL(IF(_Helpers!$E$2:$E$91=1,ROW(_Helpers!$E$2:$E$91)),ROWS($A$4:A30)),"")</f>
        <v/>
      </c>
      <c r="I30" s="2"/>
      <c r="J30" s="2"/>
    </row>
    <row r="31" customFormat="false" ht="15" hidden="false" customHeight="false" outlineLevel="0" collapsed="false">
      <c r="A31" s="26" t="str">
        <f aca="false">IF($H31="","",INDEX(_Helpers!$A$2:$A$91,$H31-2+1))</f>
        <v/>
      </c>
      <c r="B31" s="26" t="str">
        <f aca="false">IF($H31="","",INDEX(_Helpers!$D$2:$D$91,$H31-2+1))</f>
        <v/>
      </c>
      <c r="C31" s="27" t="str">
        <f aca="false">IF($H31="","",INDEX(_Helpers!$B$2:$B$91,$H31-2+1))</f>
        <v/>
      </c>
      <c r="D31" s="27" t="str">
        <f aca="false">IF($H31="","",INDEX(_Helpers!$C$2:$C$91,$H31-2+1))</f>
        <v/>
      </c>
      <c r="E31" s="27" t="str">
        <f aca="false">IF($H31="","",INDEX(_Helpers!$L$2:$L$91,$H31-2+1))</f>
        <v/>
      </c>
      <c r="F31" s="28" t="str">
        <f aca="false">IF($H31="","",INDEX(_Helpers!$M$2:$M$91,$H31-2+1))</f>
        <v/>
      </c>
      <c r="G31" s="2"/>
      <c r="H31" s="25" t="str">
        <f aca="false" t="array" ref="H31:H31">IFERROR(SMALL(IF(_Helpers!$E$2:$E$91=1,ROW(_Helpers!$E$2:$E$91)),ROWS($A$4:A31)),"")</f>
        <v/>
      </c>
      <c r="I31" s="2"/>
      <c r="J31" s="2"/>
    </row>
    <row r="32" customFormat="false" ht="15" hidden="false" customHeight="false" outlineLevel="0" collapsed="false">
      <c r="A32" s="26" t="str">
        <f aca="false">IF($H32="","",INDEX(_Helpers!$A$2:$A$91,$H32-2+1))</f>
        <v/>
      </c>
      <c r="B32" s="26" t="str">
        <f aca="false">IF($H32="","",INDEX(_Helpers!$D$2:$D$91,$H32-2+1))</f>
        <v/>
      </c>
      <c r="C32" s="27" t="str">
        <f aca="false">IF($H32="","",INDEX(_Helpers!$B$2:$B$91,$H32-2+1))</f>
        <v/>
      </c>
      <c r="D32" s="27" t="str">
        <f aca="false">IF($H32="","",INDEX(_Helpers!$C$2:$C$91,$H32-2+1))</f>
        <v/>
      </c>
      <c r="E32" s="27" t="str">
        <f aca="false">IF($H32="","",INDEX(_Helpers!$L$2:$L$91,$H32-2+1))</f>
        <v/>
      </c>
      <c r="F32" s="28" t="str">
        <f aca="false">IF($H32="","",INDEX(_Helpers!$M$2:$M$91,$H32-2+1))</f>
        <v/>
      </c>
      <c r="G32" s="2"/>
      <c r="H32" s="25" t="str">
        <f aca="false" t="array" ref="H32:H32">IFERROR(SMALL(IF(_Helpers!$E$2:$E$91=1,ROW(_Helpers!$E$2:$E$91)),ROWS($A$4:A32)),"")</f>
        <v/>
      </c>
      <c r="I32" s="2"/>
      <c r="J32" s="2"/>
    </row>
    <row r="33" customFormat="false" ht="15" hidden="false" customHeight="false" outlineLevel="0" collapsed="false">
      <c r="A33" s="26" t="str">
        <f aca="false">IF($H33="","",INDEX(_Helpers!$A$2:$A$91,$H33-2+1))</f>
        <v/>
      </c>
      <c r="B33" s="26" t="str">
        <f aca="false">IF($H33="","",INDEX(_Helpers!$D$2:$D$91,$H33-2+1))</f>
        <v/>
      </c>
      <c r="C33" s="27" t="str">
        <f aca="false">IF($H33="","",INDEX(_Helpers!$B$2:$B$91,$H33-2+1))</f>
        <v/>
      </c>
      <c r="D33" s="27" t="str">
        <f aca="false">IF($H33="","",INDEX(_Helpers!$C$2:$C$91,$H33-2+1))</f>
        <v/>
      </c>
      <c r="E33" s="27" t="str">
        <f aca="false">IF($H33="","",INDEX(_Helpers!$L$2:$L$91,$H33-2+1))</f>
        <v/>
      </c>
      <c r="F33" s="28" t="str">
        <f aca="false">IF($H33="","",INDEX(_Helpers!$M$2:$M$91,$H33-2+1))</f>
        <v/>
      </c>
      <c r="G33" s="2"/>
      <c r="H33" s="25" t="str">
        <f aca="false" t="array" ref="H33:H33">IFERROR(SMALL(IF(_Helpers!$E$2:$E$91=1,ROW(_Helpers!$E$2:$E$91)),ROWS($A$4:A33)),"")</f>
        <v/>
      </c>
      <c r="I33" s="2"/>
      <c r="J33" s="2"/>
    </row>
    <row r="34" customFormat="false" ht="15" hidden="false" customHeight="false" outlineLevel="0" collapsed="false">
      <c r="A34" s="26" t="str">
        <f aca="false">IF($H34="","",INDEX(_Helpers!$A$2:$A$91,$H34-2+1))</f>
        <v/>
      </c>
      <c r="B34" s="26" t="str">
        <f aca="false">IF($H34="","",INDEX(_Helpers!$D$2:$D$91,$H34-2+1))</f>
        <v/>
      </c>
      <c r="C34" s="27" t="str">
        <f aca="false">IF($H34="","",INDEX(_Helpers!$B$2:$B$91,$H34-2+1))</f>
        <v/>
      </c>
      <c r="D34" s="27" t="str">
        <f aca="false">IF($H34="","",INDEX(_Helpers!$C$2:$C$91,$H34-2+1))</f>
        <v/>
      </c>
      <c r="E34" s="27" t="str">
        <f aca="false">IF($H34="","",INDEX(_Helpers!$L$2:$L$91,$H34-2+1))</f>
        <v/>
      </c>
      <c r="F34" s="28" t="str">
        <f aca="false">IF($H34="","",INDEX(_Helpers!$M$2:$M$91,$H34-2+1))</f>
        <v/>
      </c>
      <c r="G34" s="2"/>
      <c r="H34" s="25" t="str">
        <f aca="false" t="array" ref="H34:H34">IFERROR(SMALL(IF(_Helpers!$E$2:$E$91=1,ROW(_Helpers!$E$2:$E$91)),ROWS($A$4:A34)),"")</f>
        <v/>
      </c>
      <c r="I34" s="2"/>
      <c r="J34" s="2"/>
    </row>
    <row r="35" customFormat="false" ht="15" hidden="false" customHeight="false" outlineLevel="0" collapsed="false">
      <c r="A35" s="26" t="str">
        <f aca="false">IF($H35="","",INDEX(_Helpers!$A$2:$A$91,$H35-2+1))</f>
        <v/>
      </c>
      <c r="B35" s="26" t="str">
        <f aca="false">IF($H35="","",INDEX(_Helpers!$D$2:$D$91,$H35-2+1))</f>
        <v/>
      </c>
      <c r="C35" s="27" t="str">
        <f aca="false">IF($H35="","",INDEX(_Helpers!$B$2:$B$91,$H35-2+1))</f>
        <v/>
      </c>
      <c r="D35" s="27" t="str">
        <f aca="false">IF($H35="","",INDEX(_Helpers!$C$2:$C$91,$H35-2+1))</f>
        <v/>
      </c>
      <c r="E35" s="27" t="str">
        <f aca="false">IF($H35="","",INDEX(_Helpers!$L$2:$L$91,$H35-2+1))</f>
        <v/>
      </c>
      <c r="F35" s="28" t="str">
        <f aca="false">IF($H35="","",INDEX(_Helpers!$M$2:$M$91,$H35-2+1))</f>
        <v/>
      </c>
      <c r="G35" s="2"/>
      <c r="H35" s="25" t="str">
        <f aca="false" t="array" ref="H35:H35">IFERROR(SMALL(IF(_Helpers!$E$2:$E$91=1,ROW(_Helpers!$E$2:$E$91)),ROWS($A$4:A35)),"")</f>
        <v/>
      </c>
      <c r="I35" s="2"/>
      <c r="J35" s="2"/>
    </row>
    <row r="36" customFormat="false" ht="15" hidden="false" customHeight="false" outlineLevel="0" collapsed="false">
      <c r="A36" s="26" t="str">
        <f aca="false">IF($H36="","",INDEX(_Helpers!$A$2:$A$91,$H36-2+1))</f>
        <v/>
      </c>
      <c r="B36" s="26" t="str">
        <f aca="false">IF($H36="","",INDEX(_Helpers!$D$2:$D$91,$H36-2+1))</f>
        <v/>
      </c>
      <c r="C36" s="27" t="str">
        <f aca="false">IF($H36="","",INDEX(_Helpers!$B$2:$B$91,$H36-2+1))</f>
        <v/>
      </c>
      <c r="D36" s="27" t="str">
        <f aca="false">IF($H36="","",INDEX(_Helpers!$C$2:$C$91,$H36-2+1))</f>
        <v/>
      </c>
      <c r="E36" s="27" t="str">
        <f aca="false">IF($H36="","",INDEX(_Helpers!$L$2:$L$91,$H36-2+1))</f>
        <v/>
      </c>
      <c r="F36" s="28" t="str">
        <f aca="false">IF($H36="","",INDEX(_Helpers!$M$2:$M$91,$H36-2+1))</f>
        <v/>
      </c>
      <c r="G36" s="2"/>
      <c r="H36" s="25" t="str">
        <f aca="false" t="array" ref="H36:H36">IFERROR(SMALL(IF(_Helpers!$E$2:$E$91=1,ROW(_Helpers!$E$2:$E$91)),ROWS($A$4:A36)),"")</f>
        <v/>
      </c>
      <c r="I36" s="2"/>
      <c r="J36" s="2"/>
    </row>
    <row r="37" customFormat="false" ht="15" hidden="false" customHeight="false" outlineLevel="0" collapsed="false">
      <c r="A37" s="26" t="str">
        <f aca="false">IF($H37="","",INDEX(_Helpers!$A$2:$A$91,$H37-2+1))</f>
        <v/>
      </c>
      <c r="B37" s="26" t="str">
        <f aca="false">IF($H37="","",INDEX(_Helpers!$D$2:$D$91,$H37-2+1))</f>
        <v/>
      </c>
      <c r="C37" s="27" t="str">
        <f aca="false">IF($H37="","",INDEX(_Helpers!$B$2:$B$91,$H37-2+1))</f>
        <v/>
      </c>
      <c r="D37" s="27" t="str">
        <f aca="false">IF($H37="","",INDEX(_Helpers!$C$2:$C$91,$H37-2+1))</f>
        <v/>
      </c>
      <c r="E37" s="27" t="str">
        <f aca="false">IF($H37="","",INDEX(_Helpers!$L$2:$L$91,$H37-2+1))</f>
        <v/>
      </c>
      <c r="F37" s="28" t="str">
        <f aca="false">IF($H37="","",INDEX(_Helpers!$M$2:$M$91,$H37-2+1))</f>
        <v/>
      </c>
      <c r="G37" s="2"/>
      <c r="H37" s="25" t="str">
        <f aca="false" t="array" ref="H37:H37">IFERROR(SMALL(IF(_Helpers!$E$2:$E$91=1,ROW(_Helpers!$E$2:$E$91)),ROWS($A$4:A37)),"")</f>
        <v/>
      </c>
      <c r="I37" s="2"/>
      <c r="J37" s="2"/>
    </row>
    <row r="38" customFormat="false" ht="15" hidden="false" customHeight="false" outlineLevel="0" collapsed="false">
      <c r="A38" s="26" t="str">
        <f aca="false">IF($H38="","",INDEX(_Helpers!$A$2:$A$91,$H38-2+1))</f>
        <v/>
      </c>
      <c r="B38" s="26" t="str">
        <f aca="false">IF($H38="","",INDEX(_Helpers!$D$2:$D$91,$H38-2+1))</f>
        <v/>
      </c>
      <c r="C38" s="27" t="str">
        <f aca="false">IF($H38="","",INDEX(_Helpers!$B$2:$B$91,$H38-2+1))</f>
        <v/>
      </c>
      <c r="D38" s="27" t="str">
        <f aca="false">IF($H38="","",INDEX(_Helpers!$C$2:$C$91,$H38-2+1))</f>
        <v/>
      </c>
      <c r="E38" s="27" t="str">
        <f aca="false">IF($H38="","",INDEX(_Helpers!$L$2:$L$91,$H38-2+1))</f>
        <v/>
      </c>
      <c r="F38" s="28" t="str">
        <f aca="false">IF($H38="","",INDEX(_Helpers!$M$2:$M$91,$H38-2+1))</f>
        <v/>
      </c>
      <c r="G38" s="2"/>
      <c r="H38" s="25" t="str">
        <f aca="false" t="array" ref="H38:H38">IFERROR(SMALL(IF(_Helpers!$E$2:$E$91=1,ROW(_Helpers!$E$2:$E$91)),ROWS($A$4:A38)),"")</f>
        <v/>
      </c>
      <c r="I38" s="2"/>
      <c r="J38" s="2"/>
    </row>
    <row r="39" customFormat="false" ht="15" hidden="false" customHeight="false" outlineLevel="0" collapsed="false">
      <c r="A39" s="26" t="str">
        <f aca="false">IF($H39="","",INDEX(_Helpers!$A$2:$A$91,$H39-2+1))</f>
        <v/>
      </c>
      <c r="B39" s="26" t="str">
        <f aca="false">IF($H39="","",INDEX(_Helpers!$D$2:$D$91,$H39-2+1))</f>
        <v/>
      </c>
      <c r="C39" s="27" t="str">
        <f aca="false">IF($H39="","",INDEX(_Helpers!$B$2:$B$91,$H39-2+1))</f>
        <v/>
      </c>
      <c r="D39" s="27" t="str">
        <f aca="false">IF($H39="","",INDEX(_Helpers!$C$2:$C$91,$H39-2+1))</f>
        <v/>
      </c>
      <c r="E39" s="27" t="str">
        <f aca="false">IF($H39="","",INDEX(_Helpers!$L$2:$L$91,$H39-2+1))</f>
        <v/>
      </c>
      <c r="F39" s="28" t="str">
        <f aca="false">IF($H39="","",INDEX(_Helpers!$M$2:$M$91,$H39-2+1))</f>
        <v/>
      </c>
      <c r="G39" s="2"/>
      <c r="H39" s="25" t="str">
        <f aca="false" t="array" ref="H39:H39">IFERROR(SMALL(IF(_Helpers!$E$2:$E$91=1,ROW(_Helpers!$E$2:$E$91)),ROWS($A$4:A39)),"")</f>
        <v/>
      </c>
      <c r="I39" s="2"/>
      <c r="J39" s="2"/>
    </row>
    <row r="40" customFormat="false" ht="15" hidden="false" customHeight="false" outlineLevel="0" collapsed="false">
      <c r="A40" s="26" t="str">
        <f aca="false">IF($H40="","",INDEX(_Helpers!$A$2:$A$91,$H40-2+1))</f>
        <v/>
      </c>
      <c r="B40" s="26" t="str">
        <f aca="false">IF($H40="","",INDEX(_Helpers!$D$2:$D$91,$H40-2+1))</f>
        <v/>
      </c>
      <c r="C40" s="27" t="str">
        <f aca="false">IF($H40="","",INDEX(_Helpers!$B$2:$B$91,$H40-2+1))</f>
        <v/>
      </c>
      <c r="D40" s="27" t="str">
        <f aca="false">IF($H40="","",INDEX(_Helpers!$C$2:$C$91,$H40-2+1))</f>
        <v/>
      </c>
      <c r="E40" s="27" t="str">
        <f aca="false">IF($H40="","",INDEX(_Helpers!$L$2:$L$91,$H40-2+1))</f>
        <v/>
      </c>
      <c r="F40" s="28" t="str">
        <f aca="false">IF($H40="","",INDEX(_Helpers!$M$2:$M$91,$H40-2+1))</f>
        <v/>
      </c>
      <c r="G40" s="2"/>
      <c r="H40" s="25" t="str">
        <f aca="false" t="array" ref="H40:H40">IFERROR(SMALL(IF(_Helpers!$E$2:$E$91=1,ROW(_Helpers!$E$2:$E$91)),ROWS($A$4:A40)),"")</f>
        <v/>
      </c>
      <c r="I40" s="2"/>
      <c r="J40" s="2"/>
    </row>
    <row r="41" customFormat="false" ht="15" hidden="false" customHeight="false" outlineLevel="0" collapsed="false">
      <c r="A41" s="26" t="str">
        <f aca="false">IF($H41="","",INDEX(_Helpers!$A$2:$A$91,$H41-2+1))</f>
        <v/>
      </c>
      <c r="B41" s="26" t="str">
        <f aca="false">IF($H41="","",INDEX(_Helpers!$D$2:$D$91,$H41-2+1))</f>
        <v/>
      </c>
      <c r="C41" s="27" t="str">
        <f aca="false">IF($H41="","",INDEX(_Helpers!$B$2:$B$91,$H41-2+1))</f>
        <v/>
      </c>
      <c r="D41" s="27" t="str">
        <f aca="false">IF($H41="","",INDEX(_Helpers!$C$2:$C$91,$H41-2+1))</f>
        <v/>
      </c>
      <c r="E41" s="27" t="str">
        <f aca="false">IF($H41="","",INDEX(_Helpers!$L$2:$L$91,$H41-2+1))</f>
        <v/>
      </c>
      <c r="F41" s="28" t="str">
        <f aca="false">IF($H41="","",INDEX(_Helpers!$M$2:$M$91,$H41-2+1))</f>
        <v/>
      </c>
      <c r="G41" s="2"/>
      <c r="H41" s="25" t="str">
        <f aca="false" t="array" ref="H41:H41">IFERROR(SMALL(IF(_Helpers!$E$2:$E$91=1,ROW(_Helpers!$E$2:$E$91)),ROWS($A$4:A41)),"")</f>
        <v/>
      </c>
      <c r="I41" s="2"/>
      <c r="J41" s="2"/>
    </row>
    <row r="42" customFormat="false" ht="15" hidden="false" customHeight="false" outlineLevel="0" collapsed="false">
      <c r="A42" s="26" t="str">
        <f aca="false">IF($H42="","",INDEX(_Helpers!$A$2:$A$91,$H42-2+1))</f>
        <v/>
      </c>
      <c r="B42" s="26" t="str">
        <f aca="false">IF($H42="","",INDEX(_Helpers!$D$2:$D$91,$H42-2+1))</f>
        <v/>
      </c>
      <c r="C42" s="27" t="str">
        <f aca="false">IF($H42="","",INDEX(_Helpers!$B$2:$B$91,$H42-2+1))</f>
        <v/>
      </c>
      <c r="D42" s="27" t="str">
        <f aca="false">IF($H42="","",INDEX(_Helpers!$C$2:$C$91,$H42-2+1))</f>
        <v/>
      </c>
      <c r="E42" s="27" t="str">
        <f aca="false">IF($H42="","",INDEX(_Helpers!$L$2:$L$91,$H42-2+1))</f>
        <v/>
      </c>
      <c r="F42" s="28" t="str">
        <f aca="false">IF($H42="","",INDEX(_Helpers!$M$2:$M$91,$H42-2+1))</f>
        <v/>
      </c>
      <c r="G42" s="2"/>
      <c r="H42" s="25" t="str">
        <f aca="false" t="array" ref="H42:H42">IFERROR(SMALL(IF(_Helpers!$E$2:$E$91=1,ROW(_Helpers!$E$2:$E$91)),ROWS($A$4:A42)),"")</f>
        <v/>
      </c>
      <c r="I42" s="2"/>
      <c r="J42" s="2"/>
    </row>
    <row r="43" customFormat="false" ht="15" hidden="false" customHeight="false" outlineLevel="0" collapsed="false">
      <c r="A43" s="26" t="str">
        <f aca="false">IF($H43="","",INDEX(_Helpers!$A$2:$A$91,$H43-2+1))</f>
        <v/>
      </c>
      <c r="B43" s="26" t="str">
        <f aca="false">IF($H43="","",INDEX(_Helpers!$D$2:$D$91,$H43-2+1))</f>
        <v/>
      </c>
      <c r="C43" s="27" t="str">
        <f aca="false">IF($H43="","",INDEX(_Helpers!$B$2:$B$91,$H43-2+1))</f>
        <v/>
      </c>
      <c r="D43" s="27" t="str">
        <f aca="false">IF($H43="","",INDEX(_Helpers!$C$2:$C$91,$H43-2+1))</f>
        <v/>
      </c>
      <c r="E43" s="27" t="str">
        <f aca="false">IF($H43="","",INDEX(_Helpers!$L$2:$L$91,$H43-2+1))</f>
        <v/>
      </c>
      <c r="F43" s="28" t="str">
        <f aca="false">IF($H43="","",INDEX(_Helpers!$M$2:$M$91,$H43-2+1))</f>
        <v/>
      </c>
      <c r="G43" s="2"/>
      <c r="H43" s="25" t="str">
        <f aca="false" t="array" ref="H43:H43">IFERROR(SMALL(IF(_Helpers!$E$2:$E$91=1,ROW(_Helpers!$E$2:$E$91)),ROWS($A$4:A43)),"")</f>
        <v/>
      </c>
      <c r="I43" s="2"/>
      <c r="J43" s="2"/>
    </row>
    <row r="44" customFormat="false" ht="15" hidden="false" customHeight="false" outlineLevel="0" collapsed="false">
      <c r="A44" s="26" t="str">
        <f aca="false">IF($H44="","",INDEX(_Helpers!$A$2:$A$91,$H44-2+1))</f>
        <v/>
      </c>
      <c r="B44" s="26" t="str">
        <f aca="false">IF($H44="","",INDEX(_Helpers!$D$2:$D$91,$H44-2+1))</f>
        <v/>
      </c>
      <c r="C44" s="27" t="str">
        <f aca="false">IF($H44="","",INDEX(_Helpers!$B$2:$B$91,$H44-2+1))</f>
        <v/>
      </c>
      <c r="D44" s="27" t="str">
        <f aca="false">IF($H44="","",INDEX(_Helpers!$C$2:$C$91,$H44-2+1))</f>
        <v/>
      </c>
      <c r="E44" s="27" t="str">
        <f aca="false">IF($H44="","",INDEX(_Helpers!$L$2:$L$91,$H44-2+1))</f>
        <v/>
      </c>
      <c r="F44" s="28" t="str">
        <f aca="false">IF($H44="","",INDEX(_Helpers!$M$2:$M$91,$H44-2+1))</f>
        <v/>
      </c>
      <c r="G44" s="2"/>
      <c r="H44" s="25" t="str">
        <f aca="false" t="array" ref="H44:H44">IFERROR(SMALL(IF(_Helpers!$E$2:$E$91=1,ROW(_Helpers!$E$2:$E$91)),ROWS($A$4:A44)),"")</f>
        <v/>
      </c>
      <c r="I44" s="2"/>
      <c r="J44" s="2"/>
    </row>
    <row r="45" customFormat="false" ht="15" hidden="false" customHeight="false" outlineLevel="0" collapsed="false">
      <c r="A45" s="26" t="str">
        <f aca="false">IF($H45="","",INDEX(_Helpers!$A$2:$A$91,$H45-2+1))</f>
        <v/>
      </c>
      <c r="B45" s="26" t="str">
        <f aca="false">IF($H45="","",INDEX(_Helpers!$D$2:$D$91,$H45-2+1))</f>
        <v/>
      </c>
      <c r="C45" s="27" t="str">
        <f aca="false">IF($H45="","",INDEX(_Helpers!$B$2:$B$91,$H45-2+1))</f>
        <v/>
      </c>
      <c r="D45" s="27" t="str">
        <f aca="false">IF($H45="","",INDEX(_Helpers!$C$2:$C$91,$H45-2+1))</f>
        <v/>
      </c>
      <c r="E45" s="27" t="str">
        <f aca="false">IF($H45="","",INDEX(_Helpers!$L$2:$L$91,$H45-2+1))</f>
        <v/>
      </c>
      <c r="F45" s="28" t="str">
        <f aca="false">IF($H45="","",INDEX(_Helpers!$M$2:$M$91,$H45-2+1))</f>
        <v/>
      </c>
      <c r="G45" s="2"/>
      <c r="H45" s="25" t="str">
        <f aca="false" t="array" ref="H45:H45">IFERROR(SMALL(IF(_Helpers!$E$2:$E$91=1,ROW(_Helpers!$E$2:$E$91)),ROWS($A$4:A45)),"")</f>
        <v/>
      </c>
      <c r="I45" s="2"/>
      <c r="J45" s="2"/>
    </row>
    <row r="46" customFormat="false" ht="15" hidden="false" customHeight="false" outlineLevel="0" collapsed="false">
      <c r="A46" s="26" t="str">
        <f aca="false">IF($H46="","",INDEX(_Helpers!$A$2:$A$91,$H46-2+1))</f>
        <v/>
      </c>
      <c r="B46" s="26" t="str">
        <f aca="false">IF($H46="","",INDEX(_Helpers!$D$2:$D$91,$H46-2+1))</f>
        <v/>
      </c>
      <c r="C46" s="27" t="str">
        <f aca="false">IF($H46="","",INDEX(_Helpers!$B$2:$B$91,$H46-2+1))</f>
        <v/>
      </c>
      <c r="D46" s="27" t="str">
        <f aca="false">IF($H46="","",INDEX(_Helpers!$C$2:$C$91,$H46-2+1))</f>
        <v/>
      </c>
      <c r="E46" s="27" t="str">
        <f aca="false">IF($H46="","",INDEX(_Helpers!$L$2:$L$91,$H46-2+1))</f>
        <v/>
      </c>
      <c r="F46" s="28" t="str">
        <f aca="false">IF($H46="","",INDEX(_Helpers!$M$2:$M$91,$H46-2+1))</f>
        <v/>
      </c>
      <c r="G46" s="2"/>
      <c r="H46" s="25" t="str">
        <f aca="false" t="array" ref="H46:H46">IFERROR(SMALL(IF(_Helpers!$E$2:$E$91=1,ROW(_Helpers!$E$2:$E$91)),ROWS($A$4:A46)),"")</f>
        <v/>
      </c>
      <c r="I46" s="2"/>
      <c r="J46" s="2"/>
    </row>
    <row r="47" customFormat="false" ht="15" hidden="false" customHeight="false" outlineLevel="0" collapsed="false">
      <c r="A47" s="26" t="str">
        <f aca="false">IF($H47="","",INDEX(_Helpers!$A$2:$A$91,$H47-2+1))</f>
        <v/>
      </c>
      <c r="B47" s="26" t="str">
        <f aca="false">IF($H47="","",INDEX(_Helpers!$D$2:$D$91,$H47-2+1))</f>
        <v/>
      </c>
      <c r="C47" s="27" t="str">
        <f aca="false">IF($H47="","",INDEX(_Helpers!$B$2:$B$91,$H47-2+1))</f>
        <v/>
      </c>
      <c r="D47" s="27" t="str">
        <f aca="false">IF($H47="","",INDEX(_Helpers!$C$2:$C$91,$H47-2+1))</f>
        <v/>
      </c>
      <c r="E47" s="27" t="str">
        <f aca="false">IF($H47="","",INDEX(_Helpers!$L$2:$L$91,$H47-2+1))</f>
        <v/>
      </c>
      <c r="F47" s="28" t="str">
        <f aca="false">IF($H47="","",INDEX(_Helpers!$M$2:$M$91,$H47-2+1))</f>
        <v/>
      </c>
      <c r="G47" s="2"/>
      <c r="H47" s="25" t="str">
        <f aca="false" t="array" ref="H47:H47">IFERROR(SMALL(IF(_Helpers!$E$2:$E$91=1,ROW(_Helpers!$E$2:$E$91)),ROWS($A$4:A47)),"")</f>
        <v/>
      </c>
      <c r="I47" s="2"/>
      <c r="J47" s="2"/>
    </row>
    <row r="48" customFormat="false" ht="15" hidden="false" customHeight="false" outlineLevel="0" collapsed="false">
      <c r="A48" s="26" t="str">
        <f aca="false">IF($H48="","",INDEX(_Helpers!$A$2:$A$91,$H48-2+1))</f>
        <v/>
      </c>
      <c r="B48" s="26" t="str">
        <f aca="false">IF($H48="","",INDEX(_Helpers!$D$2:$D$91,$H48-2+1))</f>
        <v/>
      </c>
      <c r="C48" s="27" t="str">
        <f aca="false">IF($H48="","",INDEX(_Helpers!$B$2:$B$91,$H48-2+1))</f>
        <v/>
      </c>
      <c r="D48" s="27" t="str">
        <f aca="false">IF($H48="","",INDEX(_Helpers!$C$2:$C$91,$H48-2+1))</f>
        <v/>
      </c>
      <c r="E48" s="27" t="str">
        <f aca="false">IF($H48="","",INDEX(_Helpers!$L$2:$L$91,$H48-2+1))</f>
        <v/>
      </c>
      <c r="F48" s="28" t="str">
        <f aca="false">IF($H48="","",INDEX(_Helpers!$M$2:$M$91,$H48-2+1))</f>
        <v/>
      </c>
      <c r="G48" s="2"/>
      <c r="H48" s="25" t="str">
        <f aca="false" t="array" ref="H48:H48">IFERROR(SMALL(IF(_Helpers!$E$2:$E$91=1,ROW(_Helpers!$E$2:$E$91)),ROWS($A$4:A48)),"")</f>
        <v/>
      </c>
      <c r="I48" s="2"/>
      <c r="J48" s="2"/>
    </row>
    <row r="49" customFormat="false" ht="15" hidden="false" customHeight="false" outlineLevel="0" collapsed="false">
      <c r="A49" s="26" t="str">
        <f aca="false">IF($H49="","",INDEX(_Helpers!$A$2:$A$91,$H49-2+1))</f>
        <v/>
      </c>
      <c r="B49" s="26" t="str">
        <f aca="false">IF($H49="","",INDEX(_Helpers!$D$2:$D$91,$H49-2+1))</f>
        <v/>
      </c>
      <c r="C49" s="27" t="str">
        <f aca="false">IF($H49="","",INDEX(_Helpers!$B$2:$B$91,$H49-2+1))</f>
        <v/>
      </c>
      <c r="D49" s="27" t="str">
        <f aca="false">IF($H49="","",INDEX(_Helpers!$C$2:$C$91,$H49-2+1))</f>
        <v/>
      </c>
      <c r="E49" s="27" t="str">
        <f aca="false">IF($H49="","",INDEX(_Helpers!$L$2:$L$91,$H49-2+1))</f>
        <v/>
      </c>
      <c r="F49" s="28" t="str">
        <f aca="false">IF($H49="","",INDEX(_Helpers!$M$2:$M$91,$H49-2+1))</f>
        <v/>
      </c>
      <c r="G49" s="2"/>
      <c r="H49" s="25" t="str">
        <f aca="false" t="array" ref="H49:H49">IFERROR(SMALL(IF(_Helpers!$E$2:$E$91=1,ROW(_Helpers!$E$2:$E$91)),ROWS($A$4:A49)),"")</f>
        <v/>
      </c>
      <c r="I49" s="2"/>
      <c r="J49" s="2"/>
    </row>
    <row r="50" customFormat="false" ht="15" hidden="false" customHeight="false" outlineLevel="0" collapsed="false">
      <c r="A50" s="26" t="str">
        <f aca="false">IF($H50="","",INDEX(_Helpers!$A$2:$A$91,$H50-2+1))</f>
        <v/>
      </c>
      <c r="B50" s="26" t="str">
        <f aca="false">IF($H50="","",INDEX(_Helpers!$D$2:$D$91,$H50-2+1))</f>
        <v/>
      </c>
      <c r="C50" s="27" t="str">
        <f aca="false">IF($H50="","",INDEX(_Helpers!$B$2:$B$91,$H50-2+1))</f>
        <v/>
      </c>
      <c r="D50" s="27" t="str">
        <f aca="false">IF($H50="","",INDEX(_Helpers!$C$2:$C$91,$H50-2+1))</f>
        <v/>
      </c>
      <c r="E50" s="27" t="str">
        <f aca="false">IF($H50="","",INDEX(_Helpers!$L$2:$L$91,$H50-2+1))</f>
        <v/>
      </c>
      <c r="F50" s="28" t="str">
        <f aca="false">IF($H50="","",INDEX(_Helpers!$M$2:$M$91,$H50-2+1))</f>
        <v/>
      </c>
      <c r="G50" s="2"/>
      <c r="H50" s="25" t="str">
        <f aca="false" t="array" ref="H50:H50">IFERROR(SMALL(IF(_Helpers!$E$2:$E$91=1,ROW(_Helpers!$E$2:$E$91)),ROWS($A$4:A50)),"")</f>
        <v/>
      </c>
      <c r="I50" s="2"/>
      <c r="J50" s="2"/>
    </row>
    <row r="51" customFormat="false" ht="15" hidden="false" customHeight="false" outlineLevel="0" collapsed="false">
      <c r="A51" s="26" t="str">
        <f aca="false">IF($H51="","",INDEX(_Helpers!$A$2:$A$91,$H51-2+1))</f>
        <v/>
      </c>
      <c r="B51" s="26" t="str">
        <f aca="false">IF($H51="","",INDEX(_Helpers!$D$2:$D$91,$H51-2+1))</f>
        <v/>
      </c>
      <c r="C51" s="27" t="str">
        <f aca="false">IF($H51="","",INDEX(_Helpers!$B$2:$B$91,$H51-2+1))</f>
        <v/>
      </c>
      <c r="D51" s="27" t="str">
        <f aca="false">IF($H51="","",INDEX(_Helpers!$C$2:$C$91,$H51-2+1))</f>
        <v/>
      </c>
      <c r="E51" s="27" t="str">
        <f aca="false">IF($H51="","",INDEX(_Helpers!$L$2:$L$91,$H51-2+1))</f>
        <v/>
      </c>
      <c r="F51" s="28" t="str">
        <f aca="false">IF($H51="","",INDEX(_Helpers!$M$2:$M$91,$H51-2+1))</f>
        <v/>
      </c>
      <c r="G51" s="2"/>
      <c r="H51" s="25" t="str">
        <f aca="false" t="array" ref="H51:H51">IFERROR(SMALL(IF(_Helpers!$E$2:$E$91=1,ROW(_Helpers!$E$2:$E$91)),ROWS($A$4:A51)),"")</f>
        <v/>
      </c>
      <c r="I51" s="2"/>
      <c r="J51" s="2"/>
    </row>
    <row r="52" customFormat="false" ht="15" hidden="false" customHeight="false" outlineLevel="0" collapsed="false">
      <c r="A52" s="26" t="str">
        <f aca="false">IF($H52="","",INDEX(_Helpers!$A$2:$A$91,$H52-2+1))</f>
        <v/>
      </c>
      <c r="B52" s="26" t="str">
        <f aca="false">IF($H52="","",INDEX(_Helpers!$D$2:$D$91,$H52-2+1))</f>
        <v/>
      </c>
      <c r="C52" s="27" t="str">
        <f aca="false">IF($H52="","",INDEX(_Helpers!$B$2:$B$91,$H52-2+1))</f>
        <v/>
      </c>
      <c r="D52" s="27" t="str">
        <f aca="false">IF($H52="","",INDEX(_Helpers!$C$2:$C$91,$H52-2+1))</f>
        <v/>
      </c>
      <c r="E52" s="27" t="str">
        <f aca="false">IF($H52="","",INDEX(_Helpers!$L$2:$L$91,$H52-2+1))</f>
        <v/>
      </c>
      <c r="F52" s="28" t="str">
        <f aca="false">IF($H52="","",INDEX(_Helpers!$M$2:$M$91,$H52-2+1))</f>
        <v/>
      </c>
      <c r="G52" s="2"/>
      <c r="H52" s="25" t="str">
        <f aca="false" t="array" ref="H52:H52">IFERROR(SMALL(IF(_Helpers!$E$2:$E$91=1,ROW(_Helpers!$E$2:$E$91)),ROWS($A$4:A52)),"")</f>
        <v/>
      </c>
      <c r="I52" s="2"/>
      <c r="J52" s="2"/>
    </row>
    <row r="53" customFormat="false" ht="15" hidden="false" customHeight="false" outlineLevel="0" collapsed="false">
      <c r="A53" s="26" t="str">
        <f aca="false">IF($H53="","",INDEX(_Helpers!$A$2:$A$91,$H53-2+1))</f>
        <v/>
      </c>
      <c r="B53" s="26" t="str">
        <f aca="false">IF($H53="","",INDEX(_Helpers!$D$2:$D$91,$H53-2+1))</f>
        <v/>
      </c>
      <c r="C53" s="27" t="str">
        <f aca="false">IF($H53="","",INDEX(_Helpers!$B$2:$B$91,$H53-2+1))</f>
        <v/>
      </c>
      <c r="D53" s="27" t="str">
        <f aca="false">IF($H53="","",INDEX(_Helpers!$C$2:$C$91,$H53-2+1))</f>
        <v/>
      </c>
      <c r="E53" s="27" t="str">
        <f aca="false">IF($H53="","",INDEX(_Helpers!$L$2:$L$91,$H53-2+1))</f>
        <v/>
      </c>
      <c r="F53" s="28" t="str">
        <f aca="false">IF($H53="","",INDEX(_Helpers!$M$2:$M$91,$H53-2+1))</f>
        <v/>
      </c>
      <c r="G53" s="2"/>
      <c r="H53" s="25" t="str">
        <f aca="false" t="array" ref="H53:H53">IFERROR(SMALL(IF(_Helpers!$E$2:$E$91=1,ROW(_Helpers!$E$2:$E$91)),ROWS($A$4:A53)),"")</f>
        <v/>
      </c>
      <c r="I53" s="2"/>
      <c r="J53" s="2"/>
    </row>
    <row r="54" customFormat="false" ht="15" hidden="false" customHeight="false" outlineLevel="0" collapsed="false">
      <c r="A54" s="26" t="str">
        <f aca="false">IF($H54="","",INDEX(_Helpers!$A$2:$A$91,$H54-2+1))</f>
        <v/>
      </c>
      <c r="B54" s="26" t="str">
        <f aca="false">IF($H54="","",INDEX(_Helpers!$D$2:$D$91,$H54-2+1))</f>
        <v/>
      </c>
      <c r="C54" s="27" t="str">
        <f aca="false">IF($H54="","",INDEX(_Helpers!$B$2:$B$91,$H54-2+1))</f>
        <v/>
      </c>
      <c r="D54" s="27" t="str">
        <f aca="false">IF($H54="","",INDEX(_Helpers!$C$2:$C$91,$H54-2+1))</f>
        <v/>
      </c>
      <c r="E54" s="27" t="str">
        <f aca="false">IF($H54="","",INDEX(_Helpers!$L$2:$L$91,$H54-2+1))</f>
        <v/>
      </c>
      <c r="F54" s="28" t="str">
        <f aca="false">IF($H54="","",INDEX(_Helpers!$M$2:$M$91,$H54-2+1))</f>
        <v/>
      </c>
      <c r="G54" s="2"/>
      <c r="H54" s="25" t="str">
        <f aca="false" t="array" ref="H54:H54">IFERROR(SMALL(IF(_Helpers!$E$2:$E$91=1,ROW(_Helpers!$E$2:$E$91)),ROWS($A$4:A54)),"")</f>
        <v/>
      </c>
      <c r="I54" s="2"/>
      <c r="J54" s="2"/>
    </row>
    <row r="55" customFormat="false" ht="15" hidden="false" customHeight="false" outlineLevel="0" collapsed="false">
      <c r="A55" s="26" t="str">
        <f aca="false">IF($H55="","",INDEX(_Helpers!$A$2:$A$91,$H55-2+1))</f>
        <v/>
      </c>
      <c r="B55" s="26" t="str">
        <f aca="false">IF($H55="","",INDEX(_Helpers!$D$2:$D$91,$H55-2+1))</f>
        <v/>
      </c>
      <c r="C55" s="27" t="str">
        <f aca="false">IF($H55="","",INDEX(_Helpers!$B$2:$B$91,$H55-2+1))</f>
        <v/>
      </c>
      <c r="D55" s="27" t="str">
        <f aca="false">IF($H55="","",INDEX(_Helpers!$C$2:$C$91,$H55-2+1))</f>
        <v/>
      </c>
      <c r="E55" s="27" t="str">
        <f aca="false">IF($H55="","",INDEX(_Helpers!$L$2:$L$91,$H55-2+1))</f>
        <v/>
      </c>
      <c r="F55" s="28" t="str">
        <f aca="false">IF($H55="","",INDEX(_Helpers!$M$2:$M$91,$H55-2+1))</f>
        <v/>
      </c>
      <c r="G55" s="2"/>
      <c r="H55" s="25" t="str">
        <f aca="false" t="array" ref="H55:H55">IFERROR(SMALL(IF(_Helpers!$E$2:$E$91=1,ROW(_Helpers!$E$2:$E$91)),ROWS($A$4:A55)),"")</f>
        <v/>
      </c>
      <c r="I55" s="2"/>
      <c r="J55" s="2"/>
    </row>
    <row r="56" customFormat="false" ht="15" hidden="false" customHeight="false" outlineLevel="0" collapsed="false">
      <c r="A56" s="26" t="str">
        <f aca="false">IF($H56="","",INDEX(_Helpers!$A$2:$A$91,$H56-2+1))</f>
        <v/>
      </c>
      <c r="B56" s="26" t="str">
        <f aca="false">IF($H56="","",INDEX(_Helpers!$D$2:$D$91,$H56-2+1))</f>
        <v/>
      </c>
      <c r="C56" s="27" t="str">
        <f aca="false">IF($H56="","",INDEX(_Helpers!$B$2:$B$91,$H56-2+1))</f>
        <v/>
      </c>
      <c r="D56" s="27" t="str">
        <f aca="false">IF($H56="","",INDEX(_Helpers!$C$2:$C$91,$H56-2+1))</f>
        <v/>
      </c>
      <c r="E56" s="27" t="str">
        <f aca="false">IF($H56="","",INDEX(_Helpers!$L$2:$L$91,$H56-2+1))</f>
        <v/>
      </c>
      <c r="F56" s="28" t="str">
        <f aca="false">IF($H56="","",INDEX(_Helpers!$M$2:$M$91,$H56-2+1))</f>
        <v/>
      </c>
      <c r="G56" s="2"/>
      <c r="H56" s="25" t="str">
        <f aca="false" t="array" ref="H56:H56">IFERROR(SMALL(IF(_Helpers!$E$2:$E$91=1,ROW(_Helpers!$E$2:$E$91)),ROWS($A$4:A56)),"")</f>
        <v/>
      </c>
      <c r="I56" s="2"/>
      <c r="J56" s="2"/>
    </row>
    <row r="57" customFormat="false" ht="15" hidden="false" customHeight="false" outlineLevel="0" collapsed="false">
      <c r="A57" s="26" t="str">
        <f aca="false">IF($H57="","",INDEX(_Helpers!$A$2:$A$91,$H57-2+1))</f>
        <v/>
      </c>
      <c r="B57" s="26" t="str">
        <f aca="false">IF($H57="","",INDEX(_Helpers!$D$2:$D$91,$H57-2+1))</f>
        <v/>
      </c>
      <c r="C57" s="27" t="str">
        <f aca="false">IF($H57="","",INDEX(_Helpers!$B$2:$B$91,$H57-2+1))</f>
        <v/>
      </c>
      <c r="D57" s="27" t="str">
        <f aca="false">IF($H57="","",INDEX(_Helpers!$C$2:$C$91,$H57-2+1))</f>
        <v/>
      </c>
      <c r="E57" s="27" t="str">
        <f aca="false">IF($H57="","",INDEX(_Helpers!$L$2:$L$91,$H57-2+1))</f>
        <v/>
      </c>
      <c r="F57" s="28" t="str">
        <f aca="false">IF($H57="","",INDEX(_Helpers!$M$2:$M$91,$H57-2+1))</f>
        <v/>
      </c>
      <c r="G57" s="2"/>
      <c r="H57" s="25" t="str">
        <f aca="false" t="array" ref="H57:H57">IFERROR(SMALL(IF(_Helpers!$E$2:$E$91=1,ROW(_Helpers!$E$2:$E$91)),ROWS($A$4:A57)),"")</f>
        <v/>
      </c>
      <c r="I57" s="2"/>
      <c r="J57" s="2"/>
    </row>
    <row r="58" customFormat="false" ht="15" hidden="false" customHeight="false" outlineLevel="0" collapsed="false">
      <c r="A58" s="26" t="str">
        <f aca="false">IF($H58="","",INDEX(_Helpers!$A$2:$A$91,$H58-2+1))</f>
        <v/>
      </c>
      <c r="B58" s="26" t="str">
        <f aca="false">IF($H58="","",INDEX(_Helpers!$D$2:$D$91,$H58-2+1))</f>
        <v/>
      </c>
      <c r="C58" s="27" t="str">
        <f aca="false">IF($H58="","",INDEX(_Helpers!$B$2:$B$91,$H58-2+1))</f>
        <v/>
      </c>
      <c r="D58" s="27" t="str">
        <f aca="false">IF($H58="","",INDEX(_Helpers!$C$2:$C$91,$H58-2+1))</f>
        <v/>
      </c>
      <c r="E58" s="27" t="str">
        <f aca="false">IF($H58="","",INDEX(_Helpers!$L$2:$L$91,$H58-2+1))</f>
        <v/>
      </c>
      <c r="F58" s="28" t="str">
        <f aca="false">IF($H58="","",INDEX(_Helpers!$M$2:$M$91,$H58-2+1))</f>
        <v/>
      </c>
      <c r="G58" s="2"/>
      <c r="H58" s="25" t="str">
        <f aca="false" t="array" ref="H58:H58">IFERROR(SMALL(IF(_Helpers!$E$2:$E$91=1,ROW(_Helpers!$E$2:$E$91)),ROWS($A$4:A58)),"")</f>
        <v/>
      </c>
      <c r="I58" s="2"/>
      <c r="J58" s="2"/>
    </row>
    <row r="59" customFormat="false" ht="15" hidden="false" customHeight="false" outlineLevel="0" collapsed="false">
      <c r="A59" s="26" t="str">
        <f aca="false">IF($H59="","",INDEX(_Helpers!$A$2:$A$91,$H59-2+1))</f>
        <v/>
      </c>
      <c r="B59" s="26" t="str">
        <f aca="false">IF($H59="","",INDEX(_Helpers!$D$2:$D$91,$H59-2+1))</f>
        <v/>
      </c>
      <c r="C59" s="27" t="str">
        <f aca="false">IF($H59="","",INDEX(_Helpers!$B$2:$B$91,$H59-2+1))</f>
        <v/>
      </c>
      <c r="D59" s="27" t="str">
        <f aca="false">IF($H59="","",INDEX(_Helpers!$C$2:$C$91,$H59-2+1))</f>
        <v/>
      </c>
      <c r="E59" s="27" t="str">
        <f aca="false">IF($H59="","",INDEX(_Helpers!$L$2:$L$91,$H59-2+1))</f>
        <v/>
      </c>
      <c r="F59" s="28" t="str">
        <f aca="false">IF($H59="","",INDEX(_Helpers!$M$2:$M$91,$H59-2+1))</f>
        <v/>
      </c>
      <c r="G59" s="2"/>
      <c r="H59" s="25" t="str">
        <f aca="false" t="array" ref="H59:H59">IFERROR(SMALL(IF(_Helpers!$E$2:$E$91=1,ROW(_Helpers!$E$2:$E$91)),ROWS($A$4:A59)),"")</f>
        <v/>
      </c>
      <c r="I59" s="2"/>
      <c r="J59" s="2"/>
    </row>
    <row r="60" customFormat="false" ht="15" hidden="false" customHeight="false" outlineLevel="0" collapsed="false">
      <c r="A60" s="26" t="str">
        <f aca="false">IF($H60="","",INDEX(_Helpers!$A$2:$A$91,$H60-2+1))</f>
        <v/>
      </c>
      <c r="B60" s="26" t="str">
        <f aca="false">IF($H60="","",INDEX(_Helpers!$D$2:$D$91,$H60-2+1))</f>
        <v/>
      </c>
      <c r="C60" s="27" t="str">
        <f aca="false">IF($H60="","",INDEX(_Helpers!$B$2:$B$91,$H60-2+1))</f>
        <v/>
      </c>
      <c r="D60" s="27" t="str">
        <f aca="false">IF($H60="","",INDEX(_Helpers!$C$2:$C$91,$H60-2+1))</f>
        <v/>
      </c>
      <c r="E60" s="27" t="str">
        <f aca="false">IF($H60="","",INDEX(_Helpers!$L$2:$L$91,$H60-2+1))</f>
        <v/>
      </c>
      <c r="F60" s="28" t="str">
        <f aca="false">IF($H60="","",INDEX(_Helpers!$M$2:$M$91,$H60-2+1))</f>
        <v/>
      </c>
      <c r="G60" s="2"/>
      <c r="H60" s="25" t="str">
        <f aca="false" t="array" ref="H60:H60">IFERROR(SMALL(IF(_Helpers!$E$2:$E$91=1,ROW(_Helpers!$E$2:$E$91)),ROWS($A$4:A60)),"")</f>
        <v/>
      </c>
      <c r="I60" s="2"/>
      <c r="J60" s="2"/>
    </row>
    <row r="61" customFormat="false" ht="15" hidden="false" customHeight="false" outlineLevel="0" collapsed="false">
      <c r="A61" s="26" t="str">
        <f aca="false">IF($H61="","",INDEX(_Helpers!$A$2:$A$91,$H61-2+1))</f>
        <v/>
      </c>
      <c r="B61" s="26" t="str">
        <f aca="false">IF($H61="","",INDEX(_Helpers!$D$2:$D$91,$H61-2+1))</f>
        <v/>
      </c>
      <c r="C61" s="27" t="str">
        <f aca="false">IF($H61="","",INDEX(_Helpers!$B$2:$B$91,$H61-2+1))</f>
        <v/>
      </c>
      <c r="D61" s="27" t="str">
        <f aca="false">IF($H61="","",INDEX(_Helpers!$C$2:$C$91,$H61-2+1))</f>
        <v/>
      </c>
      <c r="E61" s="27" t="str">
        <f aca="false">IF($H61="","",INDEX(_Helpers!$L$2:$L$91,$H61-2+1))</f>
        <v/>
      </c>
      <c r="F61" s="28" t="str">
        <f aca="false">IF($H61="","",INDEX(_Helpers!$M$2:$M$91,$H61-2+1))</f>
        <v/>
      </c>
      <c r="G61" s="2"/>
      <c r="H61" s="25" t="str">
        <f aca="false" t="array" ref="H61:H61">IFERROR(SMALL(IF(_Helpers!$E$2:$E$91=1,ROW(_Helpers!$E$2:$E$91)),ROWS($A$4:A61)),"")</f>
        <v/>
      </c>
      <c r="I61" s="2"/>
      <c r="J61" s="2"/>
    </row>
    <row r="62" customFormat="false" ht="15" hidden="false" customHeight="false" outlineLevel="0" collapsed="false">
      <c r="A62" s="26" t="str">
        <f aca="false">IF($H62="","",INDEX(_Helpers!$A$2:$A$91,$H62-2+1))</f>
        <v/>
      </c>
      <c r="B62" s="26" t="str">
        <f aca="false">IF($H62="","",INDEX(_Helpers!$D$2:$D$91,$H62-2+1))</f>
        <v/>
      </c>
      <c r="C62" s="27" t="str">
        <f aca="false">IF($H62="","",INDEX(_Helpers!$B$2:$B$91,$H62-2+1))</f>
        <v/>
      </c>
      <c r="D62" s="27" t="str">
        <f aca="false">IF($H62="","",INDEX(_Helpers!$C$2:$C$91,$H62-2+1))</f>
        <v/>
      </c>
      <c r="E62" s="27" t="str">
        <f aca="false">IF($H62="","",INDEX(_Helpers!$L$2:$L$91,$H62-2+1))</f>
        <v/>
      </c>
      <c r="F62" s="28" t="str">
        <f aca="false">IF($H62="","",INDEX(_Helpers!$M$2:$M$91,$H62-2+1))</f>
        <v/>
      </c>
      <c r="G62" s="2"/>
      <c r="H62" s="25" t="str">
        <f aca="false" t="array" ref="H62:H62">IFERROR(SMALL(IF(_Helpers!$E$2:$E$91=1,ROW(_Helpers!$E$2:$E$91)),ROWS($A$4:A62)),"")</f>
        <v/>
      </c>
      <c r="I62" s="2"/>
      <c r="J62" s="2"/>
    </row>
    <row r="63" customFormat="false" ht="15" hidden="false" customHeight="false" outlineLevel="0" collapsed="false">
      <c r="A63" s="26" t="str">
        <f aca="false">IF($H63="","",INDEX(_Helpers!$A$2:$A$91,$H63-2+1))</f>
        <v/>
      </c>
      <c r="B63" s="26" t="str">
        <f aca="false">IF($H63="","",INDEX(_Helpers!$D$2:$D$91,$H63-2+1))</f>
        <v/>
      </c>
      <c r="C63" s="27" t="str">
        <f aca="false">IF($H63="","",INDEX(_Helpers!$B$2:$B$91,$H63-2+1))</f>
        <v/>
      </c>
      <c r="D63" s="27" t="str">
        <f aca="false">IF($H63="","",INDEX(_Helpers!$C$2:$C$91,$H63-2+1))</f>
        <v/>
      </c>
      <c r="E63" s="27" t="str">
        <f aca="false">IF($H63="","",INDEX(_Helpers!$L$2:$L$91,$H63-2+1))</f>
        <v/>
      </c>
      <c r="F63" s="28" t="str">
        <f aca="false">IF($H63="","",INDEX(_Helpers!$M$2:$M$91,$H63-2+1))</f>
        <v/>
      </c>
      <c r="G63" s="2"/>
      <c r="H63" s="25" t="str">
        <f aca="false" t="array" ref="H63:H63">IFERROR(SMALL(IF(_Helpers!$E$2:$E$91=1,ROW(_Helpers!$E$2:$E$91)),ROWS($A$4:A63)),"")</f>
        <v/>
      </c>
      <c r="I63" s="2"/>
      <c r="J63" s="2"/>
    </row>
    <row r="64" customFormat="false" ht="15" hidden="false" customHeight="false" outlineLevel="0" collapsed="false">
      <c r="A64" s="26" t="str">
        <f aca="false">IF($H64="","",INDEX(_Helpers!$A$2:$A$91,$H64-2+1))</f>
        <v/>
      </c>
      <c r="B64" s="26" t="str">
        <f aca="false">IF($H64="","",INDEX(_Helpers!$D$2:$D$91,$H64-2+1))</f>
        <v/>
      </c>
      <c r="C64" s="27" t="str">
        <f aca="false">IF($H64="","",INDEX(_Helpers!$B$2:$B$91,$H64-2+1))</f>
        <v/>
      </c>
      <c r="D64" s="27" t="str">
        <f aca="false">IF($H64="","",INDEX(_Helpers!$C$2:$C$91,$H64-2+1))</f>
        <v/>
      </c>
      <c r="E64" s="27" t="str">
        <f aca="false">IF($H64="","",INDEX(_Helpers!$L$2:$L$91,$H64-2+1))</f>
        <v/>
      </c>
      <c r="F64" s="28" t="str">
        <f aca="false">IF($H64="","",INDEX(_Helpers!$M$2:$M$91,$H64-2+1))</f>
        <v/>
      </c>
      <c r="G64" s="2"/>
      <c r="H64" s="25" t="str">
        <f aca="false" t="array" ref="H64:H64">IFERROR(SMALL(IF(_Helpers!$E$2:$E$91=1,ROW(_Helpers!$E$2:$E$91)),ROWS($A$4:A64)),"")</f>
        <v/>
      </c>
      <c r="I64" s="2"/>
      <c r="J64" s="2"/>
    </row>
    <row r="65" customFormat="false" ht="15" hidden="false" customHeight="false" outlineLevel="0" collapsed="false">
      <c r="A65" s="26" t="str">
        <f aca="false">IF($H65="","",INDEX(_Helpers!$A$2:$A$91,$H65-2+1))</f>
        <v/>
      </c>
      <c r="B65" s="26" t="str">
        <f aca="false">IF($H65="","",INDEX(_Helpers!$D$2:$D$91,$H65-2+1))</f>
        <v/>
      </c>
      <c r="C65" s="27" t="str">
        <f aca="false">IF($H65="","",INDEX(_Helpers!$B$2:$B$91,$H65-2+1))</f>
        <v/>
      </c>
      <c r="D65" s="27" t="str">
        <f aca="false">IF($H65="","",INDEX(_Helpers!$C$2:$C$91,$H65-2+1))</f>
        <v/>
      </c>
      <c r="E65" s="27" t="str">
        <f aca="false">IF($H65="","",INDEX(_Helpers!$L$2:$L$91,$H65-2+1))</f>
        <v/>
      </c>
      <c r="F65" s="28" t="str">
        <f aca="false">IF($H65="","",INDEX(_Helpers!$M$2:$M$91,$H65-2+1))</f>
        <v/>
      </c>
      <c r="G65" s="2"/>
      <c r="H65" s="25" t="str">
        <f aca="false" t="array" ref="H65:H65">IFERROR(SMALL(IF(_Helpers!$E$2:$E$91=1,ROW(_Helpers!$E$2:$E$91)),ROWS($A$4:A65)),"")</f>
        <v/>
      </c>
      <c r="I65" s="2"/>
      <c r="J65" s="2"/>
    </row>
    <row r="66" customFormat="false" ht="15" hidden="false" customHeight="false" outlineLevel="0" collapsed="false">
      <c r="A66" s="26" t="str">
        <f aca="false">IF($H66="","",INDEX(_Helpers!$A$2:$A$91,$H66-2+1))</f>
        <v/>
      </c>
      <c r="B66" s="26" t="str">
        <f aca="false">IF($H66="","",INDEX(_Helpers!$D$2:$D$91,$H66-2+1))</f>
        <v/>
      </c>
      <c r="C66" s="27" t="str">
        <f aca="false">IF($H66="","",INDEX(_Helpers!$B$2:$B$91,$H66-2+1))</f>
        <v/>
      </c>
      <c r="D66" s="27" t="str">
        <f aca="false">IF($H66="","",INDEX(_Helpers!$C$2:$C$91,$H66-2+1))</f>
        <v/>
      </c>
      <c r="E66" s="27" t="str">
        <f aca="false">IF($H66="","",INDEX(_Helpers!$L$2:$L$91,$H66-2+1))</f>
        <v/>
      </c>
      <c r="F66" s="28" t="str">
        <f aca="false">IF($H66="","",INDEX(_Helpers!$M$2:$M$91,$H66-2+1))</f>
        <v/>
      </c>
      <c r="G66" s="2"/>
      <c r="H66" s="25" t="str">
        <f aca="false" t="array" ref="H66:H66">IFERROR(SMALL(IF(_Helpers!$E$2:$E$91=1,ROW(_Helpers!$E$2:$E$91)),ROWS($A$4:A66)),"")</f>
        <v/>
      </c>
      <c r="I66" s="2"/>
      <c r="J66" s="2"/>
    </row>
    <row r="67" customFormat="false" ht="15" hidden="false" customHeight="false" outlineLevel="0" collapsed="false">
      <c r="A67" s="26" t="str">
        <f aca="false">IF($H67="","",INDEX(_Helpers!$A$2:$A$91,$H67-2+1))</f>
        <v/>
      </c>
      <c r="B67" s="26" t="str">
        <f aca="false">IF($H67="","",INDEX(_Helpers!$D$2:$D$91,$H67-2+1))</f>
        <v/>
      </c>
      <c r="C67" s="27" t="str">
        <f aca="false">IF($H67="","",INDEX(_Helpers!$B$2:$B$91,$H67-2+1))</f>
        <v/>
      </c>
      <c r="D67" s="27" t="str">
        <f aca="false">IF($H67="","",INDEX(_Helpers!$C$2:$C$91,$H67-2+1))</f>
        <v/>
      </c>
      <c r="E67" s="27" t="str">
        <f aca="false">IF($H67="","",INDEX(_Helpers!$L$2:$L$91,$H67-2+1))</f>
        <v/>
      </c>
      <c r="F67" s="28" t="str">
        <f aca="false">IF($H67="","",INDEX(_Helpers!$M$2:$M$91,$H67-2+1))</f>
        <v/>
      </c>
      <c r="G67" s="2"/>
      <c r="H67" s="25" t="str">
        <f aca="false" t="array" ref="H67:H67">IFERROR(SMALL(IF(_Helpers!$E$2:$E$91=1,ROW(_Helpers!$E$2:$E$91)),ROWS($A$4:A67)),"")</f>
        <v/>
      </c>
      <c r="I67" s="2"/>
      <c r="J67" s="2"/>
    </row>
    <row r="68" customFormat="false" ht="15" hidden="false" customHeight="false" outlineLevel="0" collapsed="false">
      <c r="A68" s="26" t="str">
        <f aca="false">IF($H68="","",INDEX(_Helpers!$A$2:$A$91,$H68-2+1))</f>
        <v/>
      </c>
      <c r="B68" s="26" t="str">
        <f aca="false">IF($H68="","",INDEX(_Helpers!$D$2:$D$91,$H68-2+1))</f>
        <v/>
      </c>
      <c r="C68" s="27" t="str">
        <f aca="false">IF($H68="","",INDEX(_Helpers!$B$2:$B$91,$H68-2+1))</f>
        <v/>
      </c>
      <c r="D68" s="27" t="str">
        <f aca="false">IF($H68="","",INDEX(_Helpers!$C$2:$C$91,$H68-2+1))</f>
        <v/>
      </c>
      <c r="E68" s="27" t="str">
        <f aca="false">IF($H68="","",INDEX(_Helpers!$L$2:$L$91,$H68-2+1))</f>
        <v/>
      </c>
      <c r="F68" s="28" t="str">
        <f aca="false">IF($H68="","",INDEX(_Helpers!$M$2:$M$91,$H68-2+1))</f>
        <v/>
      </c>
      <c r="G68" s="2"/>
      <c r="H68" s="25" t="str">
        <f aca="false" t="array" ref="H68:H68">IFERROR(SMALL(IF(_Helpers!$E$2:$E$91=1,ROW(_Helpers!$E$2:$E$91)),ROWS($A$4:A68)),"")</f>
        <v/>
      </c>
      <c r="I68" s="2"/>
      <c r="J68" s="2"/>
    </row>
    <row r="69" customFormat="false" ht="15" hidden="false" customHeight="false" outlineLevel="0" collapsed="false">
      <c r="A69" s="26" t="str">
        <f aca="false">IF($H69="","",INDEX(_Helpers!$A$2:$A$91,$H69-2+1))</f>
        <v/>
      </c>
      <c r="B69" s="26" t="str">
        <f aca="false">IF($H69="","",INDEX(_Helpers!$D$2:$D$91,$H69-2+1))</f>
        <v/>
      </c>
      <c r="C69" s="27" t="str">
        <f aca="false">IF($H69="","",INDEX(_Helpers!$B$2:$B$91,$H69-2+1))</f>
        <v/>
      </c>
      <c r="D69" s="27" t="str">
        <f aca="false">IF($H69="","",INDEX(_Helpers!$C$2:$C$91,$H69-2+1))</f>
        <v/>
      </c>
      <c r="E69" s="27" t="str">
        <f aca="false">IF($H69="","",INDEX(_Helpers!$L$2:$L$91,$H69-2+1))</f>
        <v/>
      </c>
      <c r="F69" s="28" t="str">
        <f aca="false">IF($H69="","",INDEX(_Helpers!$M$2:$M$91,$H69-2+1))</f>
        <v/>
      </c>
      <c r="G69" s="2"/>
      <c r="H69" s="25" t="str">
        <f aca="false" t="array" ref="H69:H69">IFERROR(SMALL(IF(_Helpers!$E$2:$E$91=1,ROW(_Helpers!$E$2:$E$91)),ROWS($A$4:A69)),"")</f>
        <v/>
      </c>
      <c r="I69" s="2"/>
      <c r="J69" s="2"/>
    </row>
    <row r="70" customFormat="false" ht="15" hidden="false" customHeight="false" outlineLevel="0" collapsed="false">
      <c r="A70" s="26" t="str">
        <f aca="false">IF($H70="","",INDEX(_Helpers!$A$2:$A$91,$H70-2+1))</f>
        <v/>
      </c>
      <c r="B70" s="26" t="str">
        <f aca="false">IF($H70="","",INDEX(_Helpers!$D$2:$D$91,$H70-2+1))</f>
        <v/>
      </c>
      <c r="C70" s="27" t="str">
        <f aca="false">IF($H70="","",INDEX(_Helpers!$B$2:$B$91,$H70-2+1))</f>
        <v/>
      </c>
      <c r="D70" s="27" t="str">
        <f aca="false">IF($H70="","",INDEX(_Helpers!$C$2:$C$91,$H70-2+1))</f>
        <v/>
      </c>
      <c r="E70" s="27" t="str">
        <f aca="false">IF($H70="","",INDEX(_Helpers!$L$2:$L$91,$H70-2+1))</f>
        <v/>
      </c>
      <c r="F70" s="28" t="str">
        <f aca="false">IF($H70="","",INDEX(_Helpers!$M$2:$M$91,$H70-2+1))</f>
        <v/>
      </c>
      <c r="G70" s="2"/>
      <c r="H70" s="25" t="str">
        <f aca="false" t="array" ref="H70:H70">IFERROR(SMALL(IF(_Helpers!$E$2:$E$91=1,ROW(_Helpers!$E$2:$E$91)),ROWS($A$4:A70)),"")</f>
        <v/>
      </c>
      <c r="I70" s="2"/>
      <c r="J70" s="2"/>
    </row>
    <row r="71" customFormat="false" ht="15" hidden="false" customHeight="false" outlineLevel="0" collapsed="false">
      <c r="A71" s="26" t="str">
        <f aca="false">IF($H71="","",INDEX(_Helpers!$A$2:$A$91,$H71-2+1))</f>
        <v/>
      </c>
      <c r="B71" s="26" t="str">
        <f aca="false">IF($H71="","",INDEX(_Helpers!$D$2:$D$91,$H71-2+1))</f>
        <v/>
      </c>
      <c r="C71" s="27" t="str">
        <f aca="false">IF($H71="","",INDEX(_Helpers!$B$2:$B$91,$H71-2+1))</f>
        <v/>
      </c>
      <c r="D71" s="27" t="str">
        <f aca="false">IF($H71="","",INDEX(_Helpers!$C$2:$C$91,$H71-2+1))</f>
        <v/>
      </c>
      <c r="E71" s="27" t="str">
        <f aca="false">IF($H71="","",INDEX(_Helpers!$L$2:$L$91,$H71-2+1))</f>
        <v/>
      </c>
      <c r="F71" s="28" t="str">
        <f aca="false">IF($H71="","",INDEX(_Helpers!$M$2:$M$91,$H71-2+1))</f>
        <v/>
      </c>
      <c r="G71" s="2"/>
      <c r="H71" s="25" t="str">
        <f aca="false" t="array" ref="H71:H71">IFERROR(SMALL(IF(_Helpers!$E$2:$E$91=1,ROW(_Helpers!$E$2:$E$91)),ROWS($A$4:A71)),"")</f>
        <v/>
      </c>
      <c r="I71" s="2"/>
      <c r="J71" s="2"/>
    </row>
    <row r="72" customFormat="false" ht="15" hidden="false" customHeight="false" outlineLevel="0" collapsed="false">
      <c r="A72" s="26" t="str">
        <f aca="false">IF($H72="","",INDEX(_Helpers!$A$2:$A$91,$H72-2+1))</f>
        <v/>
      </c>
      <c r="B72" s="26" t="str">
        <f aca="false">IF($H72="","",INDEX(_Helpers!$D$2:$D$91,$H72-2+1))</f>
        <v/>
      </c>
      <c r="C72" s="27" t="str">
        <f aca="false">IF($H72="","",INDEX(_Helpers!$B$2:$B$91,$H72-2+1))</f>
        <v/>
      </c>
      <c r="D72" s="27" t="str">
        <f aca="false">IF($H72="","",INDEX(_Helpers!$C$2:$C$91,$H72-2+1))</f>
        <v/>
      </c>
      <c r="E72" s="27" t="str">
        <f aca="false">IF($H72="","",INDEX(_Helpers!$L$2:$L$91,$H72-2+1))</f>
        <v/>
      </c>
      <c r="F72" s="28" t="str">
        <f aca="false">IF($H72="","",INDEX(_Helpers!$M$2:$M$91,$H72-2+1))</f>
        <v/>
      </c>
      <c r="G72" s="2"/>
      <c r="H72" s="25" t="str">
        <f aca="false" t="array" ref="H72:H72">IFERROR(SMALL(IF(_Helpers!$E$2:$E$91=1,ROW(_Helpers!$E$2:$E$91)),ROWS($A$4:A72)),"")</f>
        <v/>
      </c>
      <c r="I72" s="2"/>
      <c r="J72" s="2"/>
    </row>
    <row r="73" customFormat="false" ht="15" hidden="false" customHeight="false" outlineLevel="0" collapsed="false">
      <c r="A73" s="26" t="str">
        <f aca="false">IF($H73="","",INDEX(_Helpers!$A$2:$A$91,$H73-2+1))</f>
        <v/>
      </c>
      <c r="B73" s="26" t="str">
        <f aca="false">IF($H73="","",INDEX(_Helpers!$D$2:$D$91,$H73-2+1))</f>
        <v/>
      </c>
      <c r="C73" s="27" t="str">
        <f aca="false">IF($H73="","",INDEX(_Helpers!$B$2:$B$91,$H73-2+1))</f>
        <v/>
      </c>
      <c r="D73" s="27" t="str">
        <f aca="false">IF($H73="","",INDEX(_Helpers!$C$2:$C$91,$H73-2+1))</f>
        <v/>
      </c>
      <c r="E73" s="27" t="str">
        <f aca="false">IF($H73="","",INDEX(_Helpers!$L$2:$L$91,$H73-2+1))</f>
        <v/>
      </c>
      <c r="F73" s="28" t="str">
        <f aca="false">IF($H73="","",INDEX(_Helpers!$M$2:$M$91,$H73-2+1))</f>
        <v/>
      </c>
      <c r="G73" s="2"/>
      <c r="H73" s="25" t="str">
        <f aca="false" t="array" ref="H73:H73">IFERROR(SMALL(IF(_Helpers!$E$2:$E$91=1,ROW(_Helpers!$E$2:$E$91)),ROWS($A$4:A73)),"")</f>
        <v/>
      </c>
      <c r="I73" s="2"/>
      <c r="J73" s="2"/>
    </row>
    <row r="74" customFormat="false" ht="15" hidden="false" customHeight="false" outlineLevel="0" collapsed="false">
      <c r="A74" s="26" t="str">
        <f aca="false">IF($H74="","",INDEX(_Helpers!$A$2:$A$91,$H74-2+1))</f>
        <v/>
      </c>
      <c r="B74" s="26" t="str">
        <f aca="false">IF($H74="","",INDEX(_Helpers!$D$2:$D$91,$H74-2+1))</f>
        <v/>
      </c>
      <c r="C74" s="27" t="str">
        <f aca="false">IF($H74="","",INDEX(_Helpers!$B$2:$B$91,$H74-2+1))</f>
        <v/>
      </c>
      <c r="D74" s="27" t="str">
        <f aca="false">IF($H74="","",INDEX(_Helpers!$C$2:$C$91,$H74-2+1))</f>
        <v/>
      </c>
      <c r="E74" s="27" t="str">
        <f aca="false">IF($H74="","",INDEX(_Helpers!$L$2:$L$91,$H74-2+1))</f>
        <v/>
      </c>
      <c r="F74" s="28" t="str">
        <f aca="false">IF($H74="","",INDEX(_Helpers!$M$2:$M$91,$H74-2+1))</f>
        <v/>
      </c>
      <c r="G74" s="2"/>
      <c r="H74" s="25" t="str">
        <f aca="false" t="array" ref="H74:H74">IFERROR(SMALL(IF(_Helpers!$E$2:$E$91=1,ROW(_Helpers!$E$2:$E$91)),ROWS($A$4:A74)),"")</f>
        <v/>
      </c>
      <c r="I74" s="2"/>
      <c r="J74" s="2"/>
    </row>
    <row r="75" customFormat="false" ht="15" hidden="false" customHeight="false" outlineLevel="0" collapsed="false">
      <c r="A75" s="26" t="str">
        <f aca="false">IF($H75="","",INDEX(_Helpers!$A$2:$A$91,$H75-2+1))</f>
        <v/>
      </c>
      <c r="B75" s="26" t="str">
        <f aca="false">IF($H75="","",INDEX(_Helpers!$D$2:$D$91,$H75-2+1))</f>
        <v/>
      </c>
      <c r="C75" s="27" t="str">
        <f aca="false">IF($H75="","",INDEX(_Helpers!$B$2:$B$91,$H75-2+1))</f>
        <v/>
      </c>
      <c r="D75" s="27" t="str">
        <f aca="false">IF($H75="","",INDEX(_Helpers!$C$2:$C$91,$H75-2+1))</f>
        <v/>
      </c>
      <c r="E75" s="27" t="str">
        <f aca="false">IF($H75="","",INDEX(_Helpers!$L$2:$L$91,$H75-2+1))</f>
        <v/>
      </c>
      <c r="F75" s="28" t="str">
        <f aca="false">IF($H75="","",INDEX(_Helpers!$M$2:$M$91,$H75-2+1))</f>
        <v/>
      </c>
      <c r="G75" s="2"/>
      <c r="H75" s="25" t="str">
        <f aca="false" t="array" ref="H75:H75">IFERROR(SMALL(IF(_Helpers!$E$2:$E$91=1,ROW(_Helpers!$E$2:$E$91)),ROWS($A$4:A75)),"")</f>
        <v/>
      </c>
      <c r="I75" s="2"/>
      <c r="J75" s="2"/>
    </row>
    <row r="76" customFormat="false" ht="15" hidden="false" customHeight="false" outlineLevel="0" collapsed="false">
      <c r="A76" s="26" t="str">
        <f aca="false">IF($H76="","",INDEX(_Helpers!$A$2:$A$91,$H76-2+1))</f>
        <v/>
      </c>
      <c r="B76" s="26" t="str">
        <f aca="false">IF($H76="","",INDEX(_Helpers!$D$2:$D$91,$H76-2+1))</f>
        <v/>
      </c>
      <c r="C76" s="27" t="str">
        <f aca="false">IF($H76="","",INDEX(_Helpers!$B$2:$B$91,$H76-2+1))</f>
        <v/>
      </c>
      <c r="D76" s="27" t="str">
        <f aca="false">IF($H76="","",INDEX(_Helpers!$C$2:$C$91,$H76-2+1))</f>
        <v/>
      </c>
      <c r="E76" s="27" t="str">
        <f aca="false">IF($H76="","",INDEX(_Helpers!$L$2:$L$91,$H76-2+1))</f>
        <v/>
      </c>
      <c r="F76" s="28" t="str">
        <f aca="false">IF($H76="","",INDEX(_Helpers!$M$2:$M$91,$H76-2+1))</f>
        <v/>
      </c>
      <c r="G76" s="2"/>
      <c r="H76" s="25" t="str">
        <f aca="false" t="array" ref="H76:H76">IFERROR(SMALL(IF(_Helpers!$E$2:$E$91=1,ROW(_Helpers!$E$2:$E$91)),ROWS($A$4:A76)),"")</f>
        <v/>
      </c>
      <c r="I76" s="2"/>
      <c r="J76" s="2"/>
    </row>
    <row r="77" customFormat="false" ht="15" hidden="false" customHeight="false" outlineLevel="0" collapsed="false">
      <c r="A77" s="26" t="str">
        <f aca="false">IF($H77="","",INDEX(_Helpers!$A$2:$A$91,$H77-2+1))</f>
        <v/>
      </c>
      <c r="B77" s="26" t="str">
        <f aca="false">IF($H77="","",INDEX(_Helpers!$D$2:$D$91,$H77-2+1))</f>
        <v/>
      </c>
      <c r="C77" s="27" t="str">
        <f aca="false">IF($H77="","",INDEX(_Helpers!$B$2:$B$91,$H77-2+1))</f>
        <v/>
      </c>
      <c r="D77" s="27" t="str">
        <f aca="false">IF($H77="","",INDEX(_Helpers!$C$2:$C$91,$H77-2+1))</f>
        <v/>
      </c>
      <c r="E77" s="27" t="str">
        <f aca="false">IF($H77="","",INDEX(_Helpers!$L$2:$L$91,$H77-2+1))</f>
        <v/>
      </c>
      <c r="F77" s="28" t="str">
        <f aca="false">IF($H77="","",INDEX(_Helpers!$M$2:$M$91,$H77-2+1))</f>
        <v/>
      </c>
      <c r="G77" s="2"/>
      <c r="H77" s="25" t="str">
        <f aca="false" t="array" ref="H77:H77">IFERROR(SMALL(IF(_Helpers!$E$2:$E$91=1,ROW(_Helpers!$E$2:$E$91)),ROWS($A$4:A77)),"")</f>
        <v/>
      </c>
      <c r="I77" s="2"/>
      <c r="J77" s="2"/>
    </row>
    <row r="78" customFormat="false" ht="15" hidden="false" customHeight="false" outlineLevel="0" collapsed="false">
      <c r="A78" s="26" t="str">
        <f aca="false">IF($H78="","",INDEX(_Helpers!$A$2:$A$91,$H78-2+1))</f>
        <v/>
      </c>
      <c r="B78" s="26" t="str">
        <f aca="false">IF($H78="","",INDEX(_Helpers!$D$2:$D$91,$H78-2+1))</f>
        <v/>
      </c>
      <c r="C78" s="27" t="str">
        <f aca="false">IF($H78="","",INDEX(_Helpers!$B$2:$B$91,$H78-2+1))</f>
        <v/>
      </c>
      <c r="D78" s="27" t="str">
        <f aca="false">IF($H78="","",INDEX(_Helpers!$C$2:$C$91,$H78-2+1))</f>
        <v/>
      </c>
      <c r="E78" s="27" t="str">
        <f aca="false">IF($H78="","",INDEX(_Helpers!$L$2:$L$91,$H78-2+1))</f>
        <v/>
      </c>
      <c r="F78" s="28" t="str">
        <f aca="false">IF($H78="","",INDEX(_Helpers!$M$2:$M$91,$H78-2+1))</f>
        <v/>
      </c>
      <c r="G78" s="2"/>
      <c r="H78" s="25" t="str">
        <f aca="false" t="array" ref="H78:H78">IFERROR(SMALL(IF(_Helpers!$E$2:$E$91=1,ROW(_Helpers!$E$2:$E$91)),ROWS($A$4:A78)),"")</f>
        <v/>
      </c>
      <c r="I78" s="2"/>
      <c r="J78" s="2"/>
    </row>
    <row r="79" customFormat="false" ht="15" hidden="false" customHeight="false" outlineLevel="0" collapsed="false">
      <c r="A79" s="26" t="str">
        <f aca="false">IF($H79="","",INDEX(_Helpers!$A$2:$A$91,$H79-2+1))</f>
        <v/>
      </c>
      <c r="B79" s="26" t="str">
        <f aca="false">IF($H79="","",INDEX(_Helpers!$D$2:$D$91,$H79-2+1))</f>
        <v/>
      </c>
      <c r="C79" s="27" t="str">
        <f aca="false">IF($H79="","",INDEX(_Helpers!$B$2:$B$91,$H79-2+1))</f>
        <v/>
      </c>
      <c r="D79" s="27" t="str">
        <f aca="false">IF($H79="","",INDEX(_Helpers!$C$2:$C$91,$H79-2+1))</f>
        <v/>
      </c>
      <c r="E79" s="27" t="str">
        <f aca="false">IF($H79="","",INDEX(_Helpers!$L$2:$L$91,$H79-2+1))</f>
        <v/>
      </c>
      <c r="F79" s="28" t="str">
        <f aca="false">IF($H79="","",INDEX(_Helpers!$M$2:$M$91,$H79-2+1))</f>
        <v/>
      </c>
      <c r="G79" s="2"/>
      <c r="H79" s="25" t="str">
        <f aca="false" t="array" ref="H79:H79">IFERROR(SMALL(IF(_Helpers!$E$2:$E$91=1,ROW(_Helpers!$E$2:$E$91)),ROWS($A$4:A79)),"")</f>
        <v/>
      </c>
      <c r="I79" s="2"/>
      <c r="J79" s="2"/>
    </row>
    <row r="80" customFormat="false" ht="15" hidden="false" customHeight="false" outlineLevel="0" collapsed="false">
      <c r="A80" s="26" t="str">
        <f aca="false">IF($H80="","",INDEX(_Helpers!$A$2:$A$91,$H80-2+1))</f>
        <v/>
      </c>
      <c r="B80" s="26" t="str">
        <f aca="false">IF($H80="","",INDEX(_Helpers!$D$2:$D$91,$H80-2+1))</f>
        <v/>
      </c>
      <c r="C80" s="27" t="str">
        <f aca="false">IF($H80="","",INDEX(_Helpers!$B$2:$B$91,$H80-2+1))</f>
        <v/>
      </c>
      <c r="D80" s="27" t="str">
        <f aca="false">IF($H80="","",INDEX(_Helpers!$C$2:$C$91,$H80-2+1))</f>
        <v/>
      </c>
      <c r="E80" s="27" t="str">
        <f aca="false">IF($H80="","",INDEX(_Helpers!$L$2:$L$91,$H80-2+1))</f>
        <v/>
      </c>
      <c r="F80" s="28" t="str">
        <f aca="false">IF($H80="","",INDEX(_Helpers!$M$2:$M$91,$H80-2+1))</f>
        <v/>
      </c>
      <c r="G80" s="2"/>
      <c r="H80" s="25" t="str">
        <f aca="false" t="array" ref="H80:H80">IFERROR(SMALL(IF(_Helpers!$E$2:$E$91=1,ROW(_Helpers!$E$2:$E$91)),ROWS($A$4:A80)),"")</f>
        <v/>
      </c>
      <c r="I80" s="2"/>
      <c r="J80" s="2"/>
    </row>
    <row r="81" customFormat="false" ht="15" hidden="false" customHeight="false" outlineLevel="0" collapsed="false">
      <c r="A81" s="26" t="str">
        <f aca="false">IF($H81="","",INDEX(_Helpers!$A$2:$A$91,$H81-2+1))</f>
        <v/>
      </c>
      <c r="B81" s="26" t="str">
        <f aca="false">IF($H81="","",INDEX(_Helpers!$D$2:$D$91,$H81-2+1))</f>
        <v/>
      </c>
      <c r="C81" s="27" t="str">
        <f aca="false">IF($H81="","",INDEX(_Helpers!$B$2:$B$91,$H81-2+1))</f>
        <v/>
      </c>
      <c r="D81" s="27" t="str">
        <f aca="false">IF($H81="","",INDEX(_Helpers!$C$2:$C$91,$H81-2+1))</f>
        <v/>
      </c>
      <c r="E81" s="27" t="str">
        <f aca="false">IF($H81="","",INDEX(_Helpers!$L$2:$L$91,$H81-2+1))</f>
        <v/>
      </c>
      <c r="F81" s="28" t="str">
        <f aca="false">IF($H81="","",INDEX(_Helpers!$M$2:$M$91,$H81-2+1))</f>
        <v/>
      </c>
      <c r="G81" s="2"/>
      <c r="H81" s="25" t="str">
        <f aca="false" t="array" ref="H81:H81">IFERROR(SMALL(IF(_Helpers!$E$2:$E$91=1,ROW(_Helpers!$E$2:$E$91)),ROWS($A$4:A81)),"")</f>
        <v/>
      </c>
      <c r="I81" s="2"/>
      <c r="J81" s="2"/>
    </row>
    <row r="82" customFormat="false" ht="15" hidden="false" customHeight="false" outlineLevel="0" collapsed="false">
      <c r="A82" s="26" t="str">
        <f aca="false">IF($H82="","",INDEX(_Helpers!$A$2:$A$91,$H82-2+1))</f>
        <v/>
      </c>
      <c r="B82" s="26" t="str">
        <f aca="false">IF($H82="","",INDEX(_Helpers!$D$2:$D$91,$H82-2+1))</f>
        <v/>
      </c>
      <c r="C82" s="27" t="str">
        <f aca="false">IF($H82="","",INDEX(_Helpers!$B$2:$B$91,$H82-2+1))</f>
        <v/>
      </c>
      <c r="D82" s="27" t="str">
        <f aca="false">IF($H82="","",INDEX(_Helpers!$C$2:$C$91,$H82-2+1))</f>
        <v/>
      </c>
      <c r="E82" s="27" t="str">
        <f aca="false">IF($H82="","",INDEX(_Helpers!$L$2:$L$91,$H82-2+1))</f>
        <v/>
      </c>
      <c r="F82" s="28" t="str">
        <f aca="false">IF($H82="","",INDEX(_Helpers!$M$2:$M$91,$H82-2+1))</f>
        <v/>
      </c>
      <c r="G82" s="2"/>
      <c r="H82" s="25" t="str">
        <f aca="false" t="array" ref="H82:H82">IFERROR(SMALL(IF(_Helpers!$E$2:$E$91=1,ROW(_Helpers!$E$2:$E$91)),ROWS($A$4:A82)),"")</f>
        <v/>
      </c>
      <c r="I82" s="2"/>
      <c r="J82" s="2"/>
    </row>
    <row r="83" customFormat="false" ht="15" hidden="false" customHeight="false" outlineLevel="0" collapsed="false">
      <c r="A83" s="26" t="str">
        <f aca="false">IF($H83="","",INDEX(_Helpers!$A$2:$A$91,$H83-2+1))</f>
        <v/>
      </c>
      <c r="B83" s="26" t="str">
        <f aca="false">IF($H83="","",INDEX(_Helpers!$D$2:$D$91,$H83-2+1))</f>
        <v/>
      </c>
      <c r="C83" s="27" t="str">
        <f aca="false">IF($H83="","",INDEX(_Helpers!$B$2:$B$91,$H83-2+1))</f>
        <v/>
      </c>
      <c r="D83" s="27" t="str">
        <f aca="false">IF($H83="","",INDEX(_Helpers!$C$2:$C$91,$H83-2+1))</f>
        <v/>
      </c>
      <c r="E83" s="27" t="str">
        <f aca="false">IF($H83="","",INDEX(_Helpers!$L$2:$L$91,$H83-2+1))</f>
        <v/>
      </c>
      <c r="F83" s="28" t="str">
        <f aca="false">IF($H83="","",INDEX(_Helpers!$M$2:$M$91,$H83-2+1))</f>
        <v/>
      </c>
      <c r="G83" s="2"/>
      <c r="H83" s="25" t="str">
        <f aca="false" t="array" ref="H83:H83">IFERROR(SMALL(IF(_Helpers!$E$2:$E$91=1,ROW(_Helpers!$E$2:$E$91)),ROWS($A$4:A83)),"")</f>
        <v/>
      </c>
      <c r="I83" s="2"/>
      <c r="J83" s="2"/>
    </row>
    <row r="84" customFormat="false" ht="15" hidden="false" customHeight="false" outlineLevel="0" collapsed="false">
      <c r="A84" s="26" t="str">
        <f aca="false">IF($H84="","",INDEX(_Helpers!$A$2:$A$91,$H84-2+1))</f>
        <v/>
      </c>
      <c r="B84" s="26" t="str">
        <f aca="false">IF($H84="","",INDEX(_Helpers!$D$2:$D$91,$H84-2+1))</f>
        <v/>
      </c>
      <c r="C84" s="27" t="str">
        <f aca="false">IF($H84="","",INDEX(_Helpers!$B$2:$B$91,$H84-2+1))</f>
        <v/>
      </c>
      <c r="D84" s="27" t="str">
        <f aca="false">IF($H84="","",INDEX(_Helpers!$C$2:$C$91,$H84-2+1))</f>
        <v/>
      </c>
      <c r="E84" s="27" t="str">
        <f aca="false">IF($H84="","",INDEX(_Helpers!$L$2:$L$91,$H84-2+1))</f>
        <v/>
      </c>
      <c r="F84" s="28" t="str">
        <f aca="false">IF($H84="","",INDEX(_Helpers!$M$2:$M$91,$H84-2+1))</f>
        <v/>
      </c>
      <c r="G84" s="2"/>
      <c r="H84" s="25" t="str">
        <f aca="false" t="array" ref="H84:H84">IFERROR(SMALL(IF(_Helpers!$E$2:$E$91=1,ROW(_Helpers!$E$2:$E$91)),ROWS($A$4:A84)),"")</f>
        <v/>
      </c>
      <c r="I84" s="2"/>
      <c r="J84" s="2"/>
    </row>
    <row r="85" customFormat="false" ht="15" hidden="false" customHeight="false" outlineLevel="0" collapsed="false">
      <c r="A85" s="26" t="str">
        <f aca="false">IF($H85="","",INDEX(_Helpers!$A$2:$A$91,$H85-2+1))</f>
        <v/>
      </c>
      <c r="B85" s="26" t="str">
        <f aca="false">IF($H85="","",INDEX(_Helpers!$D$2:$D$91,$H85-2+1))</f>
        <v/>
      </c>
      <c r="C85" s="27" t="str">
        <f aca="false">IF($H85="","",INDEX(_Helpers!$B$2:$B$91,$H85-2+1))</f>
        <v/>
      </c>
      <c r="D85" s="27" t="str">
        <f aca="false">IF($H85="","",INDEX(_Helpers!$C$2:$C$91,$H85-2+1))</f>
        <v/>
      </c>
      <c r="E85" s="27" t="str">
        <f aca="false">IF($H85="","",INDEX(_Helpers!$L$2:$L$91,$H85-2+1))</f>
        <v/>
      </c>
      <c r="F85" s="28" t="str">
        <f aca="false">IF($H85="","",INDEX(_Helpers!$M$2:$M$91,$H85-2+1))</f>
        <v/>
      </c>
      <c r="G85" s="2"/>
      <c r="H85" s="25" t="str">
        <f aca="false" t="array" ref="H85:H85">IFERROR(SMALL(IF(_Helpers!$E$2:$E$91=1,ROW(_Helpers!$E$2:$E$91)),ROWS($A$4:A85)),"")</f>
        <v/>
      </c>
      <c r="I85" s="2"/>
      <c r="J85" s="2"/>
    </row>
    <row r="86" customFormat="false" ht="15" hidden="false" customHeight="false" outlineLevel="0" collapsed="false">
      <c r="A86" s="26" t="str">
        <f aca="false">IF($H86="","",INDEX(_Helpers!$A$2:$A$91,$H86-2+1))</f>
        <v/>
      </c>
      <c r="B86" s="26" t="str">
        <f aca="false">IF($H86="","",INDEX(_Helpers!$D$2:$D$91,$H86-2+1))</f>
        <v/>
      </c>
      <c r="C86" s="27" t="str">
        <f aca="false">IF($H86="","",INDEX(_Helpers!$B$2:$B$91,$H86-2+1))</f>
        <v/>
      </c>
      <c r="D86" s="27" t="str">
        <f aca="false">IF($H86="","",INDEX(_Helpers!$C$2:$C$91,$H86-2+1))</f>
        <v/>
      </c>
      <c r="E86" s="27" t="str">
        <f aca="false">IF($H86="","",INDEX(_Helpers!$L$2:$L$91,$H86-2+1))</f>
        <v/>
      </c>
      <c r="F86" s="28" t="str">
        <f aca="false">IF($H86="","",INDEX(_Helpers!$M$2:$M$91,$H86-2+1))</f>
        <v/>
      </c>
      <c r="G86" s="2"/>
      <c r="H86" s="25" t="str">
        <f aca="false" t="array" ref="H86:H86">IFERROR(SMALL(IF(_Helpers!$E$2:$E$91=1,ROW(_Helpers!$E$2:$E$91)),ROWS($A$4:A86)),"")</f>
        <v/>
      </c>
      <c r="I86" s="2"/>
      <c r="J86" s="2"/>
    </row>
    <row r="87" customFormat="false" ht="15" hidden="false" customHeight="false" outlineLevel="0" collapsed="false">
      <c r="A87" s="26" t="str">
        <f aca="false">IF($H87="","",INDEX(_Helpers!$A$2:$A$91,$H87-2+1))</f>
        <v/>
      </c>
      <c r="B87" s="26" t="str">
        <f aca="false">IF($H87="","",INDEX(_Helpers!$D$2:$D$91,$H87-2+1))</f>
        <v/>
      </c>
      <c r="C87" s="27" t="str">
        <f aca="false">IF($H87="","",INDEX(_Helpers!$B$2:$B$91,$H87-2+1))</f>
        <v/>
      </c>
      <c r="D87" s="27" t="str">
        <f aca="false">IF($H87="","",INDEX(_Helpers!$C$2:$C$91,$H87-2+1))</f>
        <v/>
      </c>
      <c r="E87" s="27" t="str">
        <f aca="false">IF($H87="","",INDEX(_Helpers!$L$2:$L$91,$H87-2+1))</f>
        <v/>
      </c>
      <c r="F87" s="28" t="str">
        <f aca="false">IF($H87="","",INDEX(_Helpers!$M$2:$M$91,$H87-2+1))</f>
        <v/>
      </c>
      <c r="G87" s="2"/>
      <c r="H87" s="25" t="str">
        <f aca="false" t="array" ref="H87:H87">IFERROR(SMALL(IF(_Helpers!$E$2:$E$91=1,ROW(_Helpers!$E$2:$E$91)),ROWS($A$4:A87)),"")</f>
        <v/>
      </c>
      <c r="I87" s="2"/>
      <c r="J87" s="2"/>
    </row>
    <row r="88" customFormat="false" ht="15" hidden="false" customHeight="false" outlineLevel="0" collapsed="false">
      <c r="A88" s="26" t="str">
        <f aca="false">IF($H88="","",INDEX(_Helpers!$A$2:$A$91,$H88-2+1))</f>
        <v/>
      </c>
      <c r="B88" s="26" t="str">
        <f aca="false">IF($H88="","",INDEX(_Helpers!$D$2:$D$91,$H88-2+1))</f>
        <v/>
      </c>
      <c r="C88" s="27" t="str">
        <f aca="false">IF($H88="","",INDEX(_Helpers!$B$2:$B$91,$H88-2+1))</f>
        <v/>
      </c>
      <c r="D88" s="27" t="str">
        <f aca="false">IF($H88="","",INDEX(_Helpers!$C$2:$C$91,$H88-2+1))</f>
        <v/>
      </c>
      <c r="E88" s="27" t="str">
        <f aca="false">IF($H88="","",INDEX(_Helpers!$L$2:$L$91,$H88-2+1))</f>
        <v/>
      </c>
      <c r="F88" s="28" t="str">
        <f aca="false">IF($H88="","",INDEX(_Helpers!$M$2:$M$91,$H88-2+1))</f>
        <v/>
      </c>
      <c r="G88" s="2"/>
      <c r="H88" s="25" t="str">
        <f aca="false" t="array" ref="H88:H88">IFERROR(SMALL(IF(_Helpers!$E$2:$E$91=1,ROW(_Helpers!$E$2:$E$91)),ROWS($A$4:A88)),"")</f>
        <v/>
      </c>
      <c r="I88" s="2"/>
      <c r="J88" s="2"/>
    </row>
    <row r="89" customFormat="false" ht="15" hidden="false" customHeight="false" outlineLevel="0" collapsed="false">
      <c r="A89" s="26" t="str">
        <f aca="false">IF($H89="","",INDEX(_Helpers!$A$2:$A$91,$H89-2+1))</f>
        <v/>
      </c>
      <c r="B89" s="26" t="str">
        <f aca="false">IF($H89="","",INDEX(_Helpers!$D$2:$D$91,$H89-2+1))</f>
        <v/>
      </c>
      <c r="C89" s="27" t="str">
        <f aca="false">IF($H89="","",INDEX(_Helpers!$B$2:$B$91,$H89-2+1))</f>
        <v/>
      </c>
      <c r="D89" s="27" t="str">
        <f aca="false">IF($H89="","",INDEX(_Helpers!$C$2:$C$91,$H89-2+1))</f>
        <v/>
      </c>
      <c r="E89" s="27" t="str">
        <f aca="false">IF($H89="","",INDEX(_Helpers!$L$2:$L$91,$H89-2+1))</f>
        <v/>
      </c>
      <c r="F89" s="28" t="str">
        <f aca="false">IF($H89="","",INDEX(_Helpers!$M$2:$M$91,$H89-2+1))</f>
        <v/>
      </c>
      <c r="G89" s="2"/>
      <c r="H89" s="25" t="str">
        <f aca="false" t="array" ref="H89:H89">IFERROR(SMALL(IF(_Helpers!$E$2:$E$91=1,ROW(_Helpers!$E$2:$E$91)),ROWS($A$4:A89)),"")</f>
        <v/>
      </c>
      <c r="I89" s="2"/>
      <c r="J89" s="2"/>
    </row>
    <row r="90" customFormat="false" ht="15" hidden="false" customHeight="false" outlineLevel="0" collapsed="false">
      <c r="A90" s="26" t="str">
        <f aca="false">IF($H90="","",INDEX(_Helpers!$A$2:$A$91,$H90-2+1))</f>
        <v/>
      </c>
      <c r="B90" s="26" t="str">
        <f aca="false">IF($H90="","",INDEX(_Helpers!$D$2:$D$91,$H90-2+1))</f>
        <v/>
      </c>
      <c r="C90" s="27" t="str">
        <f aca="false">IF($H90="","",INDEX(_Helpers!$B$2:$B$91,$H90-2+1))</f>
        <v/>
      </c>
      <c r="D90" s="27" t="str">
        <f aca="false">IF($H90="","",INDEX(_Helpers!$C$2:$C$91,$H90-2+1))</f>
        <v/>
      </c>
      <c r="E90" s="27" t="str">
        <f aca="false">IF($H90="","",INDEX(_Helpers!$L$2:$L$91,$H90-2+1))</f>
        <v/>
      </c>
      <c r="F90" s="28" t="str">
        <f aca="false">IF($H90="","",INDEX(_Helpers!$M$2:$M$91,$H90-2+1))</f>
        <v/>
      </c>
      <c r="G90" s="2"/>
      <c r="H90" s="25" t="str">
        <f aca="false" t="array" ref="H90:H90">IFERROR(SMALL(IF(_Helpers!$E$2:$E$91=1,ROW(_Helpers!$E$2:$E$91)),ROWS($A$4:A90)),"")</f>
        <v/>
      </c>
      <c r="I90" s="2"/>
      <c r="J90" s="2"/>
    </row>
    <row r="91" customFormat="false" ht="15" hidden="false" customHeight="false" outlineLevel="0" collapsed="false">
      <c r="A91" s="26" t="str">
        <f aca="false">IF($H91="","",INDEX(_Helpers!$A$2:$A$91,$H91-2+1))</f>
        <v/>
      </c>
      <c r="B91" s="26" t="str">
        <f aca="false">IF($H91="","",INDEX(_Helpers!$D$2:$D$91,$H91-2+1))</f>
        <v/>
      </c>
      <c r="C91" s="27" t="str">
        <f aca="false">IF($H91="","",INDEX(_Helpers!$B$2:$B$91,$H91-2+1))</f>
        <v/>
      </c>
      <c r="D91" s="27" t="str">
        <f aca="false">IF($H91="","",INDEX(_Helpers!$C$2:$C$91,$H91-2+1))</f>
        <v/>
      </c>
      <c r="E91" s="27" t="str">
        <f aca="false">IF($H91="","",INDEX(_Helpers!$L$2:$L$91,$H91-2+1))</f>
        <v/>
      </c>
      <c r="F91" s="28" t="str">
        <f aca="false">IF($H91="","",INDEX(_Helpers!$M$2:$M$91,$H91-2+1))</f>
        <v/>
      </c>
      <c r="G91" s="2"/>
      <c r="H91" s="25" t="str">
        <f aca="false" t="array" ref="H91:H91">IFERROR(SMALL(IF(_Helpers!$E$2:$E$91=1,ROW(_Helpers!$E$2:$E$91)),ROWS($A$4:A91)),"")</f>
        <v/>
      </c>
      <c r="I91" s="2"/>
      <c r="J91" s="2"/>
    </row>
    <row r="92" customFormat="false" ht="15" hidden="false" customHeight="false" outlineLevel="0" collapsed="false">
      <c r="A92" s="26" t="str">
        <f aca="false">IF($H92="","",INDEX(_Helpers!$A$2:$A$91,$H92-2+1))</f>
        <v/>
      </c>
      <c r="B92" s="26" t="str">
        <f aca="false">IF($H92="","",INDEX(_Helpers!$D$2:$D$91,$H92-2+1))</f>
        <v/>
      </c>
      <c r="C92" s="27" t="str">
        <f aca="false">IF($H92="","",INDEX(_Helpers!$B$2:$B$91,$H92-2+1))</f>
        <v/>
      </c>
      <c r="D92" s="27" t="str">
        <f aca="false">IF($H92="","",INDEX(_Helpers!$C$2:$C$91,$H92-2+1))</f>
        <v/>
      </c>
      <c r="E92" s="27" t="str">
        <f aca="false">IF($H92="","",INDEX(_Helpers!$L$2:$L$91,$H92-2+1))</f>
        <v/>
      </c>
      <c r="F92" s="28" t="str">
        <f aca="false">IF($H92="","",INDEX(_Helpers!$M$2:$M$91,$H92-2+1))</f>
        <v/>
      </c>
      <c r="G92" s="2"/>
      <c r="H92" s="25" t="str">
        <f aca="false" t="array" ref="H92:H92">IFERROR(SMALL(IF(_Helpers!$E$2:$E$91=1,ROW(_Helpers!$E$2:$E$91)),ROWS($A$4:A92)),"")</f>
        <v/>
      </c>
      <c r="I92" s="2"/>
      <c r="J92" s="2"/>
    </row>
    <row r="93" customFormat="false" ht="15" hidden="false" customHeight="false" outlineLevel="0" collapsed="false">
      <c r="A93" s="26" t="str">
        <f aca="false">IF($H93="","",INDEX(_Helpers!$A$2:$A$91,$H93-2+1))</f>
        <v/>
      </c>
      <c r="B93" s="26" t="str">
        <f aca="false">IF($H93="","",INDEX(_Helpers!$D$2:$D$91,$H93-2+1))</f>
        <v/>
      </c>
      <c r="C93" s="27" t="str">
        <f aca="false">IF($H93="","",INDEX(_Helpers!$B$2:$B$91,$H93-2+1))</f>
        <v/>
      </c>
      <c r="D93" s="27" t="str">
        <f aca="false">IF($H93="","",INDEX(_Helpers!$C$2:$C$91,$H93-2+1))</f>
        <v/>
      </c>
      <c r="E93" s="27" t="str">
        <f aca="false">IF($H93="","",INDEX(_Helpers!$L$2:$L$91,$H93-2+1))</f>
        <v/>
      </c>
      <c r="F93" s="28" t="str">
        <f aca="false">IF($H93="","",INDEX(_Helpers!$M$2:$M$91,$H93-2+1))</f>
        <v/>
      </c>
      <c r="G93" s="2"/>
      <c r="H93" s="25" t="str">
        <f aca="false" t="array" ref="H93:H93">IFERROR(SMALL(IF(_Helpers!$E$2:$E$91=1,ROW(_Helpers!$E$2:$E$91)),ROWS($A$4:A93)),"")</f>
        <v/>
      </c>
      <c r="I93" s="2"/>
      <c r="J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</row>
  </sheetData>
  <autoFilter ref="A3:F93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15D"/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3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9.7" hidden="false" customHeight="false" outlineLevel="0" collapsed="false">
      <c r="A1" s="1" t="s">
        <v>122</v>
      </c>
      <c r="B1" s="1"/>
      <c r="C1" s="1"/>
      <c r="D1" s="1"/>
      <c r="E1" s="1"/>
      <c r="F1" s="1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4" t="s">
        <v>123</v>
      </c>
      <c r="B3" s="2"/>
      <c r="C3" s="7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4" t="s">
        <v>43</v>
      </c>
      <c r="B5" s="2"/>
      <c r="C5" s="31" t="str">
        <f aca="false">IFERROR(INDEX(_Helpers!$D$2:$D$91,MATCH($C$3,_Helpers!$A$2:$A$91,0)),"Not found")</f>
        <v/>
      </c>
      <c r="D5" s="2"/>
      <c r="E5" s="2"/>
      <c r="F5" s="2"/>
      <c r="G5" s="2"/>
      <c r="H5" s="2"/>
    </row>
    <row r="6" customFormat="false" ht="15" hidden="false" customHeight="false" outlineLevel="0" collapsed="false">
      <c r="A6" s="4" t="s">
        <v>55</v>
      </c>
      <c r="B6" s="2"/>
      <c r="C6" s="31" t="str">
        <f aca="false">IFERROR(INDEX(_Helpers!$P$2:$P$91,MATCH($C$3,_Helpers!$A$2:$A$91,0)),"Not found")</f>
        <v/>
      </c>
      <c r="D6" s="2"/>
      <c r="E6" s="2"/>
      <c r="F6" s="2"/>
      <c r="G6" s="2"/>
      <c r="H6" s="2"/>
    </row>
    <row r="7" customFormat="false" ht="15" hidden="false" customHeight="false" outlineLevel="0" collapsed="false">
      <c r="A7" s="4" t="s">
        <v>113</v>
      </c>
      <c r="B7" s="2"/>
      <c r="C7" s="31" t="str">
        <f aca="false">IF(N(IFERROR(INDEX(_Helpers!$G$2:$G$91,MATCH($C$3,_Helpers!$A$2:$A$91,0)),"Not found"))=1,"Yes","No")</f>
        <v>No</v>
      </c>
      <c r="D7" s="2"/>
      <c r="E7" s="2"/>
      <c r="F7" s="2"/>
      <c r="G7" s="2"/>
      <c r="H7" s="2"/>
    </row>
    <row r="8" customFormat="false" ht="15" hidden="false" customHeight="false" outlineLevel="0" collapsed="false">
      <c r="A8" s="4" t="s">
        <v>114</v>
      </c>
      <c r="B8" s="2"/>
      <c r="C8" s="31" t="str">
        <f aca="false">IF(N(IFERROR(INDEX(_Helpers!$H$2:$H$91,MATCH($C$3,_Helpers!$A$2:$A$91,0)),"Not found"))=1,"Yes","No")</f>
        <v>No</v>
      </c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124</v>
      </c>
      <c r="B9" s="2"/>
      <c r="C9" s="31" t="str">
        <f aca="false">IF(N(IFERROR(INDEX(_Helpers!$E$2:$E$91,MATCH($C$3,_Helpers!$A$2:$A$91,0)),"Not found"))=1,"Yes","No")</f>
        <v>No</v>
      </c>
      <c r="D9" s="2"/>
      <c r="E9" s="2"/>
      <c r="F9" s="2"/>
      <c r="G9" s="2"/>
      <c r="H9" s="2"/>
    </row>
    <row r="10" customFormat="false" ht="15" hidden="false" customHeight="false" outlineLevel="0" collapsed="false">
      <c r="A10" s="4" t="s">
        <v>88</v>
      </c>
      <c r="B10" s="2"/>
      <c r="C10" s="32" t="str">
        <f aca="false">IFERROR(INDEX(_Helpers!$B$2:$B$91,MATCH($C$3,_Helpers!$A$2:$A$91,0)),"Not found")</f>
        <v/>
      </c>
      <c r="D10" s="2"/>
      <c r="E10" s="2"/>
      <c r="F10" s="2"/>
      <c r="G10" s="2"/>
      <c r="H10" s="2"/>
    </row>
    <row r="11" customFormat="false" ht="15" hidden="false" customHeight="false" outlineLevel="0" collapsed="false">
      <c r="A11" s="4" t="s">
        <v>89</v>
      </c>
      <c r="B11" s="2"/>
      <c r="C11" s="32" t="str">
        <f aca="false">IFERROR(INDEX(_Helpers!$C$2:$C$91,MATCH($C$3,_Helpers!$A$2:$A$91,0)),"Not found")</f>
        <v/>
      </c>
      <c r="D11" s="2"/>
      <c r="E11" s="2"/>
      <c r="F11" s="2"/>
      <c r="G11" s="2"/>
      <c r="H11" s="2"/>
    </row>
    <row r="12" customFormat="false" ht="15" hidden="false" customHeight="false" outlineLevel="0" collapsed="false">
      <c r="A12" s="4" t="s">
        <v>90</v>
      </c>
      <c r="B12" s="2"/>
      <c r="C12" s="32" t="str">
        <f aca="false">IFERROR(INDEX(_Helpers!$L$2:$L$91,MATCH($C$3,_Helpers!$A$2:$A$91,0)),"Not found")</f>
        <v/>
      </c>
      <c r="D12" s="2"/>
      <c r="E12" s="2"/>
      <c r="F12" s="2"/>
      <c r="G12" s="2"/>
      <c r="H12" s="2"/>
    </row>
    <row r="13" customFormat="false" ht="15" hidden="false" customHeight="false" outlineLevel="0" collapsed="false">
      <c r="A13" s="4" t="s">
        <v>91</v>
      </c>
      <c r="B13" s="2"/>
      <c r="C13" s="33" t="str">
        <f aca="false">IFERROR(INDEX(_Helpers!$M$2:$M$91,MATCH($C$3,_Helpers!$A$2:$A$91,0)),"Not found")</f>
        <v/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4" t="s">
        <v>125</v>
      </c>
      <c r="B15" s="2"/>
      <c r="C15" s="34" t="n">
        <f aca="false">IF(ISNUMBER(SEARCH("Head Office",C5)),'Control Sheet'!$C$6,'Control Sheet'!$C$5)</f>
        <v>0.2</v>
      </c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3" t="s">
        <v>126</v>
      </c>
      <c r="B17" s="2"/>
      <c r="C17" s="2"/>
      <c r="D17" s="2"/>
      <c r="E17" s="2"/>
      <c r="F17" s="2"/>
      <c r="G17" s="2"/>
      <c r="H17" s="2"/>
    </row>
    <row r="18" customFormat="false" ht="21.75" hidden="false" customHeight="true" outlineLevel="0" collapsed="false">
      <c r="A18" s="16" t="s">
        <v>127</v>
      </c>
      <c r="B18" s="16" t="s">
        <v>95</v>
      </c>
      <c r="C18" s="16" t="s">
        <v>96</v>
      </c>
      <c r="D18" s="16" t="s">
        <v>97</v>
      </c>
      <c r="E18" s="16" t="s">
        <v>91</v>
      </c>
      <c r="F18" s="16" t="s">
        <v>128</v>
      </c>
      <c r="G18" s="2"/>
      <c r="H18" s="2"/>
    </row>
    <row r="19" customFormat="false" ht="15" hidden="false" customHeight="false" outlineLevel="0" collapsed="false">
      <c r="A19" s="26" t="s">
        <v>99</v>
      </c>
      <c r="B19" s="27" t="str">
        <f aca="false">IF($C$3="","",SUMIFS('Payment Breakdown Prior'!$K$15:$K$104,'Payment Breakdown Prior'!$AE$15:$AE$104,$C$3))</f>
        <v/>
      </c>
      <c r="C19" s="27" t="str">
        <f aca="false">IF($C$3="","",SUMIFS('Payment Breakdown Current'!$K$15:$K$104,'Payment Breakdown Current'!$AE$15:$AE$104,$C$3))</f>
        <v/>
      </c>
      <c r="D19" s="27" t="str">
        <f aca="false">IF($C$3="","",C19-B19)</f>
        <v/>
      </c>
      <c r="E19" s="28" t="str">
        <f aca="false">IFERROR(D19/B19,"")</f>
        <v/>
      </c>
      <c r="F19" s="29" t="str">
        <f aca="false">IF($C$3="","",IF(AND(ABS(D19)&gt;='Control Sheet'!$C$7,OR(B19=0,IF(ISNUMBER(E19),ABS(E19)&gt;$C$15,FALSE()))),"CHECK",""))</f>
        <v/>
      </c>
      <c r="G19" s="2"/>
      <c r="H19" s="2"/>
    </row>
    <row r="20" customFormat="false" ht="15" hidden="false" customHeight="false" outlineLevel="0" collapsed="false">
      <c r="A20" s="26" t="s">
        <v>129</v>
      </c>
      <c r="B20" s="27" t="str">
        <f aca="false">IF($C$3="","",SUMIFS('Payment Breakdown Prior'!$L$15:$L$104,'Payment Breakdown Prior'!$AE$15:$AE$104,$C$3))</f>
        <v/>
      </c>
      <c r="C20" s="27" t="str">
        <f aca="false">IF($C$3="","",SUMIFS('Payment Breakdown Current'!$L$15:$L$104,'Payment Breakdown Current'!$AE$15:$AE$104,$C$3))</f>
        <v/>
      </c>
      <c r="D20" s="27" t="str">
        <f aca="false">IF($C$3="","",C20-B20)</f>
        <v/>
      </c>
      <c r="E20" s="28" t="str">
        <f aca="false">IFERROR(D20/B20,"")</f>
        <v/>
      </c>
      <c r="F20" s="29" t="str">
        <f aca="false">IF($C$3="","",IF(AND(ABS(D20)&gt;='Control Sheet'!$C$7,OR(B20=0,IF(ISNUMBER(E20),ABS(E20)&gt;$C$15,FALSE()))),"CHECK",""))</f>
        <v/>
      </c>
      <c r="G20" s="2"/>
      <c r="H20" s="2"/>
    </row>
    <row r="21" customFormat="false" ht="15" hidden="false" customHeight="false" outlineLevel="0" collapsed="false">
      <c r="A21" s="26" t="s">
        <v>130</v>
      </c>
      <c r="B21" s="27" t="str">
        <f aca="false">IF($C$3="","",SUMIFS('Payment Breakdown Prior'!$M$15:$M$104,'Payment Breakdown Prior'!$AE$15:$AE$104,$C$3))</f>
        <v/>
      </c>
      <c r="C21" s="27" t="str">
        <f aca="false">IF($C$3="","",SUMIFS('Payment Breakdown Current'!$M$15:$M$104,'Payment Breakdown Current'!$AE$15:$AE$104,$C$3))</f>
        <v/>
      </c>
      <c r="D21" s="27" t="str">
        <f aca="false">IF($C$3="","",C21-B21)</f>
        <v/>
      </c>
      <c r="E21" s="28" t="str">
        <f aca="false">IFERROR(D21/B21,"")</f>
        <v/>
      </c>
      <c r="F21" s="29" t="str">
        <f aca="false">IF($C$3="","",IF(AND(ABS(D21)&gt;='Control Sheet'!$C$7,OR(B21=0,IF(ISNUMBER(E21),ABS(E21)&gt;$C$15,FALSE()))),"CHECK",""))</f>
        <v/>
      </c>
      <c r="G21" s="2"/>
      <c r="H21" s="2"/>
    </row>
    <row r="22" customFormat="false" ht="15" hidden="false" customHeight="false" outlineLevel="0" collapsed="false">
      <c r="A22" s="26" t="s">
        <v>131</v>
      </c>
      <c r="B22" s="27" t="str">
        <f aca="false">IF($C$3="","",SUMIFS('Payment Breakdown Prior'!$N$15:$N$104,'Payment Breakdown Prior'!$AE$15:$AE$104,$C$3))</f>
        <v/>
      </c>
      <c r="C22" s="27" t="str">
        <f aca="false">IF($C$3="","",SUMIFS('Payment Breakdown Current'!$N$15:$N$104,'Payment Breakdown Current'!$AE$15:$AE$104,$C$3))</f>
        <v/>
      </c>
      <c r="D22" s="27" t="str">
        <f aca="false">IF($C$3="","",C22-B22)</f>
        <v/>
      </c>
      <c r="E22" s="28" t="str">
        <f aca="false">IFERROR(D22/B22,"")</f>
        <v/>
      </c>
      <c r="F22" s="29" t="str">
        <f aca="false">IF($C$3="","",IF(AND(ABS(D22)&gt;='Control Sheet'!$C$7,OR(B22=0,IF(ISNUMBER(E22),ABS(E22)&gt;$C$15,FALSE()))),"CHECK",""))</f>
        <v/>
      </c>
      <c r="G22" s="2"/>
      <c r="H22" s="2"/>
    </row>
    <row r="23" customFormat="false" ht="15" hidden="false" customHeight="false" outlineLevel="0" collapsed="false">
      <c r="A23" s="26" t="s">
        <v>132</v>
      </c>
      <c r="B23" s="27" t="str">
        <f aca="false">IF($C$3="","",SUMIFS('Payment Breakdown Prior'!$O$15:$O$104,'Payment Breakdown Prior'!$AE$15:$AE$104,$C$3))</f>
        <v/>
      </c>
      <c r="C23" s="27" t="str">
        <f aca="false">IF($C$3="","",SUMIFS('Payment Breakdown Current'!$O$15:$O$104,'Payment Breakdown Current'!$AE$15:$AE$104,$C$3))</f>
        <v/>
      </c>
      <c r="D23" s="27" t="str">
        <f aca="false">IF($C$3="","",C23-B23)</f>
        <v/>
      </c>
      <c r="E23" s="28" t="str">
        <f aca="false">IFERROR(D23/B23,"")</f>
        <v/>
      </c>
      <c r="F23" s="29" t="str">
        <f aca="false">IF($C$3="","",IF(AND(ABS(D23)&gt;='Control Sheet'!$C$7,OR(B23=0,IF(ISNUMBER(E23),ABS(E23)&gt;$C$15,FALSE()))),"CHECK",""))</f>
        <v/>
      </c>
      <c r="G23" s="2"/>
      <c r="H23" s="2"/>
    </row>
    <row r="24" customFormat="false" ht="15" hidden="false" customHeight="false" outlineLevel="0" collapsed="false">
      <c r="A24" s="26" t="s">
        <v>100</v>
      </c>
      <c r="B24" s="27" t="str">
        <f aca="false">IF($C$3="","",SUMIFS('Payment Breakdown Prior'!$P$15:$P$104,'Payment Breakdown Prior'!$AE$15:$AE$104,$C$3))</f>
        <v/>
      </c>
      <c r="C24" s="27" t="str">
        <f aca="false">IF($C$3="","",SUMIFS('Payment Breakdown Current'!$P$15:$P$104,'Payment Breakdown Current'!$AE$15:$AE$104,$C$3))</f>
        <v/>
      </c>
      <c r="D24" s="27" t="str">
        <f aca="false">IF($C$3="","",C24-B24)</f>
        <v/>
      </c>
      <c r="E24" s="28" t="str">
        <f aca="false">IFERROR(D24/B24,"")</f>
        <v/>
      </c>
      <c r="F24" s="29" t="str">
        <f aca="false">IF($C$3="","",IF(AND(ABS(D24)&gt;='Control Sheet'!$C$7,OR(B24=0,IF(ISNUMBER(E24),ABS(E24)&gt;$C$15,FALSE()))),"CHECK",""))</f>
        <v/>
      </c>
      <c r="G24" s="2"/>
      <c r="H24" s="2"/>
    </row>
    <row r="25" customFormat="false" ht="15" hidden="false" customHeight="false" outlineLevel="0" collapsed="false">
      <c r="A25" s="26" t="s">
        <v>101</v>
      </c>
      <c r="B25" s="27" t="str">
        <f aca="false">IF($C$3="","",SUMIFS('Payment Breakdown Prior'!$Q$15:$Q$104,'Payment Breakdown Prior'!$AE$15:$AE$104,$C$3))</f>
        <v/>
      </c>
      <c r="C25" s="27" t="str">
        <f aca="false">IF($C$3="","",SUMIFS('Payment Breakdown Current'!$Q$15:$Q$104,'Payment Breakdown Current'!$AE$15:$AE$104,$C$3))</f>
        <v/>
      </c>
      <c r="D25" s="27" t="str">
        <f aca="false">IF($C$3="","",C25-B25)</f>
        <v/>
      </c>
      <c r="E25" s="28" t="str">
        <f aca="false">IFERROR(D25/B25,"")</f>
        <v/>
      </c>
      <c r="F25" s="29" t="str">
        <f aca="false">IF($C$3="","",IF(AND(ABS(D25)&gt;='Control Sheet'!$C$7,OR(B25=0,IF(ISNUMBER(E25),ABS(E25)&gt;$C$15,FALSE()))),"CHECK",""))</f>
        <v/>
      </c>
      <c r="G25" s="2"/>
      <c r="H25" s="2"/>
    </row>
    <row r="26" customFormat="false" ht="15" hidden="false" customHeight="false" outlineLevel="0" collapsed="false">
      <c r="A26" s="26" t="s">
        <v>102</v>
      </c>
      <c r="B26" s="27" t="str">
        <f aca="false">IF($C$3="","",SUMIFS('Payment Breakdown Prior'!$R$15:$R$104,'Payment Breakdown Prior'!$AE$15:$AE$104,$C$3))</f>
        <v/>
      </c>
      <c r="C26" s="27" t="str">
        <f aca="false">IF($C$3="","",SUMIFS('Payment Breakdown Current'!$R$15:$R$104,'Payment Breakdown Current'!$AE$15:$AE$104,$C$3))</f>
        <v/>
      </c>
      <c r="D26" s="27" t="str">
        <f aca="false">IF($C$3="","",C26-B26)</f>
        <v/>
      </c>
      <c r="E26" s="28" t="str">
        <f aca="false">IFERROR(D26/B26,"")</f>
        <v/>
      </c>
      <c r="F26" s="29" t="str">
        <f aca="false">IF($C$3="","",IF(AND(ABS(D26)&gt;='Control Sheet'!$C$7,OR(B26=0,IF(ISNUMBER(E26),ABS(E26)&gt;$C$15,FALSE()))),"CHECK",""))</f>
        <v/>
      </c>
      <c r="G26" s="2"/>
      <c r="H26" s="2"/>
    </row>
    <row r="27" customFormat="false" ht="15" hidden="false" customHeight="false" outlineLevel="0" collapsed="false">
      <c r="A27" s="26" t="s">
        <v>62</v>
      </c>
      <c r="B27" s="27" t="str">
        <f aca="false">IF($C$3="","",SUMIFS('Payment Breakdown Prior'!$S$15:$S$104,'Payment Breakdown Prior'!$AE$15:$AE$104,$C$3))</f>
        <v/>
      </c>
      <c r="C27" s="27" t="str">
        <f aca="false">IF($C$3="","",SUMIFS('Payment Breakdown Current'!$S$15:$S$104,'Payment Breakdown Current'!$AE$15:$AE$104,$C$3))</f>
        <v/>
      </c>
      <c r="D27" s="27" t="str">
        <f aca="false">IF($C$3="","",C27-B27)</f>
        <v/>
      </c>
      <c r="E27" s="28" t="str">
        <f aca="false">IFERROR(D27/B27,"")</f>
        <v/>
      </c>
      <c r="F27" s="29" t="str">
        <f aca="false">IF($C$3="","",IF(AND(ABS(D27)&gt;='Control Sheet'!$C$7,OR(B27=0,IF(ISNUMBER(E27),ABS(E27)&gt;$C$15,FALSE()))),"CHECK",""))</f>
        <v/>
      </c>
      <c r="G27" s="2"/>
      <c r="H27" s="2"/>
    </row>
    <row r="28" customFormat="false" ht="15" hidden="false" customHeight="false" outlineLevel="0" collapsed="false">
      <c r="A28" s="26" t="s">
        <v>63</v>
      </c>
      <c r="B28" s="27" t="str">
        <f aca="false">IF($C$3="","",SUMIFS('Payment Breakdown Prior'!$T$15:$T$104,'Payment Breakdown Prior'!$AE$15:$AE$104,$C$3))</f>
        <v/>
      </c>
      <c r="C28" s="27" t="str">
        <f aca="false">IF($C$3="","",SUMIFS('Payment Breakdown Current'!$T$15:$T$104,'Payment Breakdown Current'!$AE$15:$AE$104,$C$3))</f>
        <v/>
      </c>
      <c r="D28" s="27" t="str">
        <f aca="false">IF($C$3="","",C28-B28)</f>
        <v/>
      </c>
      <c r="E28" s="28" t="str">
        <f aca="false">IFERROR(D28/B28,"")</f>
        <v/>
      </c>
      <c r="F28" s="29" t="str">
        <f aca="false">IF($C$3="","",IF(AND(ABS(D28)&gt;='Control Sheet'!$C$7,OR(B28=0,IF(ISNUMBER(E28),ABS(E28)&gt;$C$15,FALSE()))),"CHECK",""))</f>
        <v/>
      </c>
      <c r="G28" s="2"/>
      <c r="H28" s="2"/>
    </row>
    <row r="29" customFormat="false" ht="15" hidden="false" customHeight="false" outlineLevel="0" collapsed="false">
      <c r="A29" s="26" t="s">
        <v>64</v>
      </c>
      <c r="B29" s="27" t="str">
        <f aca="false">IF($C$3="","",SUMIFS('Payment Breakdown Prior'!$U$15:$U$104,'Payment Breakdown Prior'!$AE$15:$AE$104,$C$3))</f>
        <v/>
      </c>
      <c r="C29" s="27" t="str">
        <f aca="false">IF($C$3="","",SUMIFS('Payment Breakdown Current'!$U$15:$U$104,'Payment Breakdown Current'!$AE$15:$AE$104,$C$3))</f>
        <v/>
      </c>
      <c r="D29" s="27" t="str">
        <f aca="false">IF($C$3="","",C29-B29)</f>
        <v/>
      </c>
      <c r="E29" s="28" t="str">
        <f aca="false">IFERROR(D29/B29,"")</f>
        <v/>
      </c>
      <c r="F29" s="29" t="str">
        <f aca="false">IF($C$3="","",IF(AND(ABS(D29)&gt;='Control Sheet'!$C$7,OR(B29=0,IF(ISNUMBER(E29),ABS(E29)&gt;$C$15,FALSE()))),"CHECK",""))</f>
        <v/>
      </c>
      <c r="G29" s="2"/>
      <c r="H29" s="2"/>
    </row>
    <row r="30" customFormat="false" ht="15" hidden="false" customHeight="false" outlineLevel="0" collapsed="false">
      <c r="A30" s="26" t="s">
        <v>65</v>
      </c>
      <c r="B30" s="27" t="str">
        <f aca="false">IF($C$3="","",SUMIFS('Payment Breakdown Prior'!$V$15:$V$104,'Payment Breakdown Prior'!$AE$15:$AE$104,$C$3))</f>
        <v/>
      </c>
      <c r="C30" s="27" t="str">
        <f aca="false">IF($C$3="","",SUMIFS('Payment Breakdown Current'!$V$15:$V$104,'Payment Breakdown Current'!$AE$15:$AE$104,$C$3))</f>
        <v/>
      </c>
      <c r="D30" s="27" t="str">
        <f aca="false">IF($C$3="","",C30-B30)</f>
        <v/>
      </c>
      <c r="E30" s="28" t="str">
        <f aca="false">IFERROR(D30/B30,"")</f>
        <v/>
      </c>
      <c r="F30" s="29" t="str">
        <f aca="false">IF($C$3="","",IF(AND(ABS(D30)&gt;='Control Sheet'!$C$7,OR(B30=0,IF(ISNUMBER(E30),ABS(E30)&gt;$C$15,FALSE()))),"CHECK",""))</f>
        <v/>
      </c>
      <c r="G30" s="2"/>
      <c r="H30" s="2"/>
    </row>
    <row r="31" customFormat="false" ht="15" hidden="false" customHeight="false" outlineLevel="0" collapsed="false">
      <c r="A31" s="26" t="s">
        <v>66</v>
      </c>
      <c r="B31" s="27" t="str">
        <f aca="false">IF($C$3="","",SUMIFS('Payment Breakdown Prior'!$W$15:$W$104,'Payment Breakdown Prior'!$AE$15:$AE$104,$C$3))</f>
        <v/>
      </c>
      <c r="C31" s="27" t="str">
        <f aca="false">IF($C$3="","",SUMIFS('Payment Breakdown Current'!$W$15:$W$104,'Payment Breakdown Current'!$AE$15:$AE$104,$C$3))</f>
        <v/>
      </c>
      <c r="D31" s="27" t="str">
        <f aca="false">IF($C$3="","",C31-B31)</f>
        <v/>
      </c>
      <c r="E31" s="28" t="str">
        <f aca="false">IFERROR(D31/B31,"")</f>
        <v/>
      </c>
      <c r="F31" s="29" t="str">
        <f aca="false">IF($C$3="","",IF(AND(ABS(D31)&gt;='Control Sheet'!$C$7,OR(B31=0,IF(ISNUMBER(E31),ABS(E31)&gt;$C$15,FALSE()))),"CHECK",""))</f>
        <v/>
      </c>
      <c r="G31" s="2"/>
      <c r="H31" s="2"/>
    </row>
    <row r="32" customFormat="false" ht="15" hidden="false" customHeight="false" outlineLevel="0" collapsed="false">
      <c r="A32" s="26" t="s">
        <v>67</v>
      </c>
      <c r="B32" s="27" t="str">
        <f aca="false">IF($C$3="","",SUMIFS('Payment Breakdown Prior'!$X$15:$X$104,'Payment Breakdown Prior'!$AE$15:$AE$104,$C$3))</f>
        <v/>
      </c>
      <c r="C32" s="27" t="str">
        <f aca="false">IF($C$3="","",SUMIFS('Payment Breakdown Current'!$X$15:$X$104,'Payment Breakdown Current'!$AE$15:$AE$104,$C$3))</f>
        <v/>
      </c>
      <c r="D32" s="27" t="str">
        <f aca="false">IF($C$3="","",C32-B32)</f>
        <v/>
      </c>
      <c r="E32" s="28" t="str">
        <f aca="false">IFERROR(D32/B32,"")</f>
        <v/>
      </c>
      <c r="F32" s="29" t="str">
        <f aca="false">IF($C$3="","",IF(AND(ABS(D32)&gt;='Control Sheet'!$C$7,OR(B32=0,IF(ISNUMBER(E32),ABS(E32)&gt;$C$15,FALSE()))),"CHECK",""))</f>
        <v/>
      </c>
      <c r="G32" s="2"/>
      <c r="H32" s="2"/>
    </row>
    <row r="33" customFormat="false" ht="15" hidden="false" customHeight="false" outlineLevel="0" collapsed="false">
      <c r="A33" s="26" t="s">
        <v>68</v>
      </c>
      <c r="B33" s="27" t="str">
        <f aca="false">IF($C$3="","",SUMIFS('Payment Breakdown Prior'!$Y$15:$Y$104,'Payment Breakdown Prior'!$AE$15:$AE$104,$C$3))</f>
        <v/>
      </c>
      <c r="C33" s="27" t="str">
        <f aca="false">IF($C$3="","",SUMIFS('Payment Breakdown Current'!$Y$15:$Y$104,'Payment Breakdown Current'!$AE$15:$AE$104,$C$3))</f>
        <v/>
      </c>
      <c r="D33" s="27" t="str">
        <f aca="false">IF($C$3="","",C33-B33)</f>
        <v/>
      </c>
      <c r="E33" s="28" t="str">
        <f aca="false">IFERROR(D33/B33,"")</f>
        <v/>
      </c>
      <c r="F33" s="29" t="str">
        <f aca="false">IF($C$3="","",IF(AND(ABS(D33)&gt;='Control Sheet'!$C$7,OR(B33=0,IF(ISNUMBER(E33),ABS(E33)&gt;$C$15,FALSE()))),"CHECK",""))</f>
        <v/>
      </c>
      <c r="G33" s="2"/>
      <c r="H33" s="2"/>
    </row>
    <row r="34" customFormat="false" ht="15" hidden="false" customHeight="false" outlineLevel="0" collapsed="false">
      <c r="A34" s="26" t="s">
        <v>69</v>
      </c>
      <c r="B34" s="27" t="str">
        <f aca="false">IF($C$3="","",SUMIFS('Payment Breakdown Prior'!$Z$15:$Z$104,'Payment Breakdown Prior'!$AE$15:$AE$104,$C$3))</f>
        <v/>
      </c>
      <c r="C34" s="27" t="str">
        <f aca="false">IF($C$3="","",SUMIFS('Payment Breakdown Current'!$Z$15:$Z$104,'Payment Breakdown Current'!$AE$15:$AE$104,$C$3))</f>
        <v/>
      </c>
      <c r="D34" s="27" t="str">
        <f aca="false">IF($C$3="","",C34-B34)</f>
        <v/>
      </c>
      <c r="E34" s="28" t="str">
        <f aca="false">IFERROR(D34/B34,"")</f>
        <v/>
      </c>
      <c r="F34" s="29" t="str">
        <f aca="false">IF($C$3="","",IF(AND(ABS(D34)&gt;='Control Sheet'!$C$7,OR(B34=0,IF(ISNUMBER(E34),ABS(E34)&gt;$C$15,FALSE()))),"CHECK",""))</f>
        <v/>
      </c>
      <c r="G34" s="2"/>
      <c r="H34" s="2"/>
    </row>
    <row r="35" customFormat="false" ht="15" hidden="false" customHeight="false" outlineLevel="0" collapsed="false">
      <c r="A35" s="26" t="s">
        <v>70</v>
      </c>
      <c r="B35" s="27" t="str">
        <f aca="false">IF($C$3="","",SUMIFS('Payment Breakdown Prior'!$AA$15:$AA$104,'Payment Breakdown Prior'!$AE$15:$AE$104,$C$3))</f>
        <v/>
      </c>
      <c r="C35" s="27" t="str">
        <f aca="false">IF($C$3="","",SUMIFS('Payment Breakdown Current'!$AA$15:$AA$104,'Payment Breakdown Current'!$AE$15:$AE$104,$C$3))</f>
        <v/>
      </c>
      <c r="D35" s="27" t="str">
        <f aca="false">IF($C$3="","",C35-B35)</f>
        <v/>
      </c>
      <c r="E35" s="28" t="str">
        <f aca="false">IFERROR(D35/B35,"")</f>
        <v/>
      </c>
      <c r="F35" s="29" t="str">
        <f aca="false">IF($C$3="","",IF(AND(ABS(D35)&gt;='Control Sheet'!$C$7,OR(B35=0,IF(ISNUMBER(E35),ABS(E35)&gt;$C$15,FALSE()))),"CHECK",""))</f>
        <v/>
      </c>
      <c r="G35" s="2"/>
      <c r="H35" s="2"/>
    </row>
    <row r="36" customFormat="false" ht="15" hidden="false" customHeight="false" outlineLevel="0" collapsed="false">
      <c r="A36" s="26" t="s">
        <v>71</v>
      </c>
      <c r="B36" s="27" t="str">
        <f aca="false">IF($C$3="","",SUMIFS('Payment Breakdown Prior'!$AB$15:$AB$104,'Payment Breakdown Prior'!$AE$15:$AE$104,$C$3))</f>
        <v/>
      </c>
      <c r="C36" s="27" t="str">
        <f aca="false">IF($C$3="","",SUMIFS('Payment Breakdown Current'!$AB$15:$AB$104,'Payment Breakdown Current'!$AE$15:$AE$104,$C$3))</f>
        <v/>
      </c>
      <c r="D36" s="27" t="str">
        <f aca="false">IF($C$3="","",C36-B36)</f>
        <v/>
      </c>
      <c r="E36" s="28" t="str">
        <f aca="false">IFERROR(D36/B36,"")</f>
        <v/>
      </c>
      <c r="F36" s="29" t="str">
        <f aca="false">IF($C$3="","",IF(AND(ABS(D36)&gt;='Control Sheet'!$C$7,OR(B36=0,IF(ISNUMBER(E36),ABS(E36)&gt;$C$15,FALSE()))),"CHECK",""))</f>
        <v/>
      </c>
      <c r="G36" s="2"/>
      <c r="H36" s="2"/>
    </row>
    <row r="37" customFormat="false" ht="15" hidden="false" customHeight="false" outlineLevel="0" collapsed="false">
      <c r="A37" s="26" t="s">
        <v>72</v>
      </c>
      <c r="B37" s="27" t="str">
        <f aca="false">IF($C$3="","",SUMIFS('Payment Breakdown Prior'!$AC$15:$AC$104,'Payment Breakdown Prior'!$AE$15:$AE$104,$C$3))</f>
        <v/>
      </c>
      <c r="C37" s="27" t="str">
        <f aca="false">IF($C$3="","",SUMIFS('Payment Breakdown Current'!$AC$15:$AC$104,'Payment Breakdown Current'!$AE$15:$AE$104,$C$3))</f>
        <v/>
      </c>
      <c r="D37" s="27" t="str">
        <f aca="false">IF($C$3="","",C37-B37)</f>
        <v/>
      </c>
      <c r="E37" s="28" t="str">
        <f aca="false">IFERROR(D37/B37,"")</f>
        <v/>
      </c>
      <c r="F37" s="29" t="str">
        <f aca="false">IF($C$3="","",IF(AND(ABS(D37)&gt;='Control Sheet'!$C$7,OR(B37=0,IF(ISNUMBER(E37),ABS(E37)&gt;$C$15,FALSE()))),"CHECK",""))</f>
        <v/>
      </c>
      <c r="G37" s="2"/>
      <c r="H37" s="2"/>
    </row>
    <row r="38" customFormat="false" ht="15" hidden="false" customHeight="false" outlineLevel="0" collapsed="false">
      <c r="A38" s="26" t="s">
        <v>73</v>
      </c>
      <c r="B38" s="27" t="str">
        <f aca="false">IF($C$3="","",SUMIFS('Payment Breakdown Prior'!$AD$15:$AD$104,'Payment Breakdown Prior'!$AE$15:$AE$104,$C$3))</f>
        <v/>
      </c>
      <c r="C38" s="27" t="str">
        <f aca="false">IF($C$3="","",SUMIFS('Payment Breakdown Current'!$AD$15:$AD$104,'Payment Breakdown Current'!$AE$15:$AE$104,$C$3))</f>
        <v/>
      </c>
      <c r="D38" s="27" t="str">
        <f aca="false">IF($C$3="","",C38-B38)</f>
        <v/>
      </c>
      <c r="E38" s="28" t="str">
        <f aca="false">IFERROR(D38/B38,"")</f>
        <v/>
      </c>
      <c r="F38" s="29" t="str">
        <f aca="false">IF($C$3="","",IF(AND(ABS(D38)&gt;='Control Sheet'!$C$7,OR(B38=0,IF(ISNUMBER(E38),ABS(E38)&gt;$C$15,FALSE()))),"CHECK",""))</f>
        <v/>
      </c>
      <c r="G38" s="2"/>
      <c r="H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</sheetData>
  <mergeCells count="1">
    <mergeCell ref="A1:F1"/>
  </mergeCells>
  <conditionalFormatting sqref="F19:F38">
    <cfRule type="cellIs" priority="2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133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15" hidden="false" customHeight="false" outlineLevel="0" collapsed="false">
      <c r="A12" s="35" t="s">
        <v>134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21.75" hidden="false" customHeight="true" outlineLevel="0" collapsed="false">
      <c r="A14" s="16" t="s">
        <v>135</v>
      </c>
      <c r="B14" s="16" t="s">
        <v>136</v>
      </c>
      <c r="C14" s="16" t="s">
        <v>137</v>
      </c>
      <c r="D14" s="16" t="s">
        <v>87</v>
      </c>
      <c r="E14" s="16" t="s">
        <v>138</v>
      </c>
      <c r="F14" s="16" t="s">
        <v>139</v>
      </c>
      <c r="G14" s="16" t="s">
        <v>97</v>
      </c>
      <c r="H14" s="16" t="s">
        <v>91</v>
      </c>
      <c r="I14" s="16" t="s">
        <v>140</v>
      </c>
      <c r="J14" s="16" t="s">
        <v>141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s">
        <v>142</v>
      </c>
      <c r="B15" s="11" t="s">
        <v>143</v>
      </c>
      <c r="C15" s="11" t="s">
        <v>144</v>
      </c>
      <c r="D15" s="11" t="s">
        <v>145</v>
      </c>
      <c r="E15" s="36" t="n">
        <v>1840.81</v>
      </c>
      <c r="F15" s="36" t="n">
        <v>1625.82</v>
      </c>
      <c r="G15" s="36" t="n">
        <f aca="false">IF(AND(E15&lt;&gt;"",F15&lt;&gt;""),F15-E15,IF(F15&lt;&gt;"",F15,IF(E15&lt;&gt;"",-E15,"")))</f>
        <v>-214.99</v>
      </c>
      <c r="H15" s="18" t="n">
        <f aca="false">IFERROR(G15/E15,"")</f>
        <v>-0.116790977884736</v>
      </c>
      <c r="I15" s="11" t="s">
        <v>8</v>
      </c>
      <c r="J15" s="11" t="s">
        <v>146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s">
        <v>147</v>
      </c>
      <c r="B16" s="11" t="s">
        <v>148</v>
      </c>
      <c r="C16" s="11" t="s">
        <v>149</v>
      </c>
      <c r="D16" s="11" t="s">
        <v>150</v>
      </c>
      <c r="E16" s="36" t="n">
        <v>2462.89</v>
      </c>
      <c r="F16" s="36" t="n">
        <v>2400.62</v>
      </c>
      <c r="G16" s="36" t="n">
        <f aca="false">IF(AND(E16&lt;&gt;"",F16&lt;&gt;""),F16-E16,IF(F16&lt;&gt;"",F16,IF(E16&lt;&gt;"",-E16,"")))</f>
        <v>-62.27</v>
      </c>
      <c r="H16" s="18" t="n">
        <f aca="false">IFERROR(G16/E16,"")</f>
        <v>-0.025283305385137</v>
      </c>
      <c r="I16" s="11" t="s">
        <v>8</v>
      </c>
      <c r="J16" s="11" t="s">
        <v>146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s">
        <v>151</v>
      </c>
      <c r="B17" s="11" t="s">
        <v>152</v>
      </c>
      <c r="C17" s="11" t="s">
        <v>153</v>
      </c>
      <c r="D17" s="11" t="s">
        <v>154</v>
      </c>
      <c r="E17" s="36" t="n">
        <v>2410.24</v>
      </c>
      <c r="F17" s="36" t="n">
        <v>2578.93</v>
      </c>
      <c r="G17" s="36" t="n">
        <f aca="false">IF(AND(E17&lt;&gt;"",F17&lt;&gt;""),F17-E17,IF(F17&lt;&gt;"",F17,IF(E17&lt;&gt;"",-E17,"")))</f>
        <v>168.69</v>
      </c>
      <c r="H17" s="18" t="n">
        <f aca="false">IFERROR(G17/E17,"")</f>
        <v>0.0699888807753585</v>
      </c>
      <c r="I17" s="11" t="s">
        <v>8</v>
      </c>
      <c r="J17" s="11" t="s">
        <v>146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11" t="s">
        <v>155</v>
      </c>
      <c r="B18" s="11" t="s">
        <v>156</v>
      </c>
      <c r="C18" s="11" t="s">
        <v>157</v>
      </c>
      <c r="D18" s="11" t="s">
        <v>158</v>
      </c>
      <c r="E18" s="36" t="n">
        <v>2856.97</v>
      </c>
      <c r="F18" s="36" t="n">
        <v>2400.16</v>
      </c>
      <c r="G18" s="36" t="n">
        <f aca="false">IF(AND(E18&lt;&gt;"",F18&lt;&gt;""),F18-E18,IF(F18&lt;&gt;"",F18,IF(E18&lt;&gt;"",-E18,"")))</f>
        <v>-456.81</v>
      </c>
      <c r="H18" s="18" t="n">
        <f aca="false">IFERROR(G18/E18,"")</f>
        <v>-0.159893173536999</v>
      </c>
      <c r="I18" s="11" t="s">
        <v>8</v>
      </c>
      <c r="J18" s="11" t="s">
        <v>146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11" t="s">
        <v>155</v>
      </c>
      <c r="B19" s="11" t="s">
        <v>159</v>
      </c>
      <c r="C19" s="11" t="s">
        <v>160</v>
      </c>
      <c r="D19" s="11" t="s">
        <v>161</v>
      </c>
      <c r="E19" s="36" t="n">
        <v>1787.56</v>
      </c>
      <c r="F19" s="36" t="n">
        <v>1940.17</v>
      </c>
      <c r="G19" s="36" t="n">
        <f aca="false">IF(AND(E19&lt;&gt;"",F19&lt;&gt;""),F19-E19,IF(F19&lt;&gt;"",F19,IF(E19&lt;&gt;"",-E19,"")))</f>
        <v>152.61</v>
      </c>
      <c r="H19" s="18" t="n">
        <f aca="false">IFERROR(G19/E19,"")</f>
        <v>0.0853733580970709</v>
      </c>
      <c r="I19" s="11" t="s">
        <v>8</v>
      </c>
      <c r="J19" s="11" t="s">
        <v>146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11" t="s">
        <v>142</v>
      </c>
      <c r="B20" s="11" t="s">
        <v>162</v>
      </c>
      <c r="C20" s="11" t="s">
        <v>163</v>
      </c>
      <c r="D20" s="11" t="s">
        <v>164</v>
      </c>
      <c r="E20" s="36" t="n">
        <v>2925.49</v>
      </c>
      <c r="F20" s="36" t="n">
        <v>3023.81</v>
      </c>
      <c r="G20" s="36" t="n">
        <f aca="false">IF(AND(E20&lt;&gt;"",F20&lt;&gt;""),F20-E20,IF(F20&lt;&gt;"",F20,IF(E20&lt;&gt;"",-E20,"")))</f>
        <v>98.3200000000002</v>
      </c>
      <c r="H20" s="18" t="n">
        <f aca="false">IFERROR(G20/E20,"")</f>
        <v>0.0336080451479924</v>
      </c>
      <c r="I20" s="11" t="s">
        <v>8</v>
      </c>
      <c r="J20" s="11" t="s">
        <v>146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11" t="s">
        <v>155</v>
      </c>
      <c r="B21" s="11" t="s">
        <v>165</v>
      </c>
      <c r="C21" s="11" t="s">
        <v>166</v>
      </c>
      <c r="D21" s="11" t="s">
        <v>167</v>
      </c>
      <c r="E21" s="36" t="n">
        <v>1541.84</v>
      </c>
      <c r="F21" s="36" t="n">
        <v>1438.52</v>
      </c>
      <c r="G21" s="36" t="n">
        <f aca="false">IF(AND(E21&lt;&gt;"",F21&lt;&gt;""),F21-E21,IF(F21&lt;&gt;"",F21,IF(E21&lt;&gt;"",-E21,"")))</f>
        <v>-103.32</v>
      </c>
      <c r="H21" s="18" t="n">
        <f aca="false">IFERROR(G21/E21,"")</f>
        <v>-0.0670108441861671</v>
      </c>
      <c r="I21" s="11" t="s">
        <v>8</v>
      </c>
      <c r="J21" s="11" t="s">
        <v>146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11" t="s">
        <v>147</v>
      </c>
      <c r="B22" s="11" t="s">
        <v>168</v>
      </c>
      <c r="C22" s="11" t="s">
        <v>169</v>
      </c>
      <c r="D22" s="11" t="s">
        <v>170</v>
      </c>
      <c r="E22" s="36" t="n">
        <v>2439.23</v>
      </c>
      <c r="F22" s="36" t="n">
        <v>2466.18</v>
      </c>
      <c r="G22" s="36" t="n">
        <f aca="false">IF(AND(E22&lt;&gt;"",F22&lt;&gt;""),F22-E22,IF(F22&lt;&gt;"",F22,IF(E22&lt;&gt;"",-E22,"")))</f>
        <v>26.9499999999998</v>
      </c>
      <c r="H22" s="18" t="n">
        <f aca="false">IFERROR(G22/E22,"")</f>
        <v>0.0110485686056665</v>
      </c>
      <c r="I22" s="11" t="s">
        <v>8</v>
      </c>
      <c r="J22" s="11" t="s">
        <v>146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11" t="s">
        <v>151</v>
      </c>
      <c r="B23" s="11" t="s">
        <v>171</v>
      </c>
      <c r="C23" s="11" t="s">
        <v>172</v>
      </c>
      <c r="D23" s="11" t="s">
        <v>173</v>
      </c>
      <c r="E23" s="36" t="n">
        <v>2939.57</v>
      </c>
      <c r="F23" s="36" t="n">
        <v>3288.62</v>
      </c>
      <c r="G23" s="36" t="n">
        <f aca="false">IF(AND(E23&lt;&gt;"",F23&lt;&gt;""),F23-E23,IF(F23&lt;&gt;"",F23,IF(E23&lt;&gt;"",-E23,"")))</f>
        <v>349.05</v>
      </c>
      <c r="H23" s="18" t="n">
        <f aca="false">IFERROR(G23/E23,"")</f>
        <v>0.118741856802185</v>
      </c>
      <c r="I23" s="11" t="s">
        <v>8</v>
      </c>
      <c r="J23" s="11" t="s">
        <v>146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11" t="s">
        <v>174</v>
      </c>
      <c r="B24" s="11" t="s">
        <v>175</v>
      </c>
      <c r="C24" s="11" t="s">
        <v>176</v>
      </c>
      <c r="D24" s="11" t="s">
        <v>177</v>
      </c>
      <c r="E24" s="36" t="n">
        <v>1692.78</v>
      </c>
      <c r="F24" s="36" t="n">
        <v>1613.4</v>
      </c>
      <c r="G24" s="36" t="n">
        <f aca="false">IF(AND(E24&lt;&gt;"",F24&lt;&gt;""),F24-E24,IF(F24&lt;&gt;"",F24,IF(E24&lt;&gt;"",-E24,"")))</f>
        <v>-79.3799999999999</v>
      </c>
      <c r="H24" s="18" t="n">
        <f aca="false">IFERROR(G24/E24,"")</f>
        <v>-0.0468932761492928</v>
      </c>
      <c r="I24" s="11" t="s">
        <v>8</v>
      </c>
      <c r="J24" s="11" t="s">
        <v>146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11" t="s">
        <v>174</v>
      </c>
      <c r="B25" s="11" t="s">
        <v>178</v>
      </c>
      <c r="C25" s="11" t="s">
        <v>179</v>
      </c>
      <c r="D25" s="11" t="s">
        <v>180</v>
      </c>
      <c r="E25" s="36" t="n">
        <v>2566.46</v>
      </c>
      <c r="F25" s="36" t="n">
        <v>2657.21</v>
      </c>
      <c r="G25" s="36" t="n">
        <f aca="false">IF(AND(E25&lt;&gt;"",F25&lt;&gt;""),F25-E25,IF(F25&lt;&gt;"",F25,IF(E25&lt;&gt;"",-E25,"")))</f>
        <v>90.75</v>
      </c>
      <c r="H25" s="18" t="n">
        <f aca="false">IFERROR(G25/E25,"")</f>
        <v>0.0353599900251709</v>
      </c>
      <c r="I25" s="11" t="s">
        <v>8</v>
      </c>
      <c r="J25" s="11" t="s">
        <v>146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11" t="s">
        <v>147</v>
      </c>
      <c r="B26" s="11" t="s">
        <v>181</v>
      </c>
      <c r="C26" s="11" t="s">
        <v>182</v>
      </c>
      <c r="D26" s="11" t="s">
        <v>183</v>
      </c>
      <c r="E26" s="36" t="n">
        <v>1694.12</v>
      </c>
      <c r="F26" s="36" t="n">
        <v>1683.1</v>
      </c>
      <c r="G26" s="36" t="n">
        <f aca="false">IF(AND(E26&lt;&gt;"",F26&lt;&gt;""),F26-E26,IF(F26&lt;&gt;"",F26,IF(E26&lt;&gt;"",-E26,"")))</f>
        <v>-11.02</v>
      </c>
      <c r="H26" s="18" t="n">
        <f aca="false">IFERROR(G26/E26,"")</f>
        <v>-0.00650485207659433</v>
      </c>
      <c r="I26" s="11" t="s">
        <v>8</v>
      </c>
      <c r="J26" s="11" t="s">
        <v>146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11" t="s">
        <v>147</v>
      </c>
      <c r="B27" s="11" t="s">
        <v>184</v>
      </c>
      <c r="C27" s="11" t="s">
        <v>185</v>
      </c>
      <c r="D27" s="11" t="s">
        <v>186</v>
      </c>
      <c r="E27" s="36" t="n">
        <v>2632.31</v>
      </c>
      <c r="F27" s="36" t="n">
        <v>2681.04</v>
      </c>
      <c r="G27" s="36" t="n">
        <f aca="false">IF(AND(E27&lt;&gt;"",F27&lt;&gt;""),F27-E27,IF(F27&lt;&gt;"",F27,IF(E27&lt;&gt;"",-E27,"")))</f>
        <v>48.73</v>
      </c>
      <c r="H27" s="18" t="n">
        <f aca="false">IFERROR(G27/E27,"")</f>
        <v>0.0185122572949235</v>
      </c>
      <c r="I27" s="11" t="s">
        <v>8</v>
      </c>
      <c r="J27" s="11" t="s">
        <v>146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11" t="s">
        <v>151</v>
      </c>
      <c r="B28" s="11" t="s">
        <v>187</v>
      </c>
      <c r="C28" s="11" t="s">
        <v>188</v>
      </c>
      <c r="D28" s="11" t="s">
        <v>189</v>
      </c>
      <c r="E28" s="36" t="n">
        <v>2122.1</v>
      </c>
      <c r="F28" s="36" t="n">
        <v>1823.83</v>
      </c>
      <c r="G28" s="36" t="n">
        <f aca="false">IF(AND(E28&lt;&gt;"",F28&lt;&gt;""),F28-E28,IF(F28&lt;&gt;"",F28,IF(E28&lt;&gt;"",-E28,"")))</f>
        <v>-298.27</v>
      </c>
      <c r="H28" s="18" t="n">
        <f aca="false">IFERROR(G28/E28,"")</f>
        <v>-0.140554168041091</v>
      </c>
      <c r="I28" s="11" t="s">
        <v>8</v>
      </c>
      <c r="J28" s="11" t="s">
        <v>146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11" t="s">
        <v>174</v>
      </c>
      <c r="B29" s="11" t="s">
        <v>190</v>
      </c>
      <c r="C29" s="11" t="s">
        <v>191</v>
      </c>
      <c r="D29" s="11" t="s">
        <v>192</v>
      </c>
      <c r="E29" s="36" t="n">
        <v>2112.14</v>
      </c>
      <c r="F29" s="36" t="n">
        <v>2395.83</v>
      </c>
      <c r="G29" s="36" t="n">
        <f aca="false">IF(AND(E29&lt;&gt;"",F29&lt;&gt;""),F29-E29,IF(F29&lt;&gt;"",F29,IF(E29&lt;&gt;"",-E29,"")))</f>
        <v>283.69</v>
      </c>
      <c r="H29" s="18" t="n">
        <f aca="false">IFERROR(G29/E29,"")</f>
        <v>0.134314013275635</v>
      </c>
      <c r="I29" s="11" t="s">
        <v>8</v>
      </c>
      <c r="J29" s="11" t="s">
        <v>146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11" t="s">
        <v>151</v>
      </c>
      <c r="B30" s="11" t="s">
        <v>193</v>
      </c>
      <c r="C30" s="11" t="s">
        <v>194</v>
      </c>
      <c r="D30" s="11" t="s">
        <v>195</v>
      </c>
      <c r="E30" s="36" t="n">
        <v>2740.98</v>
      </c>
      <c r="F30" s="36" t="n">
        <v>2775.6</v>
      </c>
      <c r="G30" s="36" t="n">
        <f aca="false">IF(AND(E30&lt;&gt;"",F30&lt;&gt;""),F30-E30,IF(F30&lt;&gt;"",F30,IF(E30&lt;&gt;"",-E30,"")))</f>
        <v>34.6199999999999</v>
      </c>
      <c r="H30" s="18" t="n">
        <f aca="false">IFERROR(G30/E30,"")</f>
        <v>0.0126305190114484</v>
      </c>
      <c r="I30" s="11" t="s">
        <v>8</v>
      </c>
      <c r="J30" s="11" t="s">
        <v>146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11" t="s">
        <v>155</v>
      </c>
      <c r="B31" s="11" t="s">
        <v>196</v>
      </c>
      <c r="C31" s="11" t="s">
        <v>197</v>
      </c>
      <c r="D31" s="11" t="s">
        <v>198</v>
      </c>
      <c r="E31" s="36" t="n">
        <v>2051.59</v>
      </c>
      <c r="F31" s="36" t="n">
        <v>2382.17</v>
      </c>
      <c r="G31" s="36" t="n">
        <f aca="false">IF(AND(E31&lt;&gt;"",F31&lt;&gt;""),F31-E31,IF(F31&lt;&gt;"",F31,IF(E31&lt;&gt;"",-E31,"")))</f>
        <v>330.58</v>
      </c>
      <c r="H31" s="18" t="n">
        <f aca="false">IFERROR(G31/E31,"")</f>
        <v>0.161133559824331</v>
      </c>
      <c r="I31" s="11" t="s">
        <v>8</v>
      </c>
      <c r="J31" s="11" t="s">
        <v>146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11" t="s">
        <v>147</v>
      </c>
      <c r="B32" s="11" t="s">
        <v>199</v>
      </c>
      <c r="C32" s="11" t="s">
        <v>200</v>
      </c>
      <c r="D32" s="11" t="s">
        <v>201</v>
      </c>
      <c r="E32" s="36" t="n">
        <v>1563.64</v>
      </c>
      <c r="F32" s="36" t="n">
        <v>1525.4</v>
      </c>
      <c r="G32" s="36" t="n">
        <f aca="false">IF(AND(E32&lt;&gt;"",F32&lt;&gt;""),F32-E32,IF(F32&lt;&gt;"",F32,IF(E32&lt;&gt;"",-E32,"")))</f>
        <v>-38.24</v>
      </c>
      <c r="H32" s="18" t="n">
        <f aca="false">IFERROR(G32/E32,"")</f>
        <v>-0.0244557570796347</v>
      </c>
      <c r="I32" s="11" t="s">
        <v>8</v>
      </c>
      <c r="J32" s="11" t="s">
        <v>146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11" t="s">
        <v>151</v>
      </c>
      <c r="B33" s="11" t="s">
        <v>202</v>
      </c>
      <c r="C33" s="11" t="s">
        <v>203</v>
      </c>
      <c r="D33" s="11" t="s">
        <v>204</v>
      </c>
      <c r="E33" s="36" t="n">
        <v>2159.89</v>
      </c>
      <c r="F33" s="36" t="n">
        <v>1854.44</v>
      </c>
      <c r="G33" s="36" t="n">
        <f aca="false">IF(AND(E33&lt;&gt;"",F33&lt;&gt;""),F33-E33,IF(F33&lt;&gt;"",F33,IF(E33&lt;&gt;"",-E33,"")))</f>
        <v>-305.45</v>
      </c>
      <c r="H33" s="18" t="n">
        <f aca="false">IFERROR(G33/E33,"")</f>
        <v>-0.141419238942724</v>
      </c>
      <c r="I33" s="11" t="s">
        <v>8</v>
      </c>
      <c r="J33" s="11" t="s">
        <v>146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11" t="s">
        <v>147</v>
      </c>
      <c r="B34" s="11" t="s">
        <v>205</v>
      </c>
      <c r="C34" s="11" t="s">
        <v>206</v>
      </c>
      <c r="D34" s="11" t="s">
        <v>207</v>
      </c>
      <c r="E34" s="36" t="n">
        <v>2352.41</v>
      </c>
      <c r="F34" s="36" t="n">
        <v>2412.25</v>
      </c>
      <c r="G34" s="36" t="n">
        <f aca="false">IF(AND(E34&lt;&gt;"",F34&lt;&gt;""),F34-E34,IF(F34&lt;&gt;"",F34,IF(E34&lt;&gt;"",-E34,"")))</f>
        <v>59.8400000000001</v>
      </c>
      <c r="H34" s="18" t="n">
        <f aca="false">IFERROR(G34/E34,"")</f>
        <v>0.0254377425703853</v>
      </c>
      <c r="I34" s="11" t="s">
        <v>8</v>
      </c>
      <c r="J34" s="11" t="s">
        <v>146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11" t="s">
        <v>142</v>
      </c>
      <c r="B35" s="11" t="s">
        <v>208</v>
      </c>
      <c r="C35" s="11" t="s">
        <v>209</v>
      </c>
      <c r="D35" s="11" t="s">
        <v>210</v>
      </c>
      <c r="E35" s="36" t="n">
        <v>2751.58</v>
      </c>
      <c r="F35" s="36" t="n">
        <v>2991.04</v>
      </c>
      <c r="G35" s="36" t="n">
        <f aca="false">IF(AND(E35&lt;&gt;"",F35&lt;&gt;""),F35-E35,IF(F35&lt;&gt;"",F35,IF(E35&lt;&gt;"",-E35,"")))</f>
        <v>239.46</v>
      </c>
      <c r="H35" s="18" t="n">
        <f aca="false">IFERROR(G35/E35,"")</f>
        <v>0.0870263630350562</v>
      </c>
      <c r="I35" s="11" t="s">
        <v>8</v>
      </c>
      <c r="J35" s="11" t="s">
        <v>146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11" t="s">
        <v>142</v>
      </c>
      <c r="B36" s="11" t="s">
        <v>211</v>
      </c>
      <c r="C36" s="11" t="s">
        <v>212</v>
      </c>
      <c r="D36" s="11" t="s">
        <v>213</v>
      </c>
      <c r="E36" s="36" t="n">
        <v>2216.7</v>
      </c>
      <c r="F36" s="36" t="n">
        <v>2542.64</v>
      </c>
      <c r="G36" s="36" t="n">
        <f aca="false">IF(AND(E36&lt;&gt;"",F36&lt;&gt;""),F36-E36,IF(F36&lt;&gt;"",F36,IF(E36&lt;&gt;"",-E36,"")))</f>
        <v>325.94</v>
      </c>
      <c r="H36" s="18" t="n">
        <f aca="false">IFERROR(G36/E36,"")</f>
        <v>0.147038390400144</v>
      </c>
      <c r="I36" s="11" t="s">
        <v>8</v>
      </c>
      <c r="J36" s="11" t="s">
        <v>146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11" t="s">
        <v>147</v>
      </c>
      <c r="B37" s="11" t="s">
        <v>214</v>
      </c>
      <c r="C37" s="11" t="s">
        <v>215</v>
      </c>
      <c r="D37" s="11" t="s">
        <v>216</v>
      </c>
      <c r="E37" s="36" t="n">
        <v>2313.83</v>
      </c>
      <c r="F37" s="36" t="n">
        <v>2264.65</v>
      </c>
      <c r="G37" s="36" t="n">
        <f aca="false">IF(AND(E37&lt;&gt;"",F37&lt;&gt;""),F37-E37,IF(F37&lt;&gt;"",F37,IF(E37&lt;&gt;"",-E37,"")))</f>
        <v>-49.1799999999998</v>
      </c>
      <c r="H37" s="18" t="n">
        <f aca="false">IFERROR(G37/E37,"")</f>
        <v>-0.0212548026432365</v>
      </c>
      <c r="I37" s="11" t="s">
        <v>8</v>
      </c>
      <c r="J37" s="11" t="s">
        <v>146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11" t="s">
        <v>174</v>
      </c>
      <c r="B38" s="11" t="s">
        <v>217</v>
      </c>
      <c r="C38" s="11" t="s">
        <v>218</v>
      </c>
      <c r="D38" s="11" t="s">
        <v>219</v>
      </c>
      <c r="E38" s="36" t="n">
        <v>1675.11</v>
      </c>
      <c r="F38" s="36" t="n">
        <v>1817.58</v>
      </c>
      <c r="G38" s="36" t="n">
        <f aca="false">IF(AND(E38&lt;&gt;"",F38&lt;&gt;""),F38-E38,IF(F38&lt;&gt;"",F38,IF(E38&lt;&gt;"",-E38,"")))</f>
        <v>142.47</v>
      </c>
      <c r="H38" s="18" t="n">
        <f aca="false">IFERROR(G38/E38,"")</f>
        <v>0.0850511309705034</v>
      </c>
      <c r="I38" s="11" t="s">
        <v>8</v>
      </c>
      <c r="J38" s="11" t="s">
        <v>146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11" t="s">
        <v>147</v>
      </c>
      <c r="B39" s="11" t="s">
        <v>220</v>
      </c>
      <c r="C39" s="11" t="s">
        <v>221</v>
      </c>
      <c r="D39" s="11" t="s">
        <v>222</v>
      </c>
      <c r="E39" s="36" t="n">
        <v>2478.1</v>
      </c>
      <c r="F39" s="36" t="n">
        <v>2476.58</v>
      </c>
      <c r="G39" s="36" t="n">
        <f aca="false">IF(AND(E39&lt;&gt;"",F39&lt;&gt;""),F39-E39,IF(F39&lt;&gt;"",F39,IF(E39&lt;&gt;"",-E39,"")))</f>
        <v>-1.51999999999998</v>
      </c>
      <c r="H39" s="18" t="n">
        <f aca="false">IFERROR(G39/E39,"")</f>
        <v>-0.000613373148783335</v>
      </c>
      <c r="I39" s="11" t="s">
        <v>8</v>
      </c>
      <c r="J39" s="11" t="s">
        <v>146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11" t="s">
        <v>174</v>
      </c>
      <c r="B40" s="11" t="s">
        <v>223</v>
      </c>
      <c r="C40" s="11" t="s">
        <v>224</v>
      </c>
      <c r="D40" s="11" t="s">
        <v>225</v>
      </c>
      <c r="E40" s="36" t="n">
        <v>1831.01</v>
      </c>
      <c r="F40" s="36" t="n">
        <v>1677.29</v>
      </c>
      <c r="G40" s="36" t="n">
        <f aca="false">IF(AND(E40&lt;&gt;"",F40&lt;&gt;""),F40-E40,IF(F40&lt;&gt;"",F40,IF(E40&lt;&gt;"",-E40,"")))</f>
        <v>-153.72</v>
      </c>
      <c r="H40" s="18" t="n">
        <f aca="false">IFERROR(G40/E40,"")</f>
        <v>-0.0839536649171769</v>
      </c>
      <c r="I40" s="11" t="s">
        <v>8</v>
      </c>
      <c r="J40" s="11" t="s">
        <v>146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11" t="s">
        <v>142</v>
      </c>
      <c r="B41" s="11" t="s">
        <v>226</v>
      </c>
      <c r="C41" s="11" t="s">
        <v>227</v>
      </c>
      <c r="D41" s="11" t="s">
        <v>228</v>
      </c>
      <c r="E41" s="36" t="n">
        <v>2868.84</v>
      </c>
      <c r="F41" s="36" t="n">
        <v>3313.13</v>
      </c>
      <c r="G41" s="36" t="n">
        <f aca="false">IF(AND(E41&lt;&gt;"",F41&lt;&gt;""),F41-E41,IF(F41&lt;&gt;"",F41,IF(E41&lt;&gt;"",-E41,"")))</f>
        <v>444.29</v>
      </c>
      <c r="H41" s="18" t="n">
        <f aca="false">IFERROR(G41/E41,"")</f>
        <v>0.154867472567309</v>
      </c>
      <c r="I41" s="11" t="s">
        <v>8</v>
      </c>
      <c r="J41" s="11" t="s">
        <v>146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11" t="s">
        <v>151</v>
      </c>
      <c r="B42" s="11" t="s">
        <v>229</v>
      </c>
      <c r="C42" s="11" t="s">
        <v>230</v>
      </c>
      <c r="D42" s="11" t="s">
        <v>231</v>
      </c>
      <c r="E42" s="36" t="n">
        <v>3104.33</v>
      </c>
      <c r="F42" s="36" t="n">
        <v>2767.51</v>
      </c>
      <c r="G42" s="36" t="n">
        <f aca="false">IF(AND(E42&lt;&gt;"",F42&lt;&gt;""),F42-E42,IF(F42&lt;&gt;"",F42,IF(E42&lt;&gt;"",-E42,"")))</f>
        <v>-336.82</v>
      </c>
      <c r="H42" s="18" t="n">
        <f aca="false">IFERROR(G42/E42,"")</f>
        <v>-0.108500062815487</v>
      </c>
      <c r="I42" s="11" t="s">
        <v>8</v>
      </c>
      <c r="J42" s="11" t="s">
        <v>146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11" t="s">
        <v>147</v>
      </c>
      <c r="B43" s="11" t="s">
        <v>232</v>
      </c>
      <c r="C43" s="11" t="s">
        <v>233</v>
      </c>
      <c r="D43" s="11" t="s">
        <v>234</v>
      </c>
      <c r="E43" s="36" t="n">
        <v>3135.85</v>
      </c>
      <c r="F43" s="36" t="n">
        <v>3208.48</v>
      </c>
      <c r="G43" s="36" t="n">
        <f aca="false">IF(AND(E43&lt;&gt;"",F43&lt;&gt;""),F43-E43,IF(F43&lt;&gt;"",F43,IF(E43&lt;&gt;"",-E43,"")))</f>
        <v>72.6300000000001</v>
      </c>
      <c r="H43" s="18" t="n">
        <f aca="false">IFERROR(G43/E43,"")</f>
        <v>0.0231611843678748</v>
      </c>
      <c r="I43" s="11" t="s">
        <v>8</v>
      </c>
      <c r="J43" s="11" t="s">
        <v>146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11" t="s">
        <v>174</v>
      </c>
      <c r="B44" s="11" t="s">
        <v>235</v>
      </c>
      <c r="C44" s="11" t="s">
        <v>236</v>
      </c>
      <c r="D44" s="11" t="s">
        <v>237</v>
      </c>
      <c r="E44" s="36" t="n">
        <v>2188.58</v>
      </c>
      <c r="F44" s="36" t="n">
        <v>2201.04</v>
      </c>
      <c r="G44" s="36" t="n">
        <f aca="false">IF(AND(E44&lt;&gt;"",F44&lt;&gt;""),F44-E44,IF(F44&lt;&gt;"",F44,IF(E44&lt;&gt;"",-E44,"")))</f>
        <v>12.46</v>
      </c>
      <c r="H44" s="18" t="n">
        <f aca="false">IFERROR(G44/E44,"")</f>
        <v>0.00569318919116506</v>
      </c>
      <c r="I44" s="11" t="s">
        <v>8</v>
      </c>
      <c r="J44" s="11" t="s">
        <v>146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11" t="s">
        <v>151</v>
      </c>
      <c r="B45" s="11" t="s">
        <v>238</v>
      </c>
      <c r="C45" s="11" t="s">
        <v>239</v>
      </c>
      <c r="D45" s="11" t="s">
        <v>240</v>
      </c>
      <c r="E45" s="36" t="n">
        <v>1625.24</v>
      </c>
      <c r="F45" s="36" t="n">
        <v>1771.51</v>
      </c>
      <c r="G45" s="36" t="n">
        <f aca="false">IF(AND(E45&lt;&gt;"",F45&lt;&gt;""),F45-E45,IF(F45&lt;&gt;"",F45,IF(E45&lt;&gt;"",-E45,"")))</f>
        <v>146.27</v>
      </c>
      <c r="H45" s="18" t="n">
        <f aca="false">IFERROR(G45/E45,"")</f>
        <v>0.089999015530014</v>
      </c>
      <c r="I45" s="11" t="s">
        <v>8</v>
      </c>
      <c r="J45" s="11" t="s">
        <v>146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11" t="s">
        <v>151</v>
      </c>
      <c r="B46" s="11" t="s">
        <v>241</v>
      </c>
      <c r="C46" s="11" t="s">
        <v>242</v>
      </c>
      <c r="D46" s="11" t="s">
        <v>243</v>
      </c>
      <c r="E46" s="36" t="n">
        <v>1685.19</v>
      </c>
      <c r="F46" s="36" t="n">
        <v>1811.58</v>
      </c>
      <c r="G46" s="36" t="n">
        <f aca="false">IF(AND(E46&lt;&gt;"",F46&lt;&gt;""),F46-E46,IF(F46&lt;&gt;"",F46,IF(E46&lt;&gt;"",-E46,"")))</f>
        <v>126.39</v>
      </c>
      <c r="H46" s="18" t="n">
        <f aca="false">IFERROR(G46/E46,"")</f>
        <v>0.0750004450536734</v>
      </c>
      <c r="I46" s="11" t="s">
        <v>8</v>
      </c>
      <c r="J46" s="11" t="s">
        <v>146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11" t="s">
        <v>142</v>
      </c>
      <c r="B47" s="11" t="s">
        <v>244</v>
      </c>
      <c r="C47" s="11" t="s">
        <v>245</v>
      </c>
      <c r="D47" s="11" t="s">
        <v>246</v>
      </c>
      <c r="E47" s="36" t="n">
        <v>2631.56</v>
      </c>
      <c r="F47" s="36" t="n">
        <v>2927.62</v>
      </c>
      <c r="G47" s="36" t="n">
        <f aca="false">IF(AND(E47&lt;&gt;"",F47&lt;&gt;""),F47-E47,IF(F47&lt;&gt;"",F47,IF(E47&lt;&gt;"",-E47,"")))</f>
        <v>296.06</v>
      </c>
      <c r="H47" s="18" t="n">
        <f aca="false">IFERROR(G47/E47,"")</f>
        <v>0.112503610025992</v>
      </c>
      <c r="I47" s="11" t="s">
        <v>8</v>
      </c>
      <c r="J47" s="11" t="s">
        <v>146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11" t="s">
        <v>147</v>
      </c>
      <c r="B48" s="11" t="s">
        <v>247</v>
      </c>
      <c r="C48" s="11" t="s">
        <v>248</v>
      </c>
      <c r="D48" s="11" t="s">
        <v>249</v>
      </c>
      <c r="E48" s="36" t="n">
        <v>1934.17</v>
      </c>
      <c r="F48" s="36" t="n">
        <v>1680.31</v>
      </c>
      <c r="G48" s="36" t="n">
        <f aca="false">IF(AND(E48&lt;&gt;"",F48&lt;&gt;""),F48-E48,IF(F48&lt;&gt;"",F48,IF(E48&lt;&gt;"",-E48,"")))</f>
        <v>-253.86</v>
      </c>
      <c r="H48" s="18" t="n">
        <f aca="false">IFERROR(G48/E48,"")</f>
        <v>-0.131250096940807</v>
      </c>
      <c r="I48" s="11" t="s">
        <v>8</v>
      </c>
      <c r="J48" s="11" t="s">
        <v>146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11" t="s">
        <v>151</v>
      </c>
      <c r="B49" s="11" t="s">
        <v>250</v>
      </c>
      <c r="C49" s="11" t="s">
        <v>251</v>
      </c>
      <c r="D49" s="11" t="s">
        <v>252</v>
      </c>
      <c r="E49" s="36" t="n">
        <v>2722.62</v>
      </c>
      <c r="F49" s="36" t="n">
        <v>4968.78</v>
      </c>
      <c r="G49" s="36" t="n">
        <f aca="false">IF(AND(E49&lt;&gt;"",F49&lt;&gt;""),F49-E49,IF(F49&lt;&gt;"",F49,IF(E49&lt;&gt;"",-E49,"")))</f>
        <v>2246.16</v>
      </c>
      <c r="H49" s="18" t="n">
        <f aca="false">IFERROR(G49/E49,"")</f>
        <v>0.824999449060097</v>
      </c>
      <c r="I49" s="11" t="s">
        <v>8</v>
      </c>
      <c r="J49" s="11" t="s">
        <v>146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11" t="s">
        <v>147</v>
      </c>
      <c r="B50" s="11" t="s">
        <v>253</v>
      </c>
      <c r="C50" s="11" t="s">
        <v>254</v>
      </c>
      <c r="D50" s="11" t="s">
        <v>255</v>
      </c>
      <c r="E50" s="36" t="n">
        <v>1891.6</v>
      </c>
      <c r="F50" s="36" t="n">
        <v>1891.6</v>
      </c>
      <c r="G50" s="36" t="n">
        <f aca="false">IF(AND(E50&lt;&gt;"",F50&lt;&gt;""),F50-E50,IF(F50&lt;&gt;"",F50,IF(E50&lt;&gt;"",-E50,"")))</f>
        <v>0</v>
      </c>
      <c r="H50" s="18" t="n">
        <f aca="false">IFERROR(G50/E50,"")</f>
        <v>0</v>
      </c>
      <c r="I50" s="11" t="s">
        <v>8</v>
      </c>
      <c r="J50" s="11" t="s">
        <v>146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11" t="s">
        <v>155</v>
      </c>
      <c r="B51" s="11" t="s">
        <v>256</v>
      </c>
      <c r="C51" s="11" t="s">
        <v>257</v>
      </c>
      <c r="D51" s="11" t="s">
        <v>258</v>
      </c>
      <c r="E51" s="36" t="n">
        <v>2390.78</v>
      </c>
      <c r="F51" s="36" t="n">
        <v>3018.36</v>
      </c>
      <c r="G51" s="36" t="n">
        <f aca="false">IF(AND(E51&lt;&gt;"",F51&lt;&gt;""),F51-E51,IF(F51&lt;&gt;"",F51,IF(E51&lt;&gt;"",-E51,"")))</f>
        <v>627.58</v>
      </c>
      <c r="H51" s="18" t="n">
        <f aca="false">IFERROR(G51/E51,"")</f>
        <v>0.262500104568383</v>
      </c>
      <c r="I51" s="11" t="s">
        <v>8</v>
      </c>
      <c r="J51" s="11" t="s">
        <v>146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11" t="s">
        <v>155</v>
      </c>
      <c r="B52" s="11" t="s">
        <v>259</v>
      </c>
      <c r="C52" s="11" t="s">
        <v>260</v>
      </c>
      <c r="D52" s="11" t="s">
        <v>261</v>
      </c>
      <c r="E52" s="36" t="n">
        <v>2408.04</v>
      </c>
      <c r="F52" s="36" t="n">
        <v>3491.66</v>
      </c>
      <c r="G52" s="36" t="n">
        <f aca="false">IF(AND(E52&lt;&gt;"",F52&lt;&gt;""),F52-E52,IF(F52&lt;&gt;"",F52,IF(E52&lt;&gt;"",-E52,"")))</f>
        <v>1083.62</v>
      </c>
      <c r="H52" s="18" t="n">
        <f aca="false">IFERROR(G52/E52,"")</f>
        <v>0.450000830550988</v>
      </c>
      <c r="I52" s="11" t="s">
        <v>8</v>
      </c>
      <c r="J52" s="11" t="s">
        <v>146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11" t="s">
        <v>142</v>
      </c>
      <c r="B53" s="11" t="s">
        <v>262</v>
      </c>
      <c r="C53" s="11" t="s">
        <v>263</v>
      </c>
      <c r="D53" s="11" t="s">
        <v>264</v>
      </c>
      <c r="E53" s="36" t="n">
        <v>2560.71</v>
      </c>
      <c r="F53" s="36" t="n">
        <v>2752.76</v>
      </c>
      <c r="G53" s="36" t="n">
        <f aca="false">IF(AND(E53&lt;&gt;"",F53&lt;&gt;""),F53-E53,IF(F53&lt;&gt;"",F53,IF(E53&lt;&gt;"",-E53,"")))</f>
        <v>192.05</v>
      </c>
      <c r="H53" s="18" t="n">
        <f aca="false">IFERROR(G53/E53,"")</f>
        <v>0.074998730820749</v>
      </c>
      <c r="I53" s="11" t="s">
        <v>8</v>
      </c>
      <c r="J53" s="11" t="s">
        <v>146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11" t="s">
        <v>151</v>
      </c>
      <c r="B54" s="11" t="s">
        <v>265</v>
      </c>
      <c r="C54" s="11" t="s">
        <v>266</v>
      </c>
      <c r="D54" s="11" t="s">
        <v>267</v>
      </c>
      <c r="E54" s="36" t="n">
        <v>1768.22</v>
      </c>
      <c r="F54" s="36" t="n">
        <v>2006.93</v>
      </c>
      <c r="G54" s="36" t="n">
        <f aca="false">IF(AND(E54&lt;&gt;"",F54&lt;&gt;""),F54-E54,IF(F54&lt;&gt;"",F54,IF(E54&lt;&gt;"",-E54,"")))</f>
        <v>238.71</v>
      </c>
      <c r="H54" s="18" t="n">
        <f aca="false">IFERROR(G54/E54,"")</f>
        <v>0.135000169662146</v>
      </c>
      <c r="I54" s="11" t="s">
        <v>8</v>
      </c>
      <c r="J54" s="11" t="s">
        <v>146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11" t="s">
        <v>147</v>
      </c>
      <c r="B55" s="11" t="s">
        <v>268</v>
      </c>
      <c r="C55" s="11" t="s">
        <v>269</v>
      </c>
      <c r="D55" s="11" t="s">
        <v>270</v>
      </c>
      <c r="E55" s="36"/>
      <c r="F55" s="36" t="n">
        <v>1806.4</v>
      </c>
      <c r="G55" s="36" t="n">
        <f aca="false">IF(AND(E55&lt;&gt;"",F55&lt;&gt;""),F55-E55,IF(F55&lt;&gt;"",F55,IF(E55&lt;&gt;"",-E55,"")))</f>
        <v>1806.4</v>
      </c>
      <c r="H55" s="18" t="str">
        <f aca="false">IFERROR(G55/E55,"")</f>
        <v/>
      </c>
      <c r="I55" s="11" t="s">
        <v>8</v>
      </c>
      <c r="J55" s="11" t="s">
        <v>146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11" t="s">
        <v>147</v>
      </c>
      <c r="B56" s="11" t="s">
        <v>271</v>
      </c>
      <c r="C56" s="11" t="s">
        <v>272</v>
      </c>
      <c r="D56" s="11" t="s">
        <v>273</v>
      </c>
      <c r="E56" s="36"/>
      <c r="F56" s="36" t="n">
        <v>1774.79</v>
      </c>
      <c r="G56" s="36" t="n">
        <f aca="false">IF(AND(E56&lt;&gt;"",F56&lt;&gt;""),F56-E56,IF(F56&lt;&gt;"",F56,IF(E56&lt;&gt;"",-E56,"")))</f>
        <v>1774.79</v>
      </c>
      <c r="H56" s="18" t="str">
        <f aca="false">IFERROR(G56/E56,"")</f>
        <v/>
      </c>
      <c r="I56" s="11" t="s">
        <v>8</v>
      </c>
      <c r="J56" s="11" t="s">
        <v>146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11" t="s">
        <v>151</v>
      </c>
      <c r="B57" s="11" t="s">
        <v>274</v>
      </c>
      <c r="C57" s="11" t="s">
        <v>275</v>
      </c>
      <c r="D57" s="11" t="s">
        <v>276</v>
      </c>
      <c r="E57" s="36"/>
      <c r="F57" s="36" t="n">
        <v>2515.59</v>
      </c>
      <c r="G57" s="36" t="n">
        <f aca="false">IF(AND(E57&lt;&gt;"",F57&lt;&gt;""),F57-E57,IF(F57&lt;&gt;"",F57,IF(E57&lt;&gt;"",-E57,"")))</f>
        <v>2515.59</v>
      </c>
      <c r="H57" s="18" t="str">
        <f aca="false">IFERROR(G57/E57,"")</f>
        <v/>
      </c>
      <c r="I57" s="11" t="s">
        <v>8</v>
      </c>
      <c r="J57" s="11" t="s">
        <v>146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11" t="s">
        <v>151</v>
      </c>
      <c r="B58" s="11" t="s">
        <v>277</v>
      </c>
      <c r="C58" s="11" t="s">
        <v>278</v>
      </c>
      <c r="D58" s="11" t="s">
        <v>279</v>
      </c>
      <c r="E58" s="36"/>
      <c r="F58" s="36" t="n">
        <v>921.57</v>
      </c>
      <c r="G58" s="36" t="n">
        <f aca="false">IF(AND(E58&lt;&gt;"",F58&lt;&gt;""),F58-E58,IF(F58&lt;&gt;"",F58,IF(E58&lt;&gt;"",-E58,"")))</f>
        <v>921.57</v>
      </c>
      <c r="H58" s="18" t="str">
        <f aca="false">IFERROR(G58/E58,"")</f>
        <v/>
      </c>
      <c r="I58" s="11" t="s">
        <v>8</v>
      </c>
      <c r="J58" s="11" t="s">
        <v>146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11" t="s">
        <v>155</v>
      </c>
      <c r="B59" s="11" t="s">
        <v>280</v>
      </c>
      <c r="C59" s="11" t="s">
        <v>281</v>
      </c>
      <c r="D59" s="11" t="s">
        <v>282</v>
      </c>
      <c r="E59" s="36" t="n">
        <v>1691.72</v>
      </c>
      <c r="F59" s="36"/>
      <c r="G59" s="36" t="n">
        <f aca="false">IF(AND(E59&lt;&gt;"",F59&lt;&gt;""),F59-E59,IF(F59&lt;&gt;"",F59,IF(E59&lt;&gt;"",-E59,"")))</f>
        <v>-1691.72</v>
      </c>
      <c r="H59" s="18" t="n">
        <f aca="false">IFERROR(G59/E59,"")</f>
        <v>-1</v>
      </c>
      <c r="I59" s="11" t="s">
        <v>8</v>
      </c>
      <c r="J59" s="11" t="s">
        <v>146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11" t="s">
        <v>174</v>
      </c>
      <c r="B60" s="11" t="s">
        <v>283</v>
      </c>
      <c r="C60" s="11" t="s">
        <v>284</v>
      </c>
      <c r="D60" s="11" t="s">
        <v>285</v>
      </c>
      <c r="E60" s="36" t="n">
        <v>1570.28</v>
      </c>
      <c r="F60" s="36"/>
      <c r="G60" s="36" t="n">
        <f aca="false">IF(AND(E60&lt;&gt;"",F60&lt;&gt;""),F60-E60,IF(F60&lt;&gt;"",F60,IF(E60&lt;&gt;"",-E60,"")))</f>
        <v>-1570.28</v>
      </c>
      <c r="H60" s="18" t="n">
        <f aca="false">IFERROR(G60/E60,"")</f>
        <v>-1</v>
      </c>
      <c r="I60" s="11" t="s">
        <v>8</v>
      </c>
      <c r="J60" s="11" t="s">
        <v>146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11" t="s">
        <v>151</v>
      </c>
      <c r="B61" s="11" t="s">
        <v>286</v>
      </c>
      <c r="C61" s="11" t="s">
        <v>287</v>
      </c>
      <c r="D61" s="11" t="s">
        <v>288</v>
      </c>
      <c r="E61" s="36" t="n">
        <v>2222.77</v>
      </c>
      <c r="F61" s="36"/>
      <c r="G61" s="36" t="n">
        <f aca="false">IF(AND(E61&lt;&gt;"",F61&lt;&gt;""),F61-E61,IF(F61&lt;&gt;"",F61,IF(E61&lt;&gt;"",-E61,"")))</f>
        <v>-2222.77</v>
      </c>
      <c r="H61" s="18" t="n">
        <f aca="false">IFERROR(G61/E61,"")</f>
        <v>-1</v>
      </c>
      <c r="I61" s="11" t="s">
        <v>8</v>
      </c>
      <c r="J61" s="11" t="s">
        <v>146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11" t="s">
        <v>142</v>
      </c>
      <c r="B62" s="11" t="s">
        <v>289</v>
      </c>
      <c r="C62" s="11" t="s">
        <v>290</v>
      </c>
      <c r="D62" s="11" t="s">
        <v>291</v>
      </c>
      <c r="E62" s="36" t="n">
        <v>2411.33</v>
      </c>
      <c r="F62" s="36"/>
      <c r="G62" s="36" t="n">
        <f aca="false">IF(AND(E62&lt;&gt;"",F62&lt;&gt;""),F62-E62,IF(F62&lt;&gt;"",F62,IF(E62&lt;&gt;"",-E62,"")))</f>
        <v>-2411.33</v>
      </c>
      <c r="H62" s="18" t="n">
        <f aca="false">IFERROR(G62/E62,"")</f>
        <v>-1</v>
      </c>
      <c r="I62" s="11" t="s">
        <v>8</v>
      </c>
      <c r="J62" s="11" t="s">
        <v>146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11" t="s">
        <v>151</v>
      </c>
      <c r="B63" s="11" t="s">
        <v>292</v>
      </c>
      <c r="C63" s="11" t="s">
        <v>293</v>
      </c>
      <c r="D63" s="11" t="s">
        <v>294</v>
      </c>
      <c r="E63" s="36" t="n">
        <v>181.28</v>
      </c>
      <c r="F63" s="36" t="n">
        <v>210.61</v>
      </c>
      <c r="G63" s="36" t="n">
        <f aca="false">IF(AND(E63&lt;&gt;"",F63&lt;&gt;""),F63-E63,IF(F63&lt;&gt;"",F63,IF(E63&lt;&gt;"",-E63,"")))</f>
        <v>29.33</v>
      </c>
      <c r="H63" s="18" t="n">
        <f aca="false">IFERROR(G63/E63,"")</f>
        <v>0.161793909973522</v>
      </c>
      <c r="I63" s="11" t="s">
        <v>8</v>
      </c>
      <c r="J63" s="11" t="s">
        <v>146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11" t="s">
        <v>142</v>
      </c>
      <c r="B64" s="11" t="s">
        <v>295</v>
      </c>
      <c r="C64" s="11" t="s">
        <v>296</v>
      </c>
      <c r="D64" s="11" t="s">
        <v>297</v>
      </c>
      <c r="E64" s="36" t="n">
        <v>477.27</v>
      </c>
      <c r="F64" s="36" t="n">
        <v>674.3</v>
      </c>
      <c r="G64" s="36" t="n">
        <f aca="false">IF(AND(E64&lt;&gt;"",F64&lt;&gt;""),F64-E64,IF(F64&lt;&gt;"",F64,IF(E64&lt;&gt;"",-E64,"")))</f>
        <v>197.03</v>
      </c>
      <c r="H64" s="18" t="n">
        <f aca="false">IFERROR(G64/E64,"")</f>
        <v>0.412827120916881</v>
      </c>
      <c r="I64" s="11" t="s">
        <v>8</v>
      </c>
      <c r="J64" s="11" t="s">
        <v>146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11" t="s">
        <v>155</v>
      </c>
      <c r="B65" s="11" t="s">
        <v>298</v>
      </c>
      <c r="C65" s="11" t="s">
        <v>299</v>
      </c>
      <c r="D65" s="11" t="s">
        <v>300</v>
      </c>
      <c r="E65" s="36" t="n">
        <v>215.94</v>
      </c>
      <c r="F65" s="36" t="n">
        <v>374.74</v>
      </c>
      <c r="G65" s="36" t="n">
        <f aca="false">IF(AND(E65&lt;&gt;"",F65&lt;&gt;""),F65-E65,IF(F65&lt;&gt;"",F65,IF(E65&lt;&gt;"",-E65,"")))</f>
        <v>158.8</v>
      </c>
      <c r="H65" s="18" t="n">
        <f aca="false">IFERROR(G65/E65,"")</f>
        <v>0.735389460035195</v>
      </c>
      <c r="I65" s="11" t="s">
        <v>8</v>
      </c>
      <c r="J65" s="11" t="s">
        <v>146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11" t="s">
        <v>142</v>
      </c>
      <c r="B66" s="11" t="s">
        <v>301</v>
      </c>
      <c r="C66" s="11" t="s">
        <v>302</v>
      </c>
      <c r="D66" s="11" t="s">
        <v>303</v>
      </c>
      <c r="E66" s="36" t="n">
        <v>490.66</v>
      </c>
      <c r="F66" s="36" t="n">
        <v>504.81</v>
      </c>
      <c r="G66" s="36" t="n">
        <f aca="false">IF(AND(E66&lt;&gt;"",F66&lt;&gt;""),F66-E66,IF(F66&lt;&gt;"",F66,IF(E66&lt;&gt;"",-E66,"")))</f>
        <v>14.15</v>
      </c>
      <c r="H66" s="18" t="n">
        <f aca="false">IFERROR(G66/E66,"")</f>
        <v>0.0288387070476501</v>
      </c>
      <c r="I66" s="11" t="s">
        <v>8</v>
      </c>
      <c r="J66" s="11" t="s">
        <v>146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11" t="s">
        <v>174</v>
      </c>
      <c r="B67" s="11" t="s">
        <v>304</v>
      </c>
      <c r="C67" s="11" t="s">
        <v>305</v>
      </c>
      <c r="D67" s="11" t="s">
        <v>306</v>
      </c>
      <c r="E67" s="36" t="n">
        <v>2335.78</v>
      </c>
      <c r="F67" s="36" t="n">
        <v>2314.39</v>
      </c>
      <c r="G67" s="36" t="n">
        <f aca="false">IF(AND(E67&lt;&gt;"",F67&lt;&gt;""),F67-E67,IF(F67&lt;&gt;"",F67,IF(E67&lt;&gt;"",-E67,"")))</f>
        <v>-21.3900000000003</v>
      </c>
      <c r="H67" s="18" t="n">
        <f aca="false">IFERROR(G67/E67,"")</f>
        <v>-0.00915754052179586</v>
      </c>
      <c r="I67" s="11" t="s">
        <v>8</v>
      </c>
      <c r="J67" s="11" t="s">
        <v>146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11" t="s">
        <v>155</v>
      </c>
      <c r="B68" s="11" t="s">
        <v>307</v>
      </c>
      <c r="C68" s="11" t="s">
        <v>308</v>
      </c>
      <c r="D68" s="11" t="s">
        <v>309</v>
      </c>
      <c r="E68" s="36" t="n">
        <v>2165.78</v>
      </c>
      <c r="F68" s="36" t="n">
        <v>2319.06</v>
      </c>
      <c r="G68" s="36" t="n">
        <f aca="false">IF(AND(E68&lt;&gt;"",F68&lt;&gt;""),F68-E68,IF(F68&lt;&gt;"",F68,IF(E68&lt;&gt;"",-E68,"")))</f>
        <v>153.28</v>
      </c>
      <c r="H68" s="18" t="n">
        <f aca="false">IFERROR(G68/E68,"")</f>
        <v>0.0707735781104266</v>
      </c>
      <c r="I68" s="11" t="s">
        <v>8</v>
      </c>
      <c r="J68" s="11" t="s">
        <v>146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11" t="s">
        <v>142</v>
      </c>
      <c r="B69" s="11" t="s">
        <v>310</v>
      </c>
      <c r="C69" s="11" t="s">
        <v>311</v>
      </c>
      <c r="D69" s="11" t="s">
        <v>312</v>
      </c>
      <c r="E69" s="36" t="n">
        <v>2596.88</v>
      </c>
      <c r="F69" s="36"/>
      <c r="G69" s="36" t="n">
        <f aca="false">IF(AND(E69&lt;&gt;"",F69&lt;&gt;""),F69-E69,IF(F69&lt;&gt;"",F69,IF(E69&lt;&gt;"",-E69,"")))</f>
        <v>-2596.88</v>
      </c>
      <c r="H69" s="18" t="n">
        <f aca="false">IFERROR(G69/E69,"")</f>
        <v>-1</v>
      </c>
      <c r="I69" s="11" t="s">
        <v>8</v>
      </c>
      <c r="J69" s="11" t="s">
        <v>146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11" t="s">
        <v>155</v>
      </c>
      <c r="B70" s="11" t="s">
        <v>313</v>
      </c>
      <c r="C70" s="11" t="s">
        <v>314</v>
      </c>
      <c r="D70" s="11" t="s">
        <v>315</v>
      </c>
      <c r="E70" s="36"/>
      <c r="F70" s="36" t="n">
        <v>2596.88</v>
      </c>
      <c r="G70" s="36" t="n">
        <f aca="false">IF(AND(E70&lt;&gt;"",F70&lt;&gt;""),F70-E70,IF(F70&lt;&gt;"",F70,IF(E70&lt;&gt;"",-E70,"")))</f>
        <v>2596.88</v>
      </c>
      <c r="H70" s="18" t="str">
        <f aca="false">IFERROR(G70/E70,"")</f>
        <v/>
      </c>
      <c r="I70" s="11" t="s">
        <v>8</v>
      </c>
      <c r="J70" s="11" t="s">
        <v>146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11" t="s">
        <v>151</v>
      </c>
      <c r="B71" s="11" t="s">
        <v>316</v>
      </c>
      <c r="C71" s="11" t="s">
        <v>317</v>
      </c>
      <c r="D71" s="11" t="s">
        <v>318</v>
      </c>
      <c r="E71" s="36" t="n">
        <v>1905.97</v>
      </c>
      <c r="F71" s="36"/>
      <c r="G71" s="36" t="n">
        <f aca="false">IF(AND(E71&lt;&gt;"",F71&lt;&gt;""),F71-E71,IF(F71&lt;&gt;"",F71,IF(E71&lt;&gt;"",-E71,"")))</f>
        <v>-1905.97</v>
      </c>
      <c r="H71" s="18" t="n">
        <f aca="false">IFERROR(G71/E71,"")</f>
        <v>-1</v>
      </c>
      <c r="I71" s="11" t="s">
        <v>8</v>
      </c>
      <c r="J71" s="11" t="s">
        <v>146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11" t="s">
        <v>147</v>
      </c>
      <c r="B72" s="11" t="s">
        <v>319</v>
      </c>
      <c r="C72" s="11" t="s">
        <v>320</v>
      </c>
      <c r="D72" s="11" t="s">
        <v>321</v>
      </c>
      <c r="E72" s="36"/>
      <c r="F72" s="36" t="n">
        <v>1905.97</v>
      </c>
      <c r="G72" s="36" t="n">
        <f aca="false">IF(AND(E72&lt;&gt;"",F72&lt;&gt;""),F72-E72,IF(F72&lt;&gt;"",F72,IF(E72&lt;&gt;"",-E72,"")))</f>
        <v>1905.97</v>
      </c>
      <c r="H72" s="18" t="str">
        <f aca="false">IFERROR(G72/E72,"")</f>
        <v/>
      </c>
      <c r="I72" s="11" t="s">
        <v>8</v>
      </c>
      <c r="J72" s="11" t="s">
        <v>146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11" t="s">
        <v>151</v>
      </c>
      <c r="B73" s="11" t="s">
        <v>322</v>
      </c>
      <c r="C73" s="11" t="s">
        <v>323</v>
      </c>
      <c r="D73" s="11" t="s">
        <v>324</v>
      </c>
      <c r="E73" s="36" t="n">
        <v>2150.55</v>
      </c>
      <c r="F73" s="36" t="n">
        <v>0</v>
      </c>
      <c r="G73" s="36" t="n">
        <f aca="false">IF(AND(E73&lt;&gt;"",F73&lt;&gt;""),F73-E73,IF(F73&lt;&gt;"",F73,IF(E73&lt;&gt;"",-E73,"")))</f>
        <v>-2150.55</v>
      </c>
      <c r="H73" s="18" t="n">
        <f aca="false">IFERROR(G73/E73,"")</f>
        <v>-1</v>
      </c>
      <c r="I73" s="11" t="s">
        <v>8</v>
      </c>
      <c r="J73" s="11" t="s">
        <v>146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11" t="s">
        <v>174</v>
      </c>
      <c r="B74" s="11" t="s">
        <v>325</v>
      </c>
      <c r="C74" s="11" t="s">
        <v>326</v>
      </c>
      <c r="D74" s="11" t="s">
        <v>327</v>
      </c>
      <c r="E74" s="36" t="n">
        <v>2223.15</v>
      </c>
      <c r="F74" s="36" t="n">
        <v>0</v>
      </c>
      <c r="G74" s="36" t="n">
        <f aca="false">IF(AND(E74&lt;&gt;"",F74&lt;&gt;""),F74-E74,IF(F74&lt;&gt;"",F74,IF(E74&lt;&gt;"",-E74,"")))</f>
        <v>-2223.15</v>
      </c>
      <c r="H74" s="18" t="n">
        <f aca="false">IFERROR(G74/E74,"")</f>
        <v>-1</v>
      </c>
      <c r="I74" s="11" t="s">
        <v>8</v>
      </c>
      <c r="J74" s="11" t="s">
        <v>146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4:J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22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30" min="11" style="0" width="13"/>
    <col collapsed="false" customWidth="true" hidden="false" outlineLevel="0" max="31" min="31" style="0" width="14"/>
  </cols>
  <sheetData>
    <row r="1" customFormat="false" ht="15" hidden="false" customHeight="false" outlineLevel="0" collapsed="false">
      <c r="A1" s="3" t="s">
        <v>328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15" hidden="false" customHeight="false" outlineLevel="0" collapsed="false">
      <c r="A12" s="35" t="s">
        <v>329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21.75" hidden="false" customHeight="true" outlineLevel="0" collapsed="false">
      <c r="A14" s="16" t="s">
        <v>330</v>
      </c>
      <c r="B14" s="16" t="s">
        <v>136</v>
      </c>
      <c r="C14" s="16" t="s">
        <v>137</v>
      </c>
      <c r="D14" s="16" t="s">
        <v>43</v>
      </c>
      <c r="E14" s="16" t="s">
        <v>331</v>
      </c>
      <c r="F14" s="16" t="s">
        <v>332</v>
      </c>
      <c r="G14" s="16" t="s">
        <v>140</v>
      </c>
      <c r="H14" s="16" t="s">
        <v>141</v>
      </c>
      <c r="I14" s="16" t="s">
        <v>333</v>
      </c>
      <c r="J14" s="16" t="s">
        <v>334</v>
      </c>
      <c r="K14" s="16" t="s">
        <v>99</v>
      </c>
      <c r="L14" s="16" t="s">
        <v>129</v>
      </c>
      <c r="M14" s="16" t="s">
        <v>130</v>
      </c>
      <c r="N14" s="16" t="s">
        <v>131</v>
      </c>
      <c r="O14" s="16" t="s">
        <v>132</v>
      </c>
      <c r="P14" s="16" t="s">
        <v>100</v>
      </c>
      <c r="Q14" s="16" t="s">
        <v>101</v>
      </c>
      <c r="R14" s="16" t="s">
        <v>102</v>
      </c>
      <c r="S14" s="16" t="s">
        <v>62</v>
      </c>
      <c r="T14" s="16" t="s">
        <v>63</v>
      </c>
      <c r="U14" s="16" t="s">
        <v>64</v>
      </c>
      <c r="V14" s="16" t="s">
        <v>65</v>
      </c>
      <c r="W14" s="16" t="s">
        <v>66</v>
      </c>
      <c r="X14" s="16" t="s">
        <v>67</v>
      </c>
      <c r="Y14" s="16" t="s">
        <v>68</v>
      </c>
      <c r="Z14" s="16" t="s">
        <v>69</v>
      </c>
      <c r="AA14" s="16" t="s">
        <v>70</v>
      </c>
      <c r="AB14" s="16" t="s">
        <v>71</v>
      </c>
      <c r="AC14" s="16" t="s">
        <v>72</v>
      </c>
      <c r="AD14" s="16" t="s">
        <v>73</v>
      </c>
      <c r="AE14" s="16" t="s">
        <v>335</v>
      </c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n">
        <v>1</v>
      </c>
      <c r="B15" s="11" t="s">
        <v>143</v>
      </c>
      <c r="C15" s="11" t="s">
        <v>144</v>
      </c>
      <c r="D15" s="11" t="s">
        <v>336</v>
      </c>
      <c r="E15" s="11" t="s">
        <v>337</v>
      </c>
      <c r="F15" s="11" t="s">
        <v>338</v>
      </c>
      <c r="G15" s="11" t="s">
        <v>8</v>
      </c>
      <c r="H15" s="11" t="s">
        <v>146</v>
      </c>
      <c r="I15" s="11" t="s">
        <v>339</v>
      </c>
      <c r="J15" s="11" t="s">
        <v>340</v>
      </c>
      <c r="K15" s="17" t="n">
        <v>2520.02</v>
      </c>
      <c r="L15" s="17" t="n">
        <v>2469.62</v>
      </c>
      <c r="M15" s="17" t="n">
        <v>2394.02</v>
      </c>
      <c r="N15" s="17" t="n">
        <v>182.905</v>
      </c>
      <c r="O15" s="17" t="n">
        <v>1625.82</v>
      </c>
      <c r="P15" s="17" t="n">
        <v>347.76</v>
      </c>
      <c r="Q15" s="17" t="n">
        <v>126</v>
      </c>
      <c r="R15" s="17" t="n">
        <v>12.6</v>
      </c>
      <c r="S15" s="17" t="n">
        <v>2194.86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 t="n">
        <v>0</v>
      </c>
      <c r="AB15" s="17" t="n">
        <v>0</v>
      </c>
      <c r="AC15" s="17" t="n">
        <v>0</v>
      </c>
      <c r="AD15" s="17" t="n">
        <v>0</v>
      </c>
      <c r="AE15" s="11" t="s">
        <v>145</v>
      </c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n">
        <v>2</v>
      </c>
      <c r="B16" s="11" t="s">
        <v>148</v>
      </c>
      <c r="C16" s="11" t="s">
        <v>149</v>
      </c>
      <c r="D16" s="11" t="s">
        <v>341</v>
      </c>
      <c r="E16" s="11" t="s">
        <v>342</v>
      </c>
      <c r="F16" s="11" t="s">
        <v>343</v>
      </c>
      <c r="G16" s="11" t="s">
        <v>8</v>
      </c>
      <c r="H16" s="11" t="s">
        <v>146</v>
      </c>
      <c r="I16" s="11" t="s">
        <v>339</v>
      </c>
      <c r="J16" s="11" t="s">
        <v>340</v>
      </c>
      <c r="K16" s="17" t="n">
        <v>3720.96</v>
      </c>
      <c r="L16" s="17" t="n">
        <v>3646.54</v>
      </c>
      <c r="M16" s="17" t="n">
        <v>3534.91</v>
      </c>
      <c r="N16" s="17" t="n">
        <v>270.07</v>
      </c>
      <c r="O16" s="17" t="n">
        <v>2400.62</v>
      </c>
      <c r="P16" s="17" t="n">
        <v>513.49</v>
      </c>
      <c r="Q16" s="17" t="n">
        <v>186.05</v>
      </c>
      <c r="R16" s="17" t="n">
        <v>18.6</v>
      </c>
      <c r="S16" s="17" t="n">
        <v>3240.84</v>
      </c>
      <c r="T16" s="17" t="n">
        <v>0</v>
      </c>
      <c r="U16" s="17" t="n">
        <v>0</v>
      </c>
      <c r="V16" s="17" t="n">
        <v>0</v>
      </c>
      <c r="W16" s="17" t="n">
        <v>0</v>
      </c>
      <c r="X16" s="17" t="n">
        <v>0</v>
      </c>
      <c r="Y16" s="17" t="n">
        <v>0</v>
      </c>
      <c r="Z16" s="17" t="n">
        <v>0</v>
      </c>
      <c r="AA16" s="17" t="n">
        <v>0</v>
      </c>
      <c r="AB16" s="17" t="n">
        <v>0</v>
      </c>
      <c r="AC16" s="17" t="n">
        <v>0</v>
      </c>
      <c r="AD16" s="17" t="n">
        <v>0</v>
      </c>
      <c r="AE16" s="11" t="s">
        <v>150</v>
      </c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n">
        <v>3</v>
      </c>
      <c r="B17" s="11" t="s">
        <v>152</v>
      </c>
      <c r="C17" s="11" t="s">
        <v>153</v>
      </c>
      <c r="D17" s="11" t="s">
        <v>344</v>
      </c>
      <c r="E17" s="11" t="s">
        <v>337</v>
      </c>
      <c r="F17" s="11" t="s">
        <v>345</v>
      </c>
      <c r="G17" s="11" t="s">
        <v>8</v>
      </c>
      <c r="H17" s="11" t="s">
        <v>146</v>
      </c>
      <c r="I17" s="11" t="s">
        <v>339</v>
      </c>
      <c r="J17" s="11" t="s">
        <v>340</v>
      </c>
      <c r="K17" s="17" t="n">
        <v>3997.34</v>
      </c>
      <c r="L17" s="17" t="n">
        <v>3917.39</v>
      </c>
      <c r="M17" s="17" t="n">
        <v>3797.47</v>
      </c>
      <c r="N17" s="17" t="n">
        <v>290.13</v>
      </c>
      <c r="O17" s="17" t="n">
        <v>2578.93</v>
      </c>
      <c r="P17" s="17" t="n">
        <v>551.63</v>
      </c>
      <c r="Q17" s="17" t="n">
        <v>199.87</v>
      </c>
      <c r="R17" s="17" t="n">
        <v>19.99</v>
      </c>
      <c r="S17" s="17" t="n">
        <v>3481.56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 t="n">
        <v>0</v>
      </c>
      <c r="AB17" s="17" t="n">
        <v>0</v>
      </c>
      <c r="AC17" s="17" t="n">
        <v>0</v>
      </c>
      <c r="AD17" s="17" t="n">
        <v>0</v>
      </c>
      <c r="AE17" s="11" t="s">
        <v>154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11" t="n">
        <v>4</v>
      </c>
      <c r="B18" s="11" t="s">
        <v>156</v>
      </c>
      <c r="C18" s="11" t="s">
        <v>157</v>
      </c>
      <c r="D18" s="11" t="s">
        <v>346</v>
      </c>
      <c r="E18" s="11" t="s">
        <v>337</v>
      </c>
      <c r="F18" s="11" t="s">
        <v>347</v>
      </c>
      <c r="G18" s="11" t="s">
        <v>8</v>
      </c>
      <c r="H18" s="11" t="s">
        <v>146</v>
      </c>
      <c r="I18" s="11" t="s">
        <v>339</v>
      </c>
      <c r="J18" s="11" t="s">
        <v>340</v>
      </c>
      <c r="K18" s="17" t="n">
        <v>3720.25</v>
      </c>
      <c r="L18" s="17" t="n">
        <v>3645.84</v>
      </c>
      <c r="M18" s="17" t="n">
        <v>3534.24</v>
      </c>
      <c r="N18" s="17" t="n">
        <v>270.018333333333</v>
      </c>
      <c r="O18" s="17" t="n">
        <v>2400.16</v>
      </c>
      <c r="P18" s="17" t="n">
        <v>513.39</v>
      </c>
      <c r="Q18" s="17" t="n">
        <v>186.01</v>
      </c>
      <c r="R18" s="17" t="n">
        <v>18.6</v>
      </c>
      <c r="S18" s="17" t="n">
        <v>3240.22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  <c r="AE18" s="11" t="s">
        <v>158</v>
      </c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11" t="n">
        <v>5</v>
      </c>
      <c r="B19" s="11" t="s">
        <v>159</v>
      </c>
      <c r="C19" s="11" t="s">
        <v>160</v>
      </c>
      <c r="D19" s="11" t="s">
        <v>346</v>
      </c>
      <c r="E19" s="11" t="s">
        <v>337</v>
      </c>
      <c r="F19" s="11" t="s">
        <v>347</v>
      </c>
      <c r="G19" s="11" t="s">
        <v>8</v>
      </c>
      <c r="H19" s="11" t="s">
        <v>146</v>
      </c>
      <c r="I19" s="11" t="s">
        <v>339</v>
      </c>
      <c r="J19" s="11" t="s">
        <v>340</v>
      </c>
      <c r="K19" s="17" t="n">
        <v>3007.26</v>
      </c>
      <c r="L19" s="17" t="n">
        <v>2947.11</v>
      </c>
      <c r="M19" s="17" t="n">
        <v>2856.9</v>
      </c>
      <c r="N19" s="17" t="n">
        <v>218.269166666667</v>
      </c>
      <c r="O19" s="17" t="n">
        <v>1940.17</v>
      </c>
      <c r="P19" s="17" t="n">
        <v>415</v>
      </c>
      <c r="Q19" s="17" t="n">
        <v>150.36</v>
      </c>
      <c r="R19" s="17" t="n">
        <v>15.04</v>
      </c>
      <c r="S19" s="17" t="n">
        <v>2619.23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  <c r="AE19" s="11" t="s">
        <v>161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11" t="n">
        <v>6</v>
      </c>
      <c r="B20" s="11" t="s">
        <v>162</v>
      </c>
      <c r="C20" s="11" t="s">
        <v>163</v>
      </c>
      <c r="D20" s="11" t="s">
        <v>336</v>
      </c>
      <c r="E20" s="11" t="s">
        <v>337</v>
      </c>
      <c r="F20" s="11" t="s">
        <v>338</v>
      </c>
      <c r="G20" s="11" t="s">
        <v>8</v>
      </c>
      <c r="H20" s="11" t="s">
        <v>146</v>
      </c>
      <c r="I20" s="11" t="s">
        <v>339</v>
      </c>
      <c r="J20" s="11" t="s">
        <v>340</v>
      </c>
      <c r="K20" s="17" t="n">
        <v>4686.91</v>
      </c>
      <c r="L20" s="17" t="n">
        <v>4593.17</v>
      </c>
      <c r="M20" s="17" t="n">
        <v>4452.56</v>
      </c>
      <c r="N20" s="17" t="n">
        <v>340.178333333333</v>
      </c>
      <c r="O20" s="17" t="n">
        <v>3023.81</v>
      </c>
      <c r="P20" s="17" t="n">
        <v>646.79</v>
      </c>
      <c r="Q20" s="17" t="n">
        <v>234.35</v>
      </c>
      <c r="R20" s="17" t="n">
        <v>23.43</v>
      </c>
      <c r="S20" s="17" t="n">
        <v>4082.14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  <c r="AE20" s="11" t="s">
        <v>164</v>
      </c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11" t="n">
        <v>7</v>
      </c>
      <c r="B21" s="11" t="s">
        <v>165</v>
      </c>
      <c r="C21" s="11" t="s">
        <v>166</v>
      </c>
      <c r="D21" s="11" t="s">
        <v>346</v>
      </c>
      <c r="E21" s="11" t="s">
        <v>342</v>
      </c>
      <c r="F21" s="11" t="s">
        <v>347</v>
      </c>
      <c r="G21" s="11" t="s">
        <v>8</v>
      </c>
      <c r="H21" s="11" t="s">
        <v>146</v>
      </c>
      <c r="I21" s="11" t="s">
        <v>339</v>
      </c>
      <c r="J21" s="11" t="s">
        <v>340</v>
      </c>
      <c r="K21" s="17" t="n">
        <v>2229.71</v>
      </c>
      <c r="L21" s="17" t="n">
        <v>2185.12</v>
      </c>
      <c r="M21" s="17" t="n">
        <v>2118.22</v>
      </c>
      <c r="N21" s="17" t="n">
        <v>161.833333333333</v>
      </c>
      <c r="O21" s="17" t="n">
        <v>1438.52</v>
      </c>
      <c r="P21" s="17" t="n">
        <v>307.7</v>
      </c>
      <c r="Q21" s="17" t="n">
        <v>111.49</v>
      </c>
      <c r="R21" s="17" t="n">
        <v>11.15</v>
      </c>
      <c r="S21" s="17" t="n">
        <v>1942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  <c r="AE21" s="11" t="s">
        <v>167</v>
      </c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11" t="n">
        <v>8</v>
      </c>
      <c r="B22" s="11" t="s">
        <v>168</v>
      </c>
      <c r="C22" s="11" t="s">
        <v>169</v>
      </c>
      <c r="D22" s="11" t="s">
        <v>341</v>
      </c>
      <c r="E22" s="11" t="s">
        <v>342</v>
      </c>
      <c r="F22" s="11" t="s">
        <v>343</v>
      </c>
      <c r="G22" s="11" t="s">
        <v>8</v>
      </c>
      <c r="H22" s="11" t="s">
        <v>146</v>
      </c>
      <c r="I22" s="11" t="s">
        <v>339</v>
      </c>
      <c r="J22" s="11" t="s">
        <v>340</v>
      </c>
      <c r="K22" s="17" t="n">
        <v>3822.58</v>
      </c>
      <c r="L22" s="17" t="n">
        <v>3746.13</v>
      </c>
      <c r="M22" s="17" t="n">
        <v>3631.45</v>
      </c>
      <c r="N22" s="17" t="n">
        <v>277.445</v>
      </c>
      <c r="O22" s="17" t="n">
        <v>2466.18</v>
      </c>
      <c r="P22" s="17" t="n">
        <v>527.52</v>
      </c>
      <c r="Q22" s="17" t="n">
        <v>191.13</v>
      </c>
      <c r="R22" s="17" t="n">
        <v>19.11</v>
      </c>
      <c r="S22" s="17" t="n">
        <v>3329.34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  <c r="AE22" s="11" t="s">
        <v>170</v>
      </c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11" t="n">
        <v>9</v>
      </c>
      <c r="B23" s="11" t="s">
        <v>171</v>
      </c>
      <c r="C23" s="11" t="s">
        <v>172</v>
      </c>
      <c r="D23" s="11" t="s">
        <v>344</v>
      </c>
      <c r="E23" s="11" t="s">
        <v>342</v>
      </c>
      <c r="F23" s="11" t="s">
        <v>345</v>
      </c>
      <c r="G23" s="11" t="s">
        <v>8</v>
      </c>
      <c r="H23" s="11" t="s">
        <v>146</v>
      </c>
      <c r="I23" s="11" t="s">
        <v>339</v>
      </c>
      <c r="J23" s="11" t="s">
        <v>340</v>
      </c>
      <c r="K23" s="17" t="n">
        <v>5097.36</v>
      </c>
      <c r="L23" s="17" t="n">
        <v>4995.41</v>
      </c>
      <c r="M23" s="17" t="n">
        <v>4842.49</v>
      </c>
      <c r="N23" s="17" t="n">
        <v>369.97</v>
      </c>
      <c r="O23" s="17" t="n">
        <v>3288.62</v>
      </c>
      <c r="P23" s="17" t="n">
        <v>703.44</v>
      </c>
      <c r="Q23" s="17" t="n">
        <v>254.87</v>
      </c>
      <c r="R23" s="17" t="n">
        <v>25.49</v>
      </c>
      <c r="S23" s="17" t="n">
        <v>4439.64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  <c r="AE23" s="11" t="s">
        <v>173</v>
      </c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11" t="n">
        <v>10</v>
      </c>
      <c r="B24" s="11" t="s">
        <v>175</v>
      </c>
      <c r="C24" s="11" t="s">
        <v>176</v>
      </c>
      <c r="D24" s="11" t="s">
        <v>348</v>
      </c>
      <c r="E24" s="11" t="s">
        <v>342</v>
      </c>
      <c r="F24" s="11" t="s">
        <v>349</v>
      </c>
      <c r="G24" s="11" t="s">
        <v>8</v>
      </c>
      <c r="H24" s="11" t="s">
        <v>146</v>
      </c>
      <c r="I24" s="11" t="s">
        <v>339</v>
      </c>
      <c r="J24" s="11" t="s">
        <v>340</v>
      </c>
      <c r="K24" s="17" t="n">
        <v>2500.77</v>
      </c>
      <c r="L24" s="17" t="n">
        <v>2450.75</v>
      </c>
      <c r="M24" s="17" t="n">
        <v>2375.73</v>
      </c>
      <c r="N24" s="17" t="n">
        <v>181.5075</v>
      </c>
      <c r="O24" s="17" t="n">
        <v>1613.4</v>
      </c>
      <c r="P24" s="17" t="n">
        <v>345.11</v>
      </c>
      <c r="Q24" s="17" t="n">
        <v>125.04</v>
      </c>
      <c r="R24" s="17" t="n">
        <v>12.5</v>
      </c>
      <c r="S24" s="17" t="n">
        <v>2178.09</v>
      </c>
      <c r="T24" s="17" t="n">
        <v>0</v>
      </c>
      <c r="U24" s="17" t="n">
        <v>0</v>
      </c>
      <c r="V24" s="17" t="n">
        <v>0</v>
      </c>
      <c r="W24" s="17" t="n">
        <v>0</v>
      </c>
      <c r="X24" s="17" t="n">
        <v>0</v>
      </c>
      <c r="Y24" s="17" t="n">
        <v>0</v>
      </c>
      <c r="Z24" s="17" t="n">
        <v>0</v>
      </c>
      <c r="AA24" s="17" t="n">
        <v>0</v>
      </c>
      <c r="AB24" s="17" t="n">
        <v>0</v>
      </c>
      <c r="AC24" s="17" t="n">
        <v>0</v>
      </c>
      <c r="AD24" s="17" t="n">
        <v>0</v>
      </c>
      <c r="AE24" s="11" t="s">
        <v>177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11" t="n">
        <v>11</v>
      </c>
      <c r="B25" s="11" t="s">
        <v>178</v>
      </c>
      <c r="C25" s="11" t="s">
        <v>179</v>
      </c>
      <c r="D25" s="11" t="s">
        <v>348</v>
      </c>
      <c r="E25" s="11" t="s">
        <v>342</v>
      </c>
      <c r="F25" s="11" t="s">
        <v>349</v>
      </c>
      <c r="G25" s="11" t="s">
        <v>8</v>
      </c>
      <c r="H25" s="11" t="s">
        <v>146</v>
      </c>
      <c r="I25" s="11" t="s">
        <v>339</v>
      </c>
      <c r="J25" s="11" t="s">
        <v>340</v>
      </c>
      <c r="K25" s="17" t="n">
        <v>4118.68</v>
      </c>
      <c r="L25" s="17" t="n">
        <v>4036.31</v>
      </c>
      <c r="M25" s="17" t="n">
        <v>3912.75</v>
      </c>
      <c r="N25" s="17" t="n">
        <v>298.935833333333</v>
      </c>
      <c r="O25" s="17" t="n">
        <v>2657.21</v>
      </c>
      <c r="P25" s="17" t="n">
        <v>568.38</v>
      </c>
      <c r="Q25" s="17" t="n">
        <v>205.93</v>
      </c>
      <c r="R25" s="17" t="n">
        <v>20.59</v>
      </c>
      <c r="S25" s="17" t="n">
        <v>3587.23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  <c r="AE25" s="11" t="s">
        <v>180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11" t="n">
        <v>12</v>
      </c>
      <c r="B26" s="11" t="s">
        <v>181</v>
      </c>
      <c r="C26" s="11" t="s">
        <v>182</v>
      </c>
      <c r="D26" s="11" t="s">
        <v>341</v>
      </c>
      <c r="E26" s="11" t="s">
        <v>342</v>
      </c>
      <c r="F26" s="11" t="s">
        <v>343</v>
      </c>
      <c r="G26" s="11" t="s">
        <v>8</v>
      </c>
      <c r="H26" s="11" t="s">
        <v>146</v>
      </c>
      <c r="I26" s="11" t="s">
        <v>339</v>
      </c>
      <c r="J26" s="11" t="s">
        <v>340</v>
      </c>
      <c r="K26" s="17" t="n">
        <v>2608.8</v>
      </c>
      <c r="L26" s="17" t="n">
        <v>2556.62</v>
      </c>
      <c r="M26" s="17" t="n">
        <v>2478.36</v>
      </c>
      <c r="N26" s="17" t="n">
        <v>189.348333333333</v>
      </c>
      <c r="O26" s="17" t="n">
        <v>1683.1</v>
      </c>
      <c r="P26" s="17" t="n">
        <v>360.01</v>
      </c>
      <c r="Q26" s="17" t="n">
        <v>130.44</v>
      </c>
      <c r="R26" s="17" t="n">
        <v>13.04</v>
      </c>
      <c r="S26" s="17" t="n">
        <v>2272.18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  <c r="AE26" s="11" t="s">
        <v>183</v>
      </c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11" t="n">
        <v>13</v>
      </c>
      <c r="B27" s="11" t="s">
        <v>184</v>
      </c>
      <c r="C27" s="11" t="s">
        <v>185</v>
      </c>
      <c r="D27" s="11" t="s">
        <v>341</v>
      </c>
      <c r="E27" s="11" t="s">
        <v>342</v>
      </c>
      <c r="F27" s="11" t="s">
        <v>343</v>
      </c>
      <c r="G27" s="11" t="s">
        <v>8</v>
      </c>
      <c r="H27" s="11" t="s">
        <v>146</v>
      </c>
      <c r="I27" s="11" t="s">
        <v>339</v>
      </c>
      <c r="J27" s="11" t="s">
        <v>340</v>
      </c>
      <c r="K27" s="17" t="n">
        <v>4155.61</v>
      </c>
      <c r="L27" s="17" t="n">
        <v>4072.5</v>
      </c>
      <c r="M27" s="17" t="n">
        <v>3947.83</v>
      </c>
      <c r="N27" s="17" t="n">
        <v>301.616666666667</v>
      </c>
      <c r="O27" s="17" t="n">
        <v>2681.04</v>
      </c>
      <c r="P27" s="17" t="n">
        <v>573.47</v>
      </c>
      <c r="Q27" s="17" t="n">
        <v>207.78</v>
      </c>
      <c r="R27" s="17" t="n">
        <v>20.78</v>
      </c>
      <c r="S27" s="17" t="n">
        <v>3619.4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  <c r="AE27" s="11" t="s">
        <v>186</v>
      </c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11" t="n">
        <v>14</v>
      </c>
      <c r="B28" s="11" t="s">
        <v>187</v>
      </c>
      <c r="C28" s="11" t="s">
        <v>188</v>
      </c>
      <c r="D28" s="11" t="s">
        <v>344</v>
      </c>
      <c r="E28" s="11" t="s">
        <v>342</v>
      </c>
      <c r="F28" s="11" t="s">
        <v>345</v>
      </c>
      <c r="G28" s="11" t="s">
        <v>8</v>
      </c>
      <c r="H28" s="11" t="s">
        <v>146</v>
      </c>
      <c r="I28" s="11" t="s">
        <v>339</v>
      </c>
      <c r="J28" s="11" t="s">
        <v>340</v>
      </c>
      <c r="K28" s="17" t="n">
        <v>2826.94</v>
      </c>
      <c r="L28" s="17" t="n">
        <v>2770.4</v>
      </c>
      <c r="M28" s="17" t="n">
        <v>2685.59</v>
      </c>
      <c r="N28" s="17" t="n">
        <v>205.180833333333</v>
      </c>
      <c r="O28" s="17" t="n">
        <v>1823.83</v>
      </c>
      <c r="P28" s="17" t="n">
        <v>390.12</v>
      </c>
      <c r="Q28" s="17" t="n">
        <v>141.35</v>
      </c>
      <c r="R28" s="17" t="n">
        <v>14.13</v>
      </c>
      <c r="S28" s="17" t="n">
        <v>2462.17</v>
      </c>
      <c r="T28" s="17" t="n">
        <v>0</v>
      </c>
      <c r="U28" s="17" t="n">
        <v>0</v>
      </c>
      <c r="V28" s="17" t="n">
        <v>0</v>
      </c>
      <c r="W28" s="17" t="n">
        <v>0</v>
      </c>
      <c r="X28" s="17" t="n">
        <v>0</v>
      </c>
      <c r="Y28" s="17" t="n">
        <v>0</v>
      </c>
      <c r="Z28" s="17" t="n">
        <v>0</v>
      </c>
      <c r="AA28" s="17" t="n">
        <v>0</v>
      </c>
      <c r="AB28" s="17" t="n">
        <v>0</v>
      </c>
      <c r="AC28" s="17" t="n">
        <v>0</v>
      </c>
      <c r="AD28" s="17" t="n">
        <v>0</v>
      </c>
      <c r="AE28" s="11" t="s">
        <v>189</v>
      </c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11" t="n">
        <v>15</v>
      </c>
      <c r="B29" s="11" t="s">
        <v>190</v>
      </c>
      <c r="C29" s="11" t="s">
        <v>191</v>
      </c>
      <c r="D29" s="11" t="s">
        <v>348</v>
      </c>
      <c r="E29" s="11" t="s">
        <v>337</v>
      </c>
      <c r="F29" s="11" t="s">
        <v>349</v>
      </c>
      <c r="G29" s="11" t="s">
        <v>8</v>
      </c>
      <c r="H29" s="11" t="s">
        <v>146</v>
      </c>
      <c r="I29" s="11" t="s">
        <v>339</v>
      </c>
      <c r="J29" s="11" t="s">
        <v>340</v>
      </c>
      <c r="K29" s="17" t="n">
        <v>3713.54</v>
      </c>
      <c r="L29" s="17" t="n">
        <v>3639.27</v>
      </c>
      <c r="M29" s="17" t="n">
        <v>3527.86</v>
      </c>
      <c r="N29" s="17" t="n">
        <v>269.530833333333</v>
      </c>
      <c r="O29" s="17" t="n">
        <v>2395.83</v>
      </c>
      <c r="P29" s="17" t="n">
        <v>512.47</v>
      </c>
      <c r="Q29" s="17" t="n">
        <v>185.68</v>
      </c>
      <c r="R29" s="17" t="n">
        <v>18.57</v>
      </c>
      <c r="S29" s="17" t="n">
        <v>3234.37</v>
      </c>
      <c r="T29" s="17" t="n">
        <v>0</v>
      </c>
      <c r="U29" s="17" t="n">
        <v>0</v>
      </c>
      <c r="V29" s="17" t="n">
        <v>0</v>
      </c>
      <c r="W29" s="17" t="n">
        <v>0</v>
      </c>
      <c r="X29" s="17" t="n">
        <v>0</v>
      </c>
      <c r="Y29" s="17" t="n">
        <v>0</v>
      </c>
      <c r="Z29" s="17" t="n">
        <v>0</v>
      </c>
      <c r="AA29" s="17" t="n">
        <v>0</v>
      </c>
      <c r="AB29" s="17" t="n">
        <v>0</v>
      </c>
      <c r="AC29" s="17" t="n">
        <v>0</v>
      </c>
      <c r="AD29" s="17" t="n">
        <v>0</v>
      </c>
      <c r="AE29" s="11" t="s">
        <v>192</v>
      </c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11" t="n">
        <v>16</v>
      </c>
      <c r="B30" s="11" t="s">
        <v>193</v>
      </c>
      <c r="C30" s="11" t="s">
        <v>194</v>
      </c>
      <c r="D30" s="11" t="s">
        <v>344</v>
      </c>
      <c r="E30" s="11" t="s">
        <v>337</v>
      </c>
      <c r="F30" s="11" t="s">
        <v>345</v>
      </c>
      <c r="G30" s="11" t="s">
        <v>8</v>
      </c>
      <c r="H30" s="11" t="s">
        <v>146</v>
      </c>
      <c r="I30" s="11" t="s">
        <v>339</v>
      </c>
      <c r="J30" s="11" t="s">
        <v>340</v>
      </c>
      <c r="K30" s="17" t="n">
        <v>4302.18</v>
      </c>
      <c r="L30" s="17" t="n">
        <v>4216.14</v>
      </c>
      <c r="M30" s="17" t="n">
        <v>4087.07</v>
      </c>
      <c r="N30" s="17" t="n">
        <v>312.255</v>
      </c>
      <c r="O30" s="17" t="n">
        <v>2775.6</v>
      </c>
      <c r="P30" s="17" t="n">
        <v>593.7</v>
      </c>
      <c r="Q30" s="17" t="n">
        <v>215.11</v>
      </c>
      <c r="R30" s="17" t="n">
        <v>21.51</v>
      </c>
      <c r="S30" s="17" t="n">
        <v>3747.06</v>
      </c>
      <c r="T30" s="17" t="n">
        <v>0</v>
      </c>
      <c r="U30" s="17" t="n">
        <v>0</v>
      </c>
      <c r="V30" s="17" t="n">
        <v>0</v>
      </c>
      <c r="W30" s="17" t="n">
        <v>0</v>
      </c>
      <c r="X30" s="17" t="n">
        <v>0</v>
      </c>
      <c r="Y30" s="17" t="n">
        <v>0</v>
      </c>
      <c r="Z30" s="17" t="n">
        <v>0</v>
      </c>
      <c r="AA30" s="17" t="n">
        <v>0</v>
      </c>
      <c r="AB30" s="17" t="n">
        <v>0</v>
      </c>
      <c r="AC30" s="17" t="n">
        <v>0</v>
      </c>
      <c r="AD30" s="17" t="n">
        <v>0</v>
      </c>
      <c r="AE30" s="11" t="s">
        <v>195</v>
      </c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11" t="n">
        <v>17</v>
      </c>
      <c r="B31" s="11" t="s">
        <v>196</v>
      </c>
      <c r="C31" s="11" t="s">
        <v>197</v>
      </c>
      <c r="D31" s="11" t="s">
        <v>346</v>
      </c>
      <c r="E31" s="11" t="s">
        <v>342</v>
      </c>
      <c r="F31" s="11" t="s">
        <v>347</v>
      </c>
      <c r="G31" s="11" t="s">
        <v>8</v>
      </c>
      <c r="H31" s="11" t="s">
        <v>146</v>
      </c>
      <c r="I31" s="11" t="s">
        <v>339</v>
      </c>
      <c r="J31" s="11" t="s">
        <v>340</v>
      </c>
      <c r="K31" s="17" t="n">
        <v>3692.36</v>
      </c>
      <c r="L31" s="17" t="n">
        <v>3618.51</v>
      </c>
      <c r="M31" s="17" t="n">
        <v>3507.74</v>
      </c>
      <c r="N31" s="17" t="n">
        <v>267.994166666667</v>
      </c>
      <c r="O31" s="17" t="n">
        <v>2382.17</v>
      </c>
      <c r="P31" s="17" t="n">
        <v>509.55</v>
      </c>
      <c r="Q31" s="17" t="n">
        <v>184.62</v>
      </c>
      <c r="R31" s="17" t="n">
        <v>18.46</v>
      </c>
      <c r="S31" s="17" t="n">
        <v>3215.93</v>
      </c>
      <c r="T31" s="17" t="n">
        <v>0</v>
      </c>
      <c r="U31" s="17" t="n">
        <v>0</v>
      </c>
      <c r="V31" s="17" t="n">
        <v>0</v>
      </c>
      <c r="W31" s="17" t="n">
        <v>0</v>
      </c>
      <c r="X31" s="17" t="n">
        <v>0</v>
      </c>
      <c r="Y31" s="17" t="n">
        <v>0</v>
      </c>
      <c r="Z31" s="17" t="n">
        <v>0</v>
      </c>
      <c r="AA31" s="17" t="n">
        <v>0</v>
      </c>
      <c r="AB31" s="17" t="n">
        <v>0</v>
      </c>
      <c r="AC31" s="17" t="n">
        <v>0</v>
      </c>
      <c r="AD31" s="17" t="n">
        <v>0</v>
      </c>
      <c r="AE31" s="11" t="s">
        <v>198</v>
      </c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11" t="n">
        <v>18</v>
      </c>
      <c r="B32" s="11" t="s">
        <v>199</v>
      </c>
      <c r="C32" s="11" t="s">
        <v>200</v>
      </c>
      <c r="D32" s="11" t="s">
        <v>341</v>
      </c>
      <c r="E32" s="11" t="s">
        <v>342</v>
      </c>
      <c r="F32" s="11" t="s">
        <v>343</v>
      </c>
      <c r="G32" s="11" t="s">
        <v>8</v>
      </c>
      <c r="H32" s="11" t="s">
        <v>146</v>
      </c>
      <c r="I32" s="11" t="s">
        <v>339</v>
      </c>
      <c r="J32" s="11" t="s">
        <v>340</v>
      </c>
      <c r="K32" s="17" t="n">
        <v>2364.37</v>
      </c>
      <c r="L32" s="17" t="n">
        <v>2317.08</v>
      </c>
      <c r="M32" s="17" t="n">
        <v>2246.15</v>
      </c>
      <c r="N32" s="17" t="n">
        <v>171.6075</v>
      </c>
      <c r="O32" s="17" t="n">
        <v>1525.4</v>
      </c>
      <c r="P32" s="17" t="n">
        <v>326.28</v>
      </c>
      <c r="Q32" s="17" t="n">
        <v>118.22</v>
      </c>
      <c r="R32" s="17" t="n">
        <v>11.82</v>
      </c>
      <c r="S32" s="17" t="n">
        <v>2059.29</v>
      </c>
      <c r="T32" s="17" t="n">
        <v>0</v>
      </c>
      <c r="U32" s="17" t="n">
        <v>0</v>
      </c>
      <c r="V32" s="17" t="n">
        <v>0</v>
      </c>
      <c r="W32" s="17" t="n">
        <v>0</v>
      </c>
      <c r="X32" s="17" t="n">
        <v>0</v>
      </c>
      <c r="Y32" s="17" t="n">
        <v>0</v>
      </c>
      <c r="Z32" s="17" t="n">
        <v>0</v>
      </c>
      <c r="AA32" s="17" t="n">
        <v>0</v>
      </c>
      <c r="AB32" s="17" t="n">
        <v>0</v>
      </c>
      <c r="AC32" s="17" t="n">
        <v>0</v>
      </c>
      <c r="AD32" s="17" t="n">
        <v>0</v>
      </c>
      <c r="AE32" s="11" t="s">
        <v>201</v>
      </c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11" t="n">
        <v>19</v>
      </c>
      <c r="B33" s="11" t="s">
        <v>202</v>
      </c>
      <c r="C33" s="11" t="s">
        <v>203</v>
      </c>
      <c r="D33" s="11" t="s">
        <v>344</v>
      </c>
      <c r="E33" s="11" t="s">
        <v>342</v>
      </c>
      <c r="F33" s="11" t="s">
        <v>345</v>
      </c>
      <c r="G33" s="11" t="s">
        <v>8</v>
      </c>
      <c r="H33" s="11" t="s">
        <v>146</v>
      </c>
      <c r="I33" s="11" t="s">
        <v>339</v>
      </c>
      <c r="J33" s="11" t="s">
        <v>340</v>
      </c>
      <c r="K33" s="17" t="n">
        <v>2874.38</v>
      </c>
      <c r="L33" s="17" t="n">
        <v>2816.89</v>
      </c>
      <c r="M33" s="17" t="n">
        <v>2730.66</v>
      </c>
      <c r="N33" s="17" t="n">
        <v>208.624166666667</v>
      </c>
      <c r="O33" s="17" t="n">
        <v>1854.44</v>
      </c>
      <c r="P33" s="17" t="n">
        <v>396.66</v>
      </c>
      <c r="Q33" s="17" t="n">
        <v>143.72</v>
      </c>
      <c r="R33" s="17" t="n">
        <v>14.37</v>
      </c>
      <c r="S33" s="17" t="n">
        <v>2503.49</v>
      </c>
      <c r="T33" s="17" t="n">
        <v>0</v>
      </c>
      <c r="U33" s="17" t="n">
        <v>0</v>
      </c>
      <c r="V33" s="17" t="n">
        <v>0</v>
      </c>
      <c r="W33" s="17" t="n">
        <v>0</v>
      </c>
      <c r="X33" s="17" t="n">
        <v>0</v>
      </c>
      <c r="Y33" s="17" t="n">
        <v>0</v>
      </c>
      <c r="Z33" s="17" t="n">
        <v>0</v>
      </c>
      <c r="AA33" s="17" t="n">
        <v>0</v>
      </c>
      <c r="AB33" s="17" t="n">
        <v>0</v>
      </c>
      <c r="AC33" s="17" t="n">
        <v>0</v>
      </c>
      <c r="AD33" s="17" t="n">
        <v>0</v>
      </c>
      <c r="AE33" s="11" t="s">
        <v>204</v>
      </c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11" t="n">
        <v>20</v>
      </c>
      <c r="B34" s="11" t="s">
        <v>205</v>
      </c>
      <c r="C34" s="11" t="s">
        <v>206</v>
      </c>
      <c r="D34" s="11" t="s">
        <v>341</v>
      </c>
      <c r="E34" s="11" t="s">
        <v>342</v>
      </c>
      <c r="F34" s="11" t="s">
        <v>343</v>
      </c>
      <c r="G34" s="11" t="s">
        <v>8</v>
      </c>
      <c r="H34" s="11" t="s">
        <v>146</v>
      </c>
      <c r="I34" s="11" t="s">
        <v>339</v>
      </c>
      <c r="J34" s="11" t="s">
        <v>340</v>
      </c>
      <c r="K34" s="17" t="n">
        <v>3738.99</v>
      </c>
      <c r="L34" s="17" t="n">
        <v>3664.21</v>
      </c>
      <c r="M34" s="17" t="n">
        <v>3552.04</v>
      </c>
      <c r="N34" s="17" t="n">
        <v>271.378333333333</v>
      </c>
      <c r="O34" s="17" t="n">
        <v>2412.25</v>
      </c>
      <c r="P34" s="17" t="n">
        <v>515.98</v>
      </c>
      <c r="Q34" s="17" t="n">
        <v>186.95</v>
      </c>
      <c r="R34" s="17" t="n">
        <v>18.69</v>
      </c>
      <c r="S34" s="17" t="n">
        <v>3256.54</v>
      </c>
      <c r="T34" s="17" t="n">
        <v>0</v>
      </c>
      <c r="U34" s="17" t="n">
        <v>0</v>
      </c>
      <c r="V34" s="17" t="n">
        <v>0</v>
      </c>
      <c r="W34" s="17" t="n">
        <v>0</v>
      </c>
      <c r="X34" s="17" t="n">
        <v>0</v>
      </c>
      <c r="Y34" s="17" t="n">
        <v>0</v>
      </c>
      <c r="Z34" s="17" t="n">
        <v>0</v>
      </c>
      <c r="AA34" s="17" t="n">
        <v>0</v>
      </c>
      <c r="AB34" s="17" t="n">
        <v>0</v>
      </c>
      <c r="AC34" s="17" t="n">
        <v>0</v>
      </c>
      <c r="AD34" s="17" t="n">
        <v>0</v>
      </c>
      <c r="AE34" s="11" t="s">
        <v>207</v>
      </c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11" t="n">
        <v>21</v>
      </c>
      <c r="B35" s="11" t="s">
        <v>208</v>
      </c>
      <c r="C35" s="11" t="s">
        <v>209</v>
      </c>
      <c r="D35" s="11" t="s">
        <v>336</v>
      </c>
      <c r="E35" s="11" t="s">
        <v>342</v>
      </c>
      <c r="F35" s="11" t="s">
        <v>338</v>
      </c>
      <c r="G35" s="11" t="s">
        <v>8</v>
      </c>
      <c r="H35" s="11" t="s">
        <v>146</v>
      </c>
      <c r="I35" s="11" t="s">
        <v>339</v>
      </c>
      <c r="J35" s="11" t="s">
        <v>340</v>
      </c>
      <c r="K35" s="17" t="n">
        <v>4636.11</v>
      </c>
      <c r="L35" s="17" t="n">
        <v>4543.39</v>
      </c>
      <c r="M35" s="17" t="n">
        <v>4404.3</v>
      </c>
      <c r="N35" s="17" t="n">
        <v>336.491666666667</v>
      </c>
      <c r="O35" s="17" t="n">
        <v>2991.04</v>
      </c>
      <c r="P35" s="17" t="n">
        <v>639.78</v>
      </c>
      <c r="Q35" s="17" t="n">
        <v>231.81</v>
      </c>
      <c r="R35" s="17" t="n">
        <v>23.18</v>
      </c>
      <c r="S35" s="17" t="n">
        <v>4037.9</v>
      </c>
      <c r="T35" s="17" t="n">
        <v>0</v>
      </c>
      <c r="U35" s="17" t="n">
        <v>0</v>
      </c>
      <c r="V35" s="17" t="n">
        <v>0</v>
      </c>
      <c r="W35" s="17" t="n">
        <v>0</v>
      </c>
      <c r="X35" s="17" t="n">
        <v>0</v>
      </c>
      <c r="Y35" s="17" t="n">
        <v>0</v>
      </c>
      <c r="Z35" s="17" t="n">
        <v>0</v>
      </c>
      <c r="AA35" s="17" t="n">
        <v>0</v>
      </c>
      <c r="AB35" s="17" t="n">
        <v>0</v>
      </c>
      <c r="AC35" s="17" t="n">
        <v>0</v>
      </c>
      <c r="AD35" s="17" t="n">
        <v>0</v>
      </c>
      <c r="AE35" s="11" t="s">
        <v>210</v>
      </c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11" t="n">
        <v>22</v>
      </c>
      <c r="B36" s="11" t="s">
        <v>211</v>
      </c>
      <c r="C36" s="11" t="s">
        <v>212</v>
      </c>
      <c r="D36" s="11" t="s">
        <v>336</v>
      </c>
      <c r="E36" s="11" t="s">
        <v>337</v>
      </c>
      <c r="F36" s="11" t="s">
        <v>338</v>
      </c>
      <c r="G36" s="11" t="s">
        <v>8</v>
      </c>
      <c r="H36" s="11" t="s">
        <v>146</v>
      </c>
      <c r="I36" s="11" t="s">
        <v>339</v>
      </c>
      <c r="J36" s="11" t="s">
        <v>340</v>
      </c>
      <c r="K36" s="17" t="n">
        <v>3941.09</v>
      </c>
      <c r="L36" s="17" t="n">
        <v>3862.27</v>
      </c>
      <c r="M36" s="17" t="n">
        <v>3744.04</v>
      </c>
      <c r="N36" s="17" t="n">
        <v>286.046666666667</v>
      </c>
      <c r="O36" s="17" t="n">
        <v>2542.64</v>
      </c>
      <c r="P36" s="17" t="n">
        <v>543.87</v>
      </c>
      <c r="Q36" s="17" t="n">
        <v>197.05</v>
      </c>
      <c r="R36" s="17" t="n">
        <v>19.71</v>
      </c>
      <c r="S36" s="17" t="n">
        <v>3432.56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7" t="n">
        <v>0</v>
      </c>
      <c r="Z36" s="17" t="n">
        <v>0</v>
      </c>
      <c r="AA36" s="17" t="n">
        <v>0</v>
      </c>
      <c r="AB36" s="17" t="n">
        <v>0</v>
      </c>
      <c r="AC36" s="17" t="n">
        <v>0</v>
      </c>
      <c r="AD36" s="17" t="n">
        <v>0</v>
      </c>
      <c r="AE36" s="11" t="s">
        <v>213</v>
      </c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11" t="n">
        <v>23</v>
      </c>
      <c r="B37" s="11" t="s">
        <v>214</v>
      </c>
      <c r="C37" s="11" t="s">
        <v>215</v>
      </c>
      <c r="D37" s="11" t="s">
        <v>341</v>
      </c>
      <c r="E37" s="11" t="s">
        <v>342</v>
      </c>
      <c r="F37" s="11" t="s">
        <v>343</v>
      </c>
      <c r="G37" s="11" t="s">
        <v>8</v>
      </c>
      <c r="H37" s="11" t="s">
        <v>146</v>
      </c>
      <c r="I37" s="11" t="s">
        <v>339</v>
      </c>
      <c r="J37" s="11" t="s">
        <v>340</v>
      </c>
      <c r="K37" s="17" t="n">
        <v>3510.21</v>
      </c>
      <c r="L37" s="17" t="n">
        <v>3440.01</v>
      </c>
      <c r="M37" s="17" t="n">
        <v>3334.7</v>
      </c>
      <c r="N37" s="17" t="n">
        <v>254.773333333333</v>
      </c>
      <c r="O37" s="17" t="n">
        <v>2264.65</v>
      </c>
      <c r="P37" s="17" t="n">
        <v>484.41</v>
      </c>
      <c r="Q37" s="17" t="n">
        <v>175.51</v>
      </c>
      <c r="R37" s="17" t="n">
        <v>17.55</v>
      </c>
      <c r="S37" s="17" t="n">
        <v>3057.28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7" t="n">
        <v>0</v>
      </c>
      <c r="Z37" s="17" t="n">
        <v>0</v>
      </c>
      <c r="AA37" s="17" t="n">
        <v>0</v>
      </c>
      <c r="AB37" s="17" t="n">
        <v>0</v>
      </c>
      <c r="AC37" s="17" t="n">
        <v>0</v>
      </c>
      <c r="AD37" s="17" t="n">
        <v>0</v>
      </c>
      <c r="AE37" s="11" t="s">
        <v>216</v>
      </c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11" t="n">
        <v>24</v>
      </c>
      <c r="B38" s="11" t="s">
        <v>217</v>
      </c>
      <c r="C38" s="11" t="s">
        <v>218</v>
      </c>
      <c r="D38" s="11" t="s">
        <v>348</v>
      </c>
      <c r="E38" s="11" t="s">
        <v>342</v>
      </c>
      <c r="F38" s="11" t="s">
        <v>349</v>
      </c>
      <c r="G38" s="11" t="s">
        <v>8</v>
      </c>
      <c r="H38" s="11" t="s">
        <v>146</v>
      </c>
      <c r="I38" s="11" t="s">
        <v>339</v>
      </c>
      <c r="J38" s="11" t="s">
        <v>340</v>
      </c>
      <c r="K38" s="17" t="n">
        <v>2817.25</v>
      </c>
      <c r="L38" s="17" t="n">
        <v>2760.9</v>
      </c>
      <c r="M38" s="17" t="n">
        <v>2676.39</v>
      </c>
      <c r="N38" s="17" t="n">
        <v>204.4775</v>
      </c>
      <c r="O38" s="17" t="n">
        <v>1817.58</v>
      </c>
      <c r="P38" s="17" t="n">
        <v>388.78</v>
      </c>
      <c r="Q38" s="17" t="n">
        <v>140.86</v>
      </c>
      <c r="R38" s="17" t="n">
        <v>14.09</v>
      </c>
      <c r="S38" s="17" t="n">
        <v>2453.73</v>
      </c>
      <c r="T38" s="17" t="n">
        <v>0</v>
      </c>
      <c r="U38" s="17" t="n">
        <v>0</v>
      </c>
      <c r="V38" s="17" t="n">
        <v>0</v>
      </c>
      <c r="W38" s="17" t="n">
        <v>0</v>
      </c>
      <c r="X38" s="17" t="n">
        <v>0</v>
      </c>
      <c r="Y38" s="17" t="n">
        <v>0</v>
      </c>
      <c r="Z38" s="17" t="n">
        <v>0</v>
      </c>
      <c r="AA38" s="17" t="n">
        <v>0</v>
      </c>
      <c r="AB38" s="17" t="n">
        <v>0</v>
      </c>
      <c r="AC38" s="17" t="n">
        <v>0</v>
      </c>
      <c r="AD38" s="17" t="n">
        <v>0</v>
      </c>
      <c r="AE38" s="11" t="s">
        <v>219</v>
      </c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11" t="n">
        <v>25</v>
      </c>
      <c r="B39" s="11" t="s">
        <v>220</v>
      </c>
      <c r="C39" s="11" t="s">
        <v>221</v>
      </c>
      <c r="D39" s="11" t="s">
        <v>341</v>
      </c>
      <c r="E39" s="11" t="s">
        <v>342</v>
      </c>
      <c r="F39" s="11" t="s">
        <v>343</v>
      </c>
      <c r="G39" s="11" t="s">
        <v>8</v>
      </c>
      <c r="H39" s="11" t="s">
        <v>146</v>
      </c>
      <c r="I39" s="11" t="s">
        <v>339</v>
      </c>
      <c r="J39" s="11" t="s">
        <v>340</v>
      </c>
      <c r="K39" s="17" t="n">
        <v>3838.7</v>
      </c>
      <c r="L39" s="17" t="n">
        <v>3761.93</v>
      </c>
      <c r="M39" s="17" t="n">
        <v>3646.76</v>
      </c>
      <c r="N39" s="17" t="n">
        <v>278.615</v>
      </c>
      <c r="O39" s="17" t="n">
        <v>2476.58</v>
      </c>
      <c r="P39" s="17" t="n">
        <v>529.74</v>
      </c>
      <c r="Q39" s="17" t="n">
        <v>191.94</v>
      </c>
      <c r="R39" s="17" t="n">
        <v>19.19</v>
      </c>
      <c r="S39" s="17" t="n">
        <v>3343.38</v>
      </c>
      <c r="T39" s="17" t="n">
        <v>0</v>
      </c>
      <c r="U39" s="17" t="n">
        <v>0</v>
      </c>
      <c r="V39" s="17" t="n">
        <v>0</v>
      </c>
      <c r="W39" s="17" t="n">
        <v>0</v>
      </c>
      <c r="X39" s="17" t="n">
        <v>0</v>
      </c>
      <c r="Y39" s="17" t="n">
        <v>0</v>
      </c>
      <c r="Z39" s="17" t="n">
        <v>0</v>
      </c>
      <c r="AA39" s="17" t="n">
        <v>0</v>
      </c>
      <c r="AB39" s="17" t="n">
        <v>0</v>
      </c>
      <c r="AC39" s="17" t="n">
        <v>0</v>
      </c>
      <c r="AD39" s="17" t="n">
        <v>0</v>
      </c>
      <c r="AE39" s="11" t="s">
        <v>222</v>
      </c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11" t="n">
        <v>26</v>
      </c>
      <c r="B40" s="11" t="s">
        <v>223</v>
      </c>
      <c r="C40" s="11" t="s">
        <v>224</v>
      </c>
      <c r="D40" s="11" t="s">
        <v>348</v>
      </c>
      <c r="E40" s="11" t="s">
        <v>342</v>
      </c>
      <c r="F40" s="11" t="s">
        <v>349</v>
      </c>
      <c r="G40" s="11" t="s">
        <v>8</v>
      </c>
      <c r="H40" s="11" t="s">
        <v>146</v>
      </c>
      <c r="I40" s="11" t="s">
        <v>339</v>
      </c>
      <c r="J40" s="11" t="s">
        <v>340</v>
      </c>
      <c r="K40" s="17" t="n">
        <v>2599.8</v>
      </c>
      <c r="L40" s="17" t="n">
        <v>2547.8</v>
      </c>
      <c r="M40" s="17" t="n">
        <v>2469.81</v>
      </c>
      <c r="N40" s="17" t="n">
        <v>188.695</v>
      </c>
      <c r="O40" s="17" t="n">
        <v>1677.29</v>
      </c>
      <c r="P40" s="17" t="n">
        <v>358.77</v>
      </c>
      <c r="Q40" s="17" t="n">
        <v>129.99</v>
      </c>
      <c r="R40" s="17" t="n">
        <v>13</v>
      </c>
      <c r="S40" s="17" t="n">
        <v>2264.34</v>
      </c>
      <c r="T40" s="17" t="n">
        <v>0</v>
      </c>
      <c r="U40" s="17" t="n">
        <v>0</v>
      </c>
      <c r="V40" s="17" t="n">
        <v>0</v>
      </c>
      <c r="W40" s="17" t="n">
        <v>0</v>
      </c>
      <c r="X40" s="17" t="n">
        <v>0</v>
      </c>
      <c r="Y40" s="17" t="n">
        <v>0</v>
      </c>
      <c r="Z40" s="17" t="n">
        <v>0</v>
      </c>
      <c r="AA40" s="17" t="n">
        <v>0</v>
      </c>
      <c r="AB40" s="17" t="n">
        <v>0</v>
      </c>
      <c r="AC40" s="17" t="n">
        <v>0</v>
      </c>
      <c r="AD40" s="17" t="n">
        <v>0</v>
      </c>
      <c r="AE40" s="11" t="s">
        <v>225</v>
      </c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11" t="n">
        <v>27</v>
      </c>
      <c r="B41" s="11" t="s">
        <v>226</v>
      </c>
      <c r="C41" s="11" t="s">
        <v>227</v>
      </c>
      <c r="D41" s="11" t="s">
        <v>336</v>
      </c>
      <c r="E41" s="11" t="s">
        <v>337</v>
      </c>
      <c r="F41" s="11" t="s">
        <v>338</v>
      </c>
      <c r="G41" s="11" t="s">
        <v>8</v>
      </c>
      <c r="H41" s="11" t="s">
        <v>146</v>
      </c>
      <c r="I41" s="11" t="s">
        <v>339</v>
      </c>
      <c r="J41" s="11" t="s">
        <v>340</v>
      </c>
      <c r="K41" s="17" t="n">
        <v>5135.35</v>
      </c>
      <c r="L41" s="17" t="n">
        <v>5032.64</v>
      </c>
      <c r="M41" s="17" t="n">
        <v>4878.58</v>
      </c>
      <c r="N41" s="17" t="n">
        <v>372.7275</v>
      </c>
      <c r="O41" s="17" t="n">
        <v>3313.13</v>
      </c>
      <c r="P41" s="17" t="n">
        <v>708.68</v>
      </c>
      <c r="Q41" s="17" t="n">
        <v>256.77</v>
      </c>
      <c r="R41" s="17" t="n">
        <v>25.68</v>
      </c>
      <c r="S41" s="17" t="n">
        <v>4472.73</v>
      </c>
      <c r="T41" s="17" t="n">
        <v>0</v>
      </c>
      <c r="U41" s="17" t="n">
        <v>0</v>
      </c>
      <c r="V41" s="17" t="n">
        <v>0</v>
      </c>
      <c r="W41" s="17" t="n">
        <v>0</v>
      </c>
      <c r="X41" s="17" t="n">
        <v>0</v>
      </c>
      <c r="Y41" s="17" t="n">
        <v>0</v>
      </c>
      <c r="Z41" s="17" t="n">
        <v>0</v>
      </c>
      <c r="AA41" s="17" t="n">
        <v>0</v>
      </c>
      <c r="AB41" s="17" t="n">
        <v>0</v>
      </c>
      <c r="AC41" s="17" t="n">
        <v>0</v>
      </c>
      <c r="AD41" s="17" t="n">
        <v>0</v>
      </c>
      <c r="AE41" s="11" t="s">
        <v>228</v>
      </c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11" t="n">
        <v>28</v>
      </c>
      <c r="B42" s="11" t="s">
        <v>229</v>
      </c>
      <c r="C42" s="11" t="s">
        <v>230</v>
      </c>
      <c r="D42" s="11" t="s">
        <v>344</v>
      </c>
      <c r="E42" s="11" t="s">
        <v>337</v>
      </c>
      <c r="F42" s="11" t="s">
        <v>345</v>
      </c>
      <c r="G42" s="11" t="s">
        <v>8</v>
      </c>
      <c r="H42" s="11" t="s">
        <v>146</v>
      </c>
      <c r="I42" s="11" t="s">
        <v>339</v>
      </c>
      <c r="J42" s="11" t="s">
        <v>340</v>
      </c>
      <c r="K42" s="17" t="n">
        <v>4289.64</v>
      </c>
      <c r="L42" s="17" t="n">
        <v>4203.85</v>
      </c>
      <c r="M42" s="17" t="n">
        <v>4075.16</v>
      </c>
      <c r="N42" s="17" t="n">
        <v>311.345</v>
      </c>
      <c r="O42" s="17" t="n">
        <v>2767.51</v>
      </c>
      <c r="P42" s="17" t="n">
        <v>591.97</v>
      </c>
      <c r="Q42" s="17" t="n">
        <v>214.48</v>
      </c>
      <c r="R42" s="17" t="n">
        <v>21.45</v>
      </c>
      <c r="S42" s="17" t="n">
        <v>3736.14</v>
      </c>
      <c r="T42" s="17" t="n">
        <v>0</v>
      </c>
      <c r="U42" s="17" t="n">
        <v>0</v>
      </c>
      <c r="V42" s="17" t="n">
        <v>0</v>
      </c>
      <c r="W42" s="17" t="n">
        <v>0</v>
      </c>
      <c r="X42" s="17" t="n">
        <v>0</v>
      </c>
      <c r="Y42" s="17" t="n">
        <v>0</v>
      </c>
      <c r="Z42" s="17" t="n">
        <v>0</v>
      </c>
      <c r="AA42" s="17" t="n">
        <v>0</v>
      </c>
      <c r="AB42" s="17" t="n">
        <v>0</v>
      </c>
      <c r="AC42" s="17" t="n">
        <v>0</v>
      </c>
      <c r="AD42" s="17" t="n">
        <v>0</v>
      </c>
      <c r="AE42" s="11" t="s">
        <v>231</v>
      </c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11" t="n">
        <v>29</v>
      </c>
      <c r="B43" s="11" t="s">
        <v>232</v>
      </c>
      <c r="C43" s="11" t="s">
        <v>233</v>
      </c>
      <c r="D43" s="11" t="s">
        <v>341</v>
      </c>
      <c r="E43" s="11" t="s">
        <v>342</v>
      </c>
      <c r="F43" s="11" t="s">
        <v>343</v>
      </c>
      <c r="G43" s="11" t="s">
        <v>8</v>
      </c>
      <c r="H43" s="11" t="s">
        <v>146</v>
      </c>
      <c r="I43" s="11" t="s">
        <v>339</v>
      </c>
      <c r="J43" s="11" t="s">
        <v>340</v>
      </c>
      <c r="K43" s="17" t="n">
        <v>4973.14</v>
      </c>
      <c r="L43" s="17" t="n">
        <v>4873.68</v>
      </c>
      <c r="M43" s="17" t="n">
        <v>4724.48</v>
      </c>
      <c r="N43" s="17" t="n">
        <v>360.954166666667</v>
      </c>
      <c r="O43" s="17" t="n">
        <v>3208.48</v>
      </c>
      <c r="P43" s="17" t="n">
        <v>686.29</v>
      </c>
      <c r="Q43" s="17" t="n">
        <v>248.66</v>
      </c>
      <c r="R43" s="17" t="n">
        <v>24.87</v>
      </c>
      <c r="S43" s="17" t="n">
        <v>4331.45</v>
      </c>
      <c r="T43" s="17" t="n">
        <v>0</v>
      </c>
      <c r="U43" s="17" t="n">
        <v>0</v>
      </c>
      <c r="V43" s="17" t="n">
        <v>0</v>
      </c>
      <c r="W43" s="17" t="n">
        <v>0</v>
      </c>
      <c r="X43" s="17" t="n">
        <v>0</v>
      </c>
      <c r="Y43" s="17" t="n">
        <v>0</v>
      </c>
      <c r="Z43" s="17" t="n">
        <v>0</v>
      </c>
      <c r="AA43" s="17" t="n">
        <v>0</v>
      </c>
      <c r="AB43" s="17" t="n">
        <v>0</v>
      </c>
      <c r="AC43" s="17" t="n">
        <v>0</v>
      </c>
      <c r="AD43" s="17" t="n">
        <v>0</v>
      </c>
      <c r="AE43" s="11" t="s">
        <v>234</v>
      </c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11" t="n">
        <v>30</v>
      </c>
      <c r="B44" s="11" t="s">
        <v>235</v>
      </c>
      <c r="C44" s="11" t="s">
        <v>236</v>
      </c>
      <c r="D44" s="11" t="s">
        <v>348</v>
      </c>
      <c r="E44" s="11" t="s">
        <v>337</v>
      </c>
      <c r="F44" s="11" t="s">
        <v>349</v>
      </c>
      <c r="G44" s="11" t="s">
        <v>8</v>
      </c>
      <c r="H44" s="11" t="s">
        <v>146</v>
      </c>
      <c r="I44" s="11" t="s">
        <v>339</v>
      </c>
      <c r="J44" s="11" t="s">
        <v>340</v>
      </c>
      <c r="K44" s="17" t="n">
        <v>3411.61</v>
      </c>
      <c r="L44" s="17" t="n">
        <v>3343.38</v>
      </c>
      <c r="M44" s="17" t="n">
        <v>3241.03</v>
      </c>
      <c r="N44" s="17" t="n">
        <v>247.616666666667</v>
      </c>
      <c r="O44" s="17" t="n">
        <v>2201.04</v>
      </c>
      <c r="P44" s="17" t="n">
        <v>470.8</v>
      </c>
      <c r="Q44" s="17" t="n">
        <v>170.58</v>
      </c>
      <c r="R44" s="17" t="n">
        <v>17.06</v>
      </c>
      <c r="S44" s="17" t="n">
        <v>2971.4</v>
      </c>
      <c r="T44" s="17" t="n">
        <v>0</v>
      </c>
      <c r="U44" s="17" t="n">
        <v>0</v>
      </c>
      <c r="V44" s="17" t="n">
        <v>0</v>
      </c>
      <c r="W44" s="17" t="n">
        <v>0</v>
      </c>
      <c r="X44" s="17" t="n">
        <v>0</v>
      </c>
      <c r="Y44" s="17" t="n">
        <v>0</v>
      </c>
      <c r="Z44" s="17" t="n">
        <v>0</v>
      </c>
      <c r="AA44" s="17" t="n">
        <v>0</v>
      </c>
      <c r="AB44" s="17" t="n">
        <v>0</v>
      </c>
      <c r="AC44" s="17" t="n">
        <v>0</v>
      </c>
      <c r="AD44" s="17" t="n">
        <v>0</v>
      </c>
      <c r="AE44" s="11" t="s">
        <v>237</v>
      </c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11" t="n">
        <v>31</v>
      </c>
      <c r="B45" s="11" t="s">
        <v>238</v>
      </c>
      <c r="C45" s="11" t="s">
        <v>239</v>
      </c>
      <c r="D45" s="11" t="s">
        <v>344</v>
      </c>
      <c r="E45" s="11" t="s">
        <v>337</v>
      </c>
      <c r="F45" s="11" t="s">
        <v>345</v>
      </c>
      <c r="G45" s="11" t="s">
        <v>8</v>
      </c>
      <c r="H45" s="11" t="s">
        <v>146</v>
      </c>
      <c r="I45" s="11" t="s">
        <v>339</v>
      </c>
      <c r="J45" s="11" t="s">
        <v>340</v>
      </c>
      <c r="K45" s="17" t="n">
        <v>2632.89</v>
      </c>
      <c r="L45" s="17" t="n">
        <v>2389.1</v>
      </c>
      <c r="M45" s="17" t="n">
        <v>2315.97</v>
      </c>
      <c r="N45" s="17" t="n">
        <v>176.0675</v>
      </c>
      <c r="O45" s="17" t="n">
        <v>1771.51</v>
      </c>
      <c r="P45" s="17" t="n">
        <v>336.42</v>
      </c>
      <c r="Q45" s="17" t="n">
        <v>121.89</v>
      </c>
      <c r="R45" s="17" t="n">
        <v>12.19</v>
      </c>
      <c r="S45" s="17" t="n">
        <v>438.82</v>
      </c>
      <c r="T45" s="17" t="n">
        <v>0</v>
      </c>
      <c r="U45" s="17" t="n">
        <v>0</v>
      </c>
      <c r="V45" s="17" t="n">
        <v>0</v>
      </c>
      <c r="W45" s="17" t="n">
        <v>0</v>
      </c>
      <c r="X45" s="17" t="n">
        <v>0</v>
      </c>
      <c r="Y45" s="17" t="n">
        <v>0</v>
      </c>
      <c r="Z45" s="17" t="n">
        <v>0</v>
      </c>
      <c r="AA45" s="17" t="n">
        <v>0</v>
      </c>
      <c r="AB45" s="17" t="n">
        <v>0</v>
      </c>
      <c r="AC45" s="17" t="n">
        <v>0</v>
      </c>
      <c r="AD45" s="17" t="n">
        <v>0</v>
      </c>
      <c r="AE45" s="11" t="s">
        <v>240</v>
      </c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11" t="n">
        <v>32</v>
      </c>
      <c r="B46" s="11" t="s">
        <v>241</v>
      </c>
      <c r="C46" s="11" t="s">
        <v>242</v>
      </c>
      <c r="D46" s="11" t="s">
        <v>344</v>
      </c>
      <c r="E46" s="11" t="s">
        <v>342</v>
      </c>
      <c r="F46" s="11" t="s">
        <v>345</v>
      </c>
      <c r="G46" s="11" t="s">
        <v>8</v>
      </c>
      <c r="H46" s="11" t="s">
        <v>146</v>
      </c>
      <c r="I46" s="11" t="s">
        <v>339</v>
      </c>
      <c r="J46" s="11" t="s">
        <v>340</v>
      </c>
      <c r="K46" s="17" t="n">
        <v>2696.31</v>
      </c>
      <c r="L46" s="17" t="n">
        <v>2477.23</v>
      </c>
      <c r="M46" s="17" t="n">
        <v>2401.4</v>
      </c>
      <c r="N46" s="17" t="n">
        <v>182.5625</v>
      </c>
      <c r="O46" s="17" t="n">
        <v>1811.58</v>
      </c>
      <c r="P46" s="17" t="n">
        <v>348.84</v>
      </c>
      <c r="Q46" s="17" t="n">
        <v>126.39</v>
      </c>
      <c r="R46" s="17" t="n">
        <v>12.64</v>
      </c>
      <c r="S46" s="17" t="n">
        <v>2190.75</v>
      </c>
      <c r="T46" s="17" t="n">
        <v>0</v>
      </c>
      <c r="U46" s="17" t="n">
        <v>421.3</v>
      </c>
      <c r="V46" s="17" t="n">
        <v>0</v>
      </c>
      <c r="W46" s="17" t="n">
        <v>0</v>
      </c>
      <c r="X46" s="17" t="n">
        <v>0</v>
      </c>
      <c r="Y46" s="17" t="n">
        <v>0</v>
      </c>
      <c r="Z46" s="17" t="n">
        <v>0</v>
      </c>
      <c r="AA46" s="17" t="n">
        <v>0</v>
      </c>
      <c r="AB46" s="17" t="n">
        <v>0</v>
      </c>
      <c r="AC46" s="17" t="n">
        <v>0</v>
      </c>
      <c r="AD46" s="17" t="n">
        <v>0</v>
      </c>
      <c r="AE46" s="11" t="s">
        <v>243</v>
      </c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11" t="n">
        <v>33</v>
      </c>
      <c r="B47" s="11" t="s">
        <v>244</v>
      </c>
      <c r="C47" s="11" t="s">
        <v>245</v>
      </c>
      <c r="D47" s="11" t="s">
        <v>336</v>
      </c>
      <c r="E47" s="11" t="s">
        <v>337</v>
      </c>
      <c r="F47" s="11" t="s">
        <v>338</v>
      </c>
      <c r="G47" s="11" t="s">
        <v>8</v>
      </c>
      <c r="H47" s="11" t="s">
        <v>146</v>
      </c>
      <c r="I47" s="11" t="s">
        <v>339</v>
      </c>
      <c r="J47" s="11" t="s">
        <v>340</v>
      </c>
      <c r="K47" s="17" t="n">
        <v>4342.09</v>
      </c>
      <c r="L47" s="17" t="n">
        <v>3868.39</v>
      </c>
      <c r="M47" s="17" t="n">
        <v>3749.97</v>
      </c>
      <c r="N47" s="17" t="n">
        <v>285.085833333333</v>
      </c>
      <c r="O47" s="17" t="n">
        <v>2927.62</v>
      </c>
      <c r="P47" s="17" t="n">
        <v>544.73</v>
      </c>
      <c r="Q47" s="17" t="n">
        <v>197.37</v>
      </c>
      <c r="R47" s="17" t="n">
        <v>19.74</v>
      </c>
      <c r="S47" s="17" t="n">
        <v>3421.03</v>
      </c>
      <c r="T47" s="17" t="n">
        <v>789.47</v>
      </c>
      <c r="U47" s="17" t="n">
        <v>0</v>
      </c>
      <c r="V47" s="17" t="n">
        <v>0</v>
      </c>
      <c r="W47" s="17" t="n">
        <v>0</v>
      </c>
      <c r="X47" s="17" t="n">
        <v>0</v>
      </c>
      <c r="Y47" s="17" t="n">
        <v>0</v>
      </c>
      <c r="Z47" s="17" t="n">
        <v>0</v>
      </c>
      <c r="AA47" s="17" t="n">
        <v>0</v>
      </c>
      <c r="AB47" s="17" t="n">
        <v>0</v>
      </c>
      <c r="AC47" s="17" t="n">
        <v>0</v>
      </c>
      <c r="AD47" s="17" t="n">
        <v>0</v>
      </c>
      <c r="AE47" s="11" t="s">
        <v>246</v>
      </c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11" t="n">
        <v>34</v>
      </c>
      <c r="B48" s="11" t="s">
        <v>247</v>
      </c>
      <c r="C48" s="11" t="s">
        <v>248</v>
      </c>
      <c r="D48" s="11" t="s">
        <v>341</v>
      </c>
      <c r="E48" s="11" t="s">
        <v>342</v>
      </c>
      <c r="F48" s="11" t="s">
        <v>343</v>
      </c>
      <c r="G48" s="11" t="s">
        <v>8</v>
      </c>
      <c r="H48" s="11" t="s">
        <v>146</v>
      </c>
      <c r="I48" s="11" t="s">
        <v>339</v>
      </c>
      <c r="J48" s="11" t="s">
        <v>340</v>
      </c>
      <c r="K48" s="17" t="n">
        <v>2562.78</v>
      </c>
      <c r="L48" s="17" t="n">
        <v>2843.23</v>
      </c>
      <c r="M48" s="17" t="n">
        <v>2756.2</v>
      </c>
      <c r="N48" s="17" t="n">
        <v>209.535</v>
      </c>
      <c r="O48" s="17" t="n">
        <v>1680.31</v>
      </c>
      <c r="P48" s="17" t="n">
        <v>400.37</v>
      </c>
      <c r="Q48" s="17" t="n">
        <v>145.06</v>
      </c>
      <c r="R48" s="17" t="n">
        <v>14.51</v>
      </c>
      <c r="S48" s="17" t="n">
        <v>628.61</v>
      </c>
      <c r="T48" s="17" t="n">
        <v>0</v>
      </c>
      <c r="U48" s="17" t="n">
        <v>0</v>
      </c>
      <c r="V48" s="17" t="n">
        <v>0</v>
      </c>
      <c r="W48" s="17" t="n">
        <v>0</v>
      </c>
      <c r="X48" s="17" t="n">
        <v>0</v>
      </c>
      <c r="Y48" s="17" t="n">
        <v>0</v>
      </c>
      <c r="Z48" s="17" t="n">
        <v>0</v>
      </c>
      <c r="AA48" s="17" t="n">
        <v>0</v>
      </c>
      <c r="AB48" s="17" t="n">
        <v>0</v>
      </c>
      <c r="AC48" s="17" t="n">
        <v>0</v>
      </c>
      <c r="AD48" s="17" t="n">
        <v>0</v>
      </c>
      <c r="AE48" s="11" t="s">
        <v>249</v>
      </c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11" t="n">
        <v>35</v>
      </c>
      <c r="B49" s="11" t="s">
        <v>250</v>
      </c>
      <c r="C49" s="11" t="s">
        <v>251</v>
      </c>
      <c r="D49" s="11" t="s">
        <v>344</v>
      </c>
      <c r="E49" s="11" t="s">
        <v>342</v>
      </c>
      <c r="F49" s="11" t="s">
        <v>345</v>
      </c>
      <c r="G49" s="11" t="s">
        <v>8</v>
      </c>
      <c r="H49" s="11" t="s">
        <v>146</v>
      </c>
      <c r="I49" s="11" t="s">
        <v>339</v>
      </c>
      <c r="J49" s="11" t="s">
        <v>340</v>
      </c>
      <c r="K49" s="17" t="n">
        <v>7078.81</v>
      </c>
      <c r="L49" s="17" t="n">
        <v>4002.25</v>
      </c>
      <c r="M49" s="17" t="n">
        <v>3879.73</v>
      </c>
      <c r="N49" s="17" t="n">
        <v>294.95</v>
      </c>
      <c r="O49" s="17" t="n">
        <v>4968.78</v>
      </c>
      <c r="P49" s="17" t="n">
        <v>563.58</v>
      </c>
      <c r="Q49" s="17" t="n">
        <v>204.2</v>
      </c>
      <c r="R49" s="17" t="n">
        <v>20.42</v>
      </c>
      <c r="S49" s="17" t="n">
        <v>3539.4</v>
      </c>
      <c r="T49" s="17" t="n">
        <v>0</v>
      </c>
      <c r="U49" s="17" t="n">
        <v>0</v>
      </c>
      <c r="V49" s="17" t="n">
        <v>3403.27</v>
      </c>
      <c r="W49" s="17" t="n">
        <v>0</v>
      </c>
      <c r="X49" s="17" t="n">
        <v>0</v>
      </c>
      <c r="Y49" s="17" t="n">
        <v>0</v>
      </c>
      <c r="Z49" s="17" t="n">
        <v>0</v>
      </c>
      <c r="AA49" s="17" t="n">
        <v>0</v>
      </c>
      <c r="AB49" s="17" t="n">
        <v>0</v>
      </c>
      <c r="AC49" s="17" t="n">
        <v>0</v>
      </c>
      <c r="AD49" s="17" t="n">
        <v>0</v>
      </c>
      <c r="AE49" s="11" t="s">
        <v>252</v>
      </c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11" t="n">
        <v>36</v>
      </c>
      <c r="B50" s="11" t="s">
        <v>253</v>
      </c>
      <c r="C50" s="11" t="s">
        <v>254</v>
      </c>
      <c r="D50" s="11" t="s">
        <v>341</v>
      </c>
      <c r="E50" s="11" t="s">
        <v>342</v>
      </c>
      <c r="F50" s="11" t="s">
        <v>343</v>
      </c>
      <c r="G50" s="11" t="s">
        <v>8</v>
      </c>
      <c r="H50" s="11" t="s">
        <v>146</v>
      </c>
      <c r="I50" s="11" t="s">
        <v>339</v>
      </c>
      <c r="J50" s="11" t="s">
        <v>340</v>
      </c>
      <c r="K50" s="17" t="n">
        <v>2837.4</v>
      </c>
      <c r="L50" s="17" t="n">
        <v>2780.65</v>
      </c>
      <c r="M50" s="17" t="n">
        <v>2695.53</v>
      </c>
      <c r="N50" s="17" t="n">
        <v>204.923333333333</v>
      </c>
      <c r="O50" s="17" t="n">
        <v>1891.6</v>
      </c>
      <c r="P50" s="17" t="n">
        <v>391.56</v>
      </c>
      <c r="Q50" s="17" t="n">
        <v>141.87</v>
      </c>
      <c r="R50" s="17" t="n">
        <v>14.19</v>
      </c>
      <c r="S50" s="17" t="n">
        <v>2459.08</v>
      </c>
      <c r="T50" s="17" t="n">
        <v>0</v>
      </c>
      <c r="U50" s="17" t="n">
        <v>0</v>
      </c>
      <c r="V50" s="17" t="n">
        <v>0</v>
      </c>
      <c r="W50" s="17" t="n">
        <v>0</v>
      </c>
      <c r="X50" s="17" t="n">
        <v>0</v>
      </c>
      <c r="Y50" s="17" t="n">
        <v>283.74</v>
      </c>
      <c r="Z50" s="17" t="n">
        <v>0</v>
      </c>
      <c r="AA50" s="17" t="n">
        <v>0</v>
      </c>
      <c r="AB50" s="17" t="n">
        <v>0</v>
      </c>
      <c r="AC50" s="17" t="n">
        <v>0</v>
      </c>
      <c r="AD50" s="17" t="n">
        <v>0</v>
      </c>
      <c r="AE50" s="11" t="s">
        <v>255</v>
      </c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11" t="n">
        <v>37</v>
      </c>
      <c r="B51" s="11" t="s">
        <v>256</v>
      </c>
      <c r="C51" s="11" t="s">
        <v>257</v>
      </c>
      <c r="D51" s="11" t="s">
        <v>346</v>
      </c>
      <c r="E51" s="11" t="s">
        <v>337</v>
      </c>
      <c r="F51" s="11" t="s">
        <v>347</v>
      </c>
      <c r="G51" s="11" t="s">
        <v>8</v>
      </c>
      <c r="H51" s="11" t="s">
        <v>146</v>
      </c>
      <c r="I51" s="11" t="s">
        <v>339</v>
      </c>
      <c r="J51" s="11" t="s">
        <v>340</v>
      </c>
      <c r="K51" s="17" t="n">
        <v>4422.94</v>
      </c>
      <c r="L51" s="17" t="n">
        <v>3514.45</v>
      </c>
      <c r="M51" s="17" t="n">
        <v>3406.86</v>
      </c>
      <c r="N51" s="17" t="n">
        <v>259.000833333333</v>
      </c>
      <c r="O51" s="17" t="n">
        <v>3018.36</v>
      </c>
      <c r="P51" s="17" t="n">
        <v>494.89</v>
      </c>
      <c r="Q51" s="17" t="n">
        <v>179.31</v>
      </c>
      <c r="R51" s="17" t="n">
        <v>17.93</v>
      </c>
      <c r="S51" s="17" t="n">
        <v>3108.01</v>
      </c>
      <c r="T51" s="17" t="n">
        <v>0</v>
      </c>
      <c r="U51" s="17" t="n">
        <v>0</v>
      </c>
      <c r="V51" s="17" t="n">
        <v>0</v>
      </c>
      <c r="W51" s="17" t="n">
        <v>0</v>
      </c>
      <c r="X51" s="17" t="n">
        <v>0</v>
      </c>
      <c r="Y51" s="17" t="n">
        <v>0</v>
      </c>
      <c r="Z51" s="17" t="n">
        <v>0</v>
      </c>
      <c r="AA51" s="17" t="n">
        <v>0</v>
      </c>
      <c r="AB51" s="17" t="n">
        <v>0</v>
      </c>
      <c r="AC51" s="17" t="n">
        <v>0</v>
      </c>
      <c r="AD51" s="17" t="n">
        <v>1195.39</v>
      </c>
      <c r="AE51" s="11" t="s">
        <v>258</v>
      </c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11" t="n">
        <v>38</v>
      </c>
      <c r="B52" s="11" t="s">
        <v>259</v>
      </c>
      <c r="C52" s="11" t="s">
        <v>260</v>
      </c>
      <c r="D52" s="11" t="s">
        <v>346</v>
      </c>
      <c r="E52" s="11" t="s">
        <v>337</v>
      </c>
      <c r="F52" s="11" t="s">
        <v>347</v>
      </c>
      <c r="G52" s="11" t="s">
        <v>8</v>
      </c>
      <c r="H52" s="11" t="s">
        <v>146</v>
      </c>
      <c r="I52" s="11" t="s">
        <v>339</v>
      </c>
      <c r="J52" s="11" t="s">
        <v>340</v>
      </c>
      <c r="K52" s="17" t="n">
        <v>5056.88</v>
      </c>
      <c r="L52" s="17" t="n">
        <v>3539.82</v>
      </c>
      <c r="M52" s="17" t="n">
        <v>3431.46</v>
      </c>
      <c r="N52" s="17" t="n">
        <v>260.870833333333</v>
      </c>
      <c r="O52" s="17" t="n">
        <v>3491.66</v>
      </c>
      <c r="P52" s="17" t="n">
        <v>498.46</v>
      </c>
      <c r="Q52" s="17" t="n">
        <v>180.6</v>
      </c>
      <c r="R52" s="17" t="n">
        <v>18.06</v>
      </c>
      <c r="S52" s="17" t="n">
        <v>3130.45</v>
      </c>
      <c r="T52" s="17" t="n">
        <v>0</v>
      </c>
      <c r="U52" s="17" t="n">
        <v>0</v>
      </c>
      <c r="V52" s="17" t="n">
        <v>0</v>
      </c>
      <c r="W52" s="17" t="n">
        <v>0</v>
      </c>
      <c r="X52" s="17" t="n">
        <v>0</v>
      </c>
      <c r="Y52" s="17" t="n">
        <v>0</v>
      </c>
      <c r="Z52" s="17" t="n">
        <v>0</v>
      </c>
      <c r="AA52" s="17" t="n">
        <v>0</v>
      </c>
      <c r="AB52" s="17" t="n">
        <v>0</v>
      </c>
      <c r="AC52" s="17" t="n">
        <v>1806.03</v>
      </c>
      <c r="AD52" s="17" t="n">
        <v>0</v>
      </c>
      <c r="AE52" s="11" t="s">
        <v>261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11" t="n">
        <v>39</v>
      </c>
      <c r="B53" s="11" t="s">
        <v>262</v>
      </c>
      <c r="C53" s="11" t="s">
        <v>263</v>
      </c>
      <c r="D53" s="11" t="s">
        <v>336</v>
      </c>
      <c r="E53" s="11" t="s">
        <v>337</v>
      </c>
      <c r="F53" s="11" t="s">
        <v>338</v>
      </c>
      <c r="G53" s="11" t="s">
        <v>8</v>
      </c>
      <c r="H53" s="11" t="s">
        <v>146</v>
      </c>
      <c r="I53" s="11" t="s">
        <v>339</v>
      </c>
      <c r="J53" s="11" t="s">
        <v>340</v>
      </c>
      <c r="K53" s="17" t="n">
        <v>4097.13</v>
      </c>
      <c r="L53" s="17" t="n">
        <v>3764.25</v>
      </c>
      <c r="M53" s="17" t="n">
        <v>3649.02</v>
      </c>
      <c r="N53" s="17" t="n">
        <v>277.41</v>
      </c>
      <c r="O53" s="17" t="n">
        <v>2752.76</v>
      </c>
      <c r="P53" s="17" t="n">
        <v>530.07</v>
      </c>
      <c r="Q53" s="17" t="n">
        <v>192.05</v>
      </c>
      <c r="R53" s="17" t="n">
        <v>19.21</v>
      </c>
      <c r="S53" s="17" t="n">
        <v>3328.92</v>
      </c>
      <c r="T53" s="17" t="n">
        <v>0</v>
      </c>
      <c r="U53" s="17" t="n">
        <v>640.18</v>
      </c>
      <c r="V53" s="17" t="n">
        <v>0</v>
      </c>
      <c r="W53" s="17" t="n">
        <v>0</v>
      </c>
      <c r="X53" s="17" t="n">
        <v>0</v>
      </c>
      <c r="Y53" s="17" t="n">
        <v>0</v>
      </c>
      <c r="Z53" s="17" t="n">
        <v>0</v>
      </c>
      <c r="AA53" s="17" t="n">
        <v>0</v>
      </c>
      <c r="AB53" s="17" t="n">
        <v>0</v>
      </c>
      <c r="AC53" s="17" t="n">
        <v>0</v>
      </c>
      <c r="AD53" s="17" t="n">
        <v>0</v>
      </c>
      <c r="AE53" s="11" t="s">
        <v>264</v>
      </c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11" t="n">
        <v>40</v>
      </c>
      <c r="B54" s="11" t="s">
        <v>265</v>
      </c>
      <c r="C54" s="11" t="s">
        <v>266</v>
      </c>
      <c r="D54" s="11" t="s">
        <v>344</v>
      </c>
      <c r="E54" s="11" t="s">
        <v>337</v>
      </c>
      <c r="F54" s="11" t="s">
        <v>345</v>
      </c>
      <c r="G54" s="11" t="s">
        <v>8</v>
      </c>
      <c r="H54" s="11" t="s">
        <v>146</v>
      </c>
      <c r="I54" s="11" t="s">
        <v>339</v>
      </c>
      <c r="J54" s="11" t="s">
        <v>340</v>
      </c>
      <c r="K54" s="17" t="n">
        <v>2970.61</v>
      </c>
      <c r="L54" s="17" t="n">
        <v>2599.28</v>
      </c>
      <c r="M54" s="17" t="n">
        <v>2519.71</v>
      </c>
      <c r="N54" s="17" t="n">
        <v>191.556666666667</v>
      </c>
      <c r="O54" s="17" t="n">
        <v>2006.93</v>
      </c>
      <c r="P54" s="17" t="n">
        <v>366.02</v>
      </c>
      <c r="Q54" s="17" t="n">
        <v>132.62</v>
      </c>
      <c r="R54" s="17" t="n">
        <v>13.26</v>
      </c>
      <c r="S54" s="17" t="n">
        <v>583.51</v>
      </c>
      <c r="T54" s="17" t="n">
        <v>0</v>
      </c>
      <c r="U54" s="17" t="n">
        <v>0</v>
      </c>
      <c r="V54" s="17" t="n">
        <v>0</v>
      </c>
      <c r="W54" s="17" t="n">
        <v>0</v>
      </c>
      <c r="X54" s="17" t="n">
        <v>0</v>
      </c>
      <c r="Y54" s="17" t="n">
        <v>0</v>
      </c>
      <c r="Z54" s="17" t="n">
        <v>0</v>
      </c>
      <c r="AA54" s="17" t="n">
        <v>0</v>
      </c>
      <c r="AB54" s="17" t="n">
        <v>0</v>
      </c>
      <c r="AC54" s="17" t="n">
        <v>0</v>
      </c>
      <c r="AD54" s="17" t="n">
        <v>0</v>
      </c>
      <c r="AE54" s="11" t="s">
        <v>267</v>
      </c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11" t="n">
        <v>41</v>
      </c>
      <c r="B55" s="11" t="s">
        <v>268</v>
      </c>
      <c r="C55" s="11" t="s">
        <v>269</v>
      </c>
      <c r="D55" s="11" t="s">
        <v>341</v>
      </c>
      <c r="E55" s="11" t="s">
        <v>342</v>
      </c>
      <c r="F55" s="11" t="s">
        <v>343</v>
      </c>
      <c r="G55" s="11" t="s">
        <v>8</v>
      </c>
      <c r="H55" s="11" t="s">
        <v>146</v>
      </c>
      <c r="I55" s="11" t="s">
        <v>339</v>
      </c>
      <c r="J55" s="11" t="s">
        <v>340</v>
      </c>
      <c r="K55" s="17" t="n">
        <v>2709.6</v>
      </c>
      <c r="L55" s="17" t="n">
        <v>2655.41</v>
      </c>
      <c r="M55" s="17" t="n">
        <v>2574.12</v>
      </c>
      <c r="N55" s="17" t="n">
        <v>195.693333333333</v>
      </c>
      <c r="O55" s="17" t="n">
        <v>1806.4</v>
      </c>
      <c r="P55" s="17" t="n">
        <v>373.92</v>
      </c>
      <c r="Q55" s="17" t="n">
        <v>135.48</v>
      </c>
      <c r="R55" s="17" t="n">
        <v>13.55</v>
      </c>
      <c r="S55" s="17" t="n">
        <v>2348.32</v>
      </c>
      <c r="T55" s="17" t="n">
        <v>0</v>
      </c>
      <c r="U55" s="17" t="n">
        <v>0</v>
      </c>
      <c r="V55" s="17" t="n">
        <v>0</v>
      </c>
      <c r="W55" s="17" t="n">
        <v>0</v>
      </c>
      <c r="X55" s="17" t="n">
        <v>0</v>
      </c>
      <c r="Y55" s="17" t="n">
        <v>0</v>
      </c>
      <c r="Z55" s="17" t="n">
        <v>0</v>
      </c>
      <c r="AA55" s="17" t="n">
        <v>0</v>
      </c>
      <c r="AB55" s="17" t="n">
        <v>0</v>
      </c>
      <c r="AC55" s="17" t="n">
        <v>0</v>
      </c>
      <c r="AD55" s="17" t="n">
        <v>0</v>
      </c>
      <c r="AE55" s="11" t="s">
        <v>270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11" t="n">
        <v>42</v>
      </c>
      <c r="B56" s="11" t="s">
        <v>271</v>
      </c>
      <c r="C56" s="11" t="s">
        <v>272</v>
      </c>
      <c r="D56" s="11" t="s">
        <v>341</v>
      </c>
      <c r="E56" s="11" t="s">
        <v>342</v>
      </c>
      <c r="F56" s="11" t="s">
        <v>343</v>
      </c>
      <c r="G56" s="11" t="s">
        <v>8</v>
      </c>
      <c r="H56" s="11" t="s">
        <v>146</v>
      </c>
      <c r="I56" s="11" t="s">
        <v>339</v>
      </c>
      <c r="J56" s="11" t="s">
        <v>340</v>
      </c>
      <c r="K56" s="17" t="n">
        <v>2662.18</v>
      </c>
      <c r="L56" s="17" t="n">
        <v>2608.94</v>
      </c>
      <c r="M56" s="17" t="n">
        <v>2529.07</v>
      </c>
      <c r="N56" s="17" t="n">
        <v>192.268333333333</v>
      </c>
      <c r="O56" s="17" t="n">
        <v>1774.79</v>
      </c>
      <c r="P56" s="17" t="n">
        <v>367.38</v>
      </c>
      <c r="Q56" s="17" t="n">
        <v>133.11</v>
      </c>
      <c r="R56" s="17" t="n">
        <v>13.31</v>
      </c>
      <c r="S56" s="17" t="n">
        <v>2307.22</v>
      </c>
      <c r="T56" s="17" t="n">
        <v>0</v>
      </c>
      <c r="U56" s="17" t="n">
        <v>0</v>
      </c>
      <c r="V56" s="17" t="n">
        <v>0</v>
      </c>
      <c r="W56" s="17" t="n">
        <v>0</v>
      </c>
      <c r="X56" s="17" t="n">
        <v>0</v>
      </c>
      <c r="Y56" s="17" t="n">
        <v>0</v>
      </c>
      <c r="Z56" s="17" t="n">
        <v>0</v>
      </c>
      <c r="AA56" s="17" t="n">
        <v>0</v>
      </c>
      <c r="AB56" s="17" t="n">
        <v>0</v>
      </c>
      <c r="AC56" s="17" t="n">
        <v>0</v>
      </c>
      <c r="AD56" s="17" t="n">
        <v>0</v>
      </c>
      <c r="AE56" s="11" t="s">
        <v>273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11" t="n">
        <v>43</v>
      </c>
      <c r="B57" s="11" t="s">
        <v>274</v>
      </c>
      <c r="C57" s="11" t="s">
        <v>275</v>
      </c>
      <c r="D57" s="11" t="s">
        <v>344</v>
      </c>
      <c r="E57" s="11" t="s">
        <v>337</v>
      </c>
      <c r="F57" s="11" t="s">
        <v>345</v>
      </c>
      <c r="G57" s="11" t="s">
        <v>8</v>
      </c>
      <c r="H57" s="11" t="s">
        <v>146</v>
      </c>
      <c r="I57" s="11" t="s">
        <v>339</v>
      </c>
      <c r="J57" s="11" t="s">
        <v>340</v>
      </c>
      <c r="K57" s="17" t="n">
        <v>3773.39</v>
      </c>
      <c r="L57" s="17" t="n">
        <v>3697.92</v>
      </c>
      <c r="M57" s="17" t="n">
        <v>3584.72</v>
      </c>
      <c r="N57" s="17" t="n">
        <v>272.5225</v>
      </c>
      <c r="O57" s="17" t="n">
        <v>2515.59</v>
      </c>
      <c r="P57" s="17" t="n">
        <v>520.73</v>
      </c>
      <c r="Q57" s="17" t="n">
        <v>188.67</v>
      </c>
      <c r="R57" s="17" t="n">
        <v>18.87</v>
      </c>
      <c r="S57" s="17" t="n">
        <v>3270.27</v>
      </c>
      <c r="T57" s="17" t="n">
        <v>0</v>
      </c>
      <c r="U57" s="17" t="n">
        <v>0</v>
      </c>
      <c r="V57" s="17" t="n">
        <v>0</v>
      </c>
      <c r="W57" s="17" t="n">
        <v>0</v>
      </c>
      <c r="X57" s="17" t="n">
        <v>0</v>
      </c>
      <c r="Y57" s="17" t="n">
        <v>0</v>
      </c>
      <c r="Z57" s="17" t="n">
        <v>0</v>
      </c>
      <c r="AA57" s="17" t="n">
        <v>0</v>
      </c>
      <c r="AB57" s="17" t="n">
        <v>0</v>
      </c>
      <c r="AC57" s="17" t="n">
        <v>0</v>
      </c>
      <c r="AD57" s="17" t="n">
        <v>0</v>
      </c>
      <c r="AE57" s="11" t="s">
        <v>276</v>
      </c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11" t="n">
        <v>44</v>
      </c>
      <c r="B58" s="11" t="s">
        <v>277</v>
      </c>
      <c r="C58" s="11" t="s">
        <v>278</v>
      </c>
      <c r="D58" s="11" t="s">
        <v>344</v>
      </c>
      <c r="E58" s="11" t="s">
        <v>342</v>
      </c>
      <c r="F58" s="11" t="s">
        <v>345</v>
      </c>
      <c r="G58" s="11" t="s">
        <v>8</v>
      </c>
      <c r="H58" s="11" t="s">
        <v>146</v>
      </c>
      <c r="I58" s="11" t="s">
        <v>339</v>
      </c>
      <c r="J58" s="11" t="s">
        <v>340</v>
      </c>
      <c r="K58" s="17" t="n">
        <v>1382.35</v>
      </c>
      <c r="L58" s="17" t="n">
        <v>1354.7</v>
      </c>
      <c r="M58" s="17" t="n">
        <v>1313.23</v>
      </c>
      <c r="N58" s="17" t="n">
        <v>99.8358333333333</v>
      </c>
      <c r="O58" s="17" t="n">
        <v>921.57</v>
      </c>
      <c r="P58" s="17" t="n">
        <v>190.76</v>
      </c>
      <c r="Q58" s="17" t="n">
        <v>69.12</v>
      </c>
      <c r="R58" s="17" t="n">
        <v>6.91</v>
      </c>
      <c r="S58" s="17" t="n">
        <v>1198.03</v>
      </c>
      <c r="T58" s="17" t="n">
        <v>0</v>
      </c>
      <c r="U58" s="17" t="n">
        <v>0</v>
      </c>
      <c r="V58" s="17" t="n">
        <v>0</v>
      </c>
      <c r="W58" s="17" t="n">
        <v>0</v>
      </c>
      <c r="X58" s="17" t="n">
        <v>0</v>
      </c>
      <c r="Y58" s="17" t="n">
        <v>0</v>
      </c>
      <c r="Z58" s="17" t="n">
        <v>0</v>
      </c>
      <c r="AA58" s="17" t="n">
        <v>0</v>
      </c>
      <c r="AB58" s="17" t="n">
        <v>0</v>
      </c>
      <c r="AC58" s="17" t="n">
        <v>0</v>
      </c>
      <c r="AD58" s="17" t="n">
        <v>0</v>
      </c>
      <c r="AE58" s="11" t="s">
        <v>279</v>
      </c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11" t="n">
        <v>45</v>
      </c>
      <c r="B59" s="11" t="s">
        <v>292</v>
      </c>
      <c r="C59" s="11" t="s">
        <v>293</v>
      </c>
      <c r="D59" s="11" t="s">
        <v>344</v>
      </c>
      <c r="E59" s="11" t="s">
        <v>342</v>
      </c>
      <c r="F59" s="11" t="s">
        <v>345</v>
      </c>
      <c r="G59" s="11" t="s">
        <v>8</v>
      </c>
      <c r="H59" s="11" t="s">
        <v>146</v>
      </c>
      <c r="I59" s="11" t="s">
        <v>339</v>
      </c>
      <c r="J59" s="11" t="s">
        <v>340</v>
      </c>
      <c r="K59" s="17" t="n">
        <v>221.14</v>
      </c>
      <c r="L59" s="17" t="n">
        <v>216.72</v>
      </c>
      <c r="M59" s="17" t="n">
        <v>210.08</v>
      </c>
      <c r="N59" s="17" t="n">
        <v>17.5508333333333</v>
      </c>
      <c r="O59" s="17" t="n">
        <v>210.61</v>
      </c>
      <c r="P59" s="17" t="n">
        <v>30.52</v>
      </c>
      <c r="Q59" s="17" t="n">
        <v>11.06</v>
      </c>
      <c r="R59" s="17" t="n">
        <v>1.11</v>
      </c>
      <c r="S59" s="17" t="n">
        <v>210.61</v>
      </c>
      <c r="T59" s="17" t="n">
        <v>0</v>
      </c>
      <c r="U59" s="17" t="n">
        <v>0</v>
      </c>
      <c r="V59" s="17" t="n">
        <v>0</v>
      </c>
      <c r="W59" s="17" t="n">
        <v>0</v>
      </c>
      <c r="X59" s="17" t="n">
        <v>0</v>
      </c>
      <c r="Y59" s="17" t="n">
        <v>0</v>
      </c>
      <c r="Z59" s="17" t="n">
        <v>0</v>
      </c>
      <c r="AA59" s="17" t="n">
        <v>0</v>
      </c>
      <c r="AB59" s="17" t="n">
        <v>0</v>
      </c>
      <c r="AC59" s="17" t="n">
        <v>0</v>
      </c>
      <c r="AD59" s="17" t="n">
        <v>0</v>
      </c>
      <c r="AE59" s="11" t="s">
        <v>294</v>
      </c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11" t="n">
        <v>46</v>
      </c>
      <c r="B60" s="11" t="s">
        <v>295</v>
      </c>
      <c r="C60" s="11" t="s">
        <v>296</v>
      </c>
      <c r="D60" s="11" t="s">
        <v>336</v>
      </c>
      <c r="E60" s="11" t="s">
        <v>342</v>
      </c>
      <c r="F60" s="11" t="s">
        <v>338</v>
      </c>
      <c r="G60" s="11" t="s">
        <v>8</v>
      </c>
      <c r="H60" s="11" t="s">
        <v>146</v>
      </c>
      <c r="I60" s="11" t="s">
        <v>339</v>
      </c>
      <c r="J60" s="11" t="s">
        <v>340</v>
      </c>
      <c r="K60" s="17" t="n">
        <v>708.01</v>
      </c>
      <c r="L60" s="17" t="n">
        <v>693.85</v>
      </c>
      <c r="M60" s="17" t="n">
        <v>672.61</v>
      </c>
      <c r="N60" s="17" t="n">
        <v>56.1916666666667</v>
      </c>
      <c r="O60" s="17" t="n">
        <v>674.3</v>
      </c>
      <c r="P60" s="17" t="n">
        <v>97.71</v>
      </c>
      <c r="Q60" s="17" t="n">
        <v>35.4</v>
      </c>
      <c r="R60" s="17" t="n">
        <v>3.54</v>
      </c>
      <c r="S60" s="17" t="n">
        <v>674.3</v>
      </c>
      <c r="T60" s="17" t="n">
        <v>0</v>
      </c>
      <c r="U60" s="17" t="n">
        <v>0</v>
      </c>
      <c r="V60" s="17" t="n">
        <v>0</v>
      </c>
      <c r="W60" s="17" t="n">
        <v>0</v>
      </c>
      <c r="X60" s="17" t="n">
        <v>0</v>
      </c>
      <c r="Y60" s="17" t="n">
        <v>0</v>
      </c>
      <c r="Z60" s="17" t="n">
        <v>0</v>
      </c>
      <c r="AA60" s="17" t="n">
        <v>0</v>
      </c>
      <c r="AB60" s="17" t="n">
        <v>0</v>
      </c>
      <c r="AC60" s="17" t="n">
        <v>0</v>
      </c>
      <c r="AD60" s="17" t="n">
        <v>0</v>
      </c>
      <c r="AE60" s="11" t="s">
        <v>297</v>
      </c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11" t="n">
        <v>47</v>
      </c>
      <c r="B61" s="11" t="s">
        <v>298</v>
      </c>
      <c r="C61" s="11" t="s">
        <v>299</v>
      </c>
      <c r="D61" s="11" t="s">
        <v>346</v>
      </c>
      <c r="E61" s="11" t="s">
        <v>342</v>
      </c>
      <c r="F61" s="11" t="s">
        <v>347</v>
      </c>
      <c r="G61" s="11" t="s">
        <v>8</v>
      </c>
      <c r="H61" s="11" t="s">
        <v>146</v>
      </c>
      <c r="I61" s="11" t="s">
        <v>339</v>
      </c>
      <c r="J61" s="11" t="s">
        <v>340</v>
      </c>
      <c r="K61" s="17" t="n">
        <v>393.48</v>
      </c>
      <c r="L61" s="17" t="n">
        <v>385.61</v>
      </c>
      <c r="M61" s="17" t="n">
        <v>373.81</v>
      </c>
      <c r="N61" s="17" t="n">
        <v>31.2283333333333</v>
      </c>
      <c r="O61" s="17" t="n">
        <v>374.74</v>
      </c>
      <c r="P61" s="17" t="n">
        <v>54.3</v>
      </c>
      <c r="Q61" s="17" t="n">
        <v>19.67</v>
      </c>
      <c r="R61" s="17" t="n">
        <v>1.97</v>
      </c>
      <c r="S61" s="17" t="n">
        <v>374.74</v>
      </c>
      <c r="T61" s="17" t="n">
        <v>0</v>
      </c>
      <c r="U61" s="17" t="n">
        <v>0</v>
      </c>
      <c r="V61" s="17" t="n">
        <v>0</v>
      </c>
      <c r="W61" s="17" t="n">
        <v>0</v>
      </c>
      <c r="X61" s="17" t="n">
        <v>0</v>
      </c>
      <c r="Y61" s="17" t="n">
        <v>0</v>
      </c>
      <c r="Z61" s="17" t="n">
        <v>0</v>
      </c>
      <c r="AA61" s="17" t="n">
        <v>0</v>
      </c>
      <c r="AB61" s="17" t="n">
        <v>0</v>
      </c>
      <c r="AC61" s="17" t="n">
        <v>0</v>
      </c>
      <c r="AD61" s="17" t="n">
        <v>0</v>
      </c>
      <c r="AE61" s="11" t="s">
        <v>300</v>
      </c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11" t="n">
        <v>48</v>
      </c>
      <c r="B62" s="11" t="s">
        <v>301</v>
      </c>
      <c r="C62" s="11" t="s">
        <v>302</v>
      </c>
      <c r="D62" s="11" t="s">
        <v>336</v>
      </c>
      <c r="E62" s="11" t="s">
        <v>342</v>
      </c>
      <c r="F62" s="11" t="s">
        <v>338</v>
      </c>
      <c r="G62" s="11" t="s">
        <v>8</v>
      </c>
      <c r="H62" s="11" t="s">
        <v>146</v>
      </c>
      <c r="I62" s="11" t="s">
        <v>339</v>
      </c>
      <c r="J62" s="11" t="s">
        <v>340</v>
      </c>
      <c r="K62" s="17" t="n">
        <v>530.05</v>
      </c>
      <c r="L62" s="17" t="n">
        <v>519.45</v>
      </c>
      <c r="M62" s="17" t="n">
        <v>503.55</v>
      </c>
      <c r="N62" s="17" t="n">
        <v>42.0675</v>
      </c>
      <c r="O62" s="17" t="n">
        <v>504.81</v>
      </c>
      <c r="P62" s="17" t="n">
        <v>73.15</v>
      </c>
      <c r="Q62" s="17" t="n">
        <v>26.5</v>
      </c>
      <c r="R62" s="17" t="n">
        <v>2.65</v>
      </c>
      <c r="S62" s="17" t="n">
        <v>504.81</v>
      </c>
      <c r="T62" s="17" t="n">
        <v>0</v>
      </c>
      <c r="U62" s="17" t="n">
        <v>0</v>
      </c>
      <c r="V62" s="17" t="n">
        <v>0</v>
      </c>
      <c r="W62" s="17" t="n">
        <v>0</v>
      </c>
      <c r="X62" s="17" t="n">
        <v>0</v>
      </c>
      <c r="Y62" s="17" t="n">
        <v>0</v>
      </c>
      <c r="Z62" s="17" t="n">
        <v>0</v>
      </c>
      <c r="AA62" s="17" t="n">
        <v>0</v>
      </c>
      <c r="AB62" s="17" t="n">
        <v>0</v>
      </c>
      <c r="AC62" s="17" t="n">
        <v>0</v>
      </c>
      <c r="AD62" s="17" t="n">
        <v>0</v>
      </c>
      <c r="AE62" s="11" t="s">
        <v>303</v>
      </c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11" t="n">
        <v>49</v>
      </c>
      <c r="B63" s="11" t="s">
        <v>304</v>
      </c>
      <c r="C63" s="11" t="s">
        <v>305</v>
      </c>
      <c r="D63" s="11" t="s">
        <v>348</v>
      </c>
      <c r="E63" s="11" t="s">
        <v>342</v>
      </c>
      <c r="F63" s="11" t="s">
        <v>349</v>
      </c>
      <c r="G63" s="11" t="s">
        <v>8</v>
      </c>
      <c r="H63" s="11" t="s">
        <v>146</v>
      </c>
      <c r="I63" s="11" t="s">
        <v>339</v>
      </c>
      <c r="J63" s="11" t="s">
        <v>340</v>
      </c>
      <c r="K63" s="17" t="n">
        <v>3471.59</v>
      </c>
      <c r="L63" s="17" t="n">
        <v>3402.16</v>
      </c>
      <c r="M63" s="17" t="n">
        <v>3298.01</v>
      </c>
      <c r="N63" s="17" t="n">
        <v>250.725833333333</v>
      </c>
      <c r="O63" s="17" t="n">
        <v>2314.39</v>
      </c>
      <c r="P63" s="17" t="n">
        <v>479.08</v>
      </c>
      <c r="Q63" s="17" t="n">
        <v>173.58</v>
      </c>
      <c r="R63" s="17" t="n">
        <v>17.36</v>
      </c>
      <c r="S63" s="17" t="n">
        <v>3008.71</v>
      </c>
      <c r="T63" s="17" t="n">
        <v>0</v>
      </c>
      <c r="U63" s="17" t="n">
        <v>0</v>
      </c>
      <c r="V63" s="17" t="n">
        <v>0</v>
      </c>
      <c r="W63" s="17" t="n">
        <v>0</v>
      </c>
      <c r="X63" s="17" t="n">
        <v>0</v>
      </c>
      <c r="Y63" s="17" t="n">
        <v>0</v>
      </c>
      <c r="Z63" s="17" t="n">
        <v>0</v>
      </c>
      <c r="AA63" s="17" t="n">
        <v>0</v>
      </c>
      <c r="AB63" s="17" t="n">
        <v>0</v>
      </c>
      <c r="AC63" s="17" t="n">
        <v>0</v>
      </c>
      <c r="AD63" s="17" t="n">
        <v>0</v>
      </c>
      <c r="AE63" s="11" t="s">
        <v>306</v>
      </c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11" t="n">
        <v>50</v>
      </c>
      <c r="B64" s="11" t="s">
        <v>307</v>
      </c>
      <c r="C64" s="11" t="s">
        <v>308</v>
      </c>
      <c r="D64" s="11" t="s">
        <v>346</v>
      </c>
      <c r="E64" s="11" t="s">
        <v>337</v>
      </c>
      <c r="F64" s="11" t="s">
        <v>347</v>
      </c>
      <c r="G64" s="11" t="s">
        <v>8</v>
      </c>
      <c r="H64" s="11" t="s">
        <v>146</v>
      </c>
      <c r="I64" s="11" t="s">
        <v>339</v>
      </c>
      <c r="J64" s="11" t="s">
        <v>340</v>
      </c>
      <c r="K64" s="17" t="n">
        <v>3478.59</v>
      </c>
      <c r="L64" s="17" t="n">
        <v>3409.02</v>
      </c>
      <c r="M64" s="17" t="n">
        <v>3304.66</v>
      </c>
      <c r="N64" s="17" t="n">
        <v>251.231666666667</v>
      </c>
      <c r="O64" s="17" t="n">
        <v>2319.06</v>
      </c>
      <c r="P64" s="17" t="n">
        <v>480.05</v>
      </c>
      <c r="Q64" s="17" t="n">
        <v>173.93</v>
      </c>
      <c r="R64" s="17" t="n">
        <v>17.39</v>
      </c>
      <c r="S64" s="17" t="n">
        <v>3014.78</v>
      </c>
      <c r="T64" s="17" t="n">
        <v>0</v>
      </c>
      <c r="U64" s="17" t="n">
        <v>0</v>
      </c>
      <c r="V64" s="17" t="n">
        <v>0</v>
      </c>
      <c r="W64" s="17" t="n">
        <v>0</v>
      </c>
      <c r="X64" s="17" t="n">
        <v>0</v>
      </c>
      <c r="Y64" s="17" t="n">
        <v>0</v>
      </c>
      <c r="Z64" s="17" t="n">
        <v>0</v>
      </c>
      <c r="AA64" s="17" t="n">
        <v>0</v>
      </c>
      <c r="AB64" s="17" t="n">
        <v>0</v>
      </c>
      <c r="AC64" s="17" t="n">
        <v>0</v>
      </c>
      <c r="AD64" s="17" t="n">
        <v>0</v>
      </c>
      <c r="AE64" s="11" t="s">
        <v>309</v>
      </c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11" t="n">
        <v>51</v>
      </c>
      <c r="B65" s="11" t="s">
        <v>313</v>
      </c>
      <c r="C65" s="11" t="s">
        <v>314</v>
      </c>
      <c r="D65" s="11" t="s">
        <v>346</v>
      </c>
      <c r="E65" s="11" t="s">
        <v>342</v>
      </c>
      <c r="F65" s="11" t="s">
        <v>347</v>
      </c>
      <c r="G65" s="11" t="s">
        <v>8</v>
      </c>
      <c r="H65" s="11" t="s">
        <v>146</v>
      </c>
      <c r="I65" s="11" t="s">
        <v>339</v>
      </c>
      <c r="J65" s="11" t="s">
        <v>340</v>
      </c>
      <c r="K65" s="17" t="n">
        <v>3895.32</v>
      </c>
      <c r="L65" s="17" t="n">
        <v>3817.41</v>
      </c>
      <c r="M65" s="17" t="n">
        <v>3700.55</v>
      </c>
      <c r="N65" s="17" t="n">
        <v>281.328333333333</v>
      </c>
      <c r="O65" s="17" t="n">
        <v>2596.88</v>
      </c>
      <c r="P65" s="17" t="n">
        <v>537.55</v>
      </c>
      <c r="Q65" s="17" t="n">
        <v>194.77</v>
      </c>
      <c r="R65" s="17" t="n">
        <v>19.48</v>
      </c>
      <c r="S65" s="17" t="n">
        <v>3375.94</v>
      </c>
      <c r="T65" s="17" t="n">
        <v>0</v>
      </c>
      <c r="U65" s="17" t="n">
        <v>0</v>
      </c>
      <c r="V65" s="17" t="n">
        <v>0</v>
      </c>
      <c r="W65" s="17" t="n">
        <v>0</v>
      </c>
      <c r="X65" s="17" t="n">
        <v>0</v>
      </c>
      <c r="Y65" s="17" t="n">
        <v>0</v>
      </c>
      <c r="Z65" s="17" t="n">
        <v>0</v>
      </c>
      <c r="AA65" s="17" t="n">
        <v>0</v>
      </c>
      <c r="AB65" s="17" t="n">
        <v>0</v>
      </c>
      <c r="AC65" s="17" t="n">
        <v>0</v>
      </c>
      <c r="AD65" s="17" t="n">
        <v>0</v>
      </c>
      <c r="AE65" s="11" t="s">
        <v>315</v>
      </c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11" t="n">
        <v>52</v>
      </c>
      <c r="B66" s="11" t="s">
        <v>319</v>
      </c>
      <c r="C66" s="11" t="s">
        <v>320</v>
      </c>
      <c r="D66" s="11" t="s">
        <v>341</v>
      </c>
      <c r="E66" s="11" t="s">
        <v>342</v>
      </c>
      <c r="F66" s="11" t="s">
        <v>343</v>
      </c>
      <c r="G66" s="11" t="s">
        <v>8</v>
      </c>
      <c r="H66" s="11" t="s">
        <v>146</v>
      </c>
      <c r="I66" s="11" t="s">
        <v>339</v>
      </c>
      <c r="J66" s="11" t="s">
        <v>340</v>
      </c>
      <c r="K66" s="17" t="n">
        <v>2858.95</v>
      </c>
      <c r="L66" s="17" t="n">
        <v>2801.77</v>
      </c>
      <c r="M66" s="17" t="n">
        <v>2716</v>
      </c>
      <c r="N66" s="17" t="n">
        <v>206.479166666667</v>
      </c>
      <c r="O66" s="17" t="n">
        <v>1905.97</v>
      </c>
      <c r="P66" s="17" t="n">
        <v>394.54</v>
      </c>
      <c r="Q66" s="17" t="n">
        <v>142.95</v>
      </c>
      <c r="R66" s="17" t="n">
        <v>14.29</v>
      </c>
      <c r="S66" s="17" t="n">
        <v>2477.75</v>
      </c>
      <c r="T66" s="17" t="n">
        <v>0</v>
      </c>
      <c r="U66" s="17" t="n">
        <v>0</v>
      </c>
      <c r="V66" s="17" t="n">
        <v>0</v>
      </c>
      <c r="W66" s="17" t="n">
        <v>0</v>
      </c>
      <c r="X66" s="17" t="n">
        <v>0</v>
      </c>
      <c r="Y66" s="17" t="n">
        <v>0</v>
      </c>
      <c r="Z66" s="17" t="n">
        <v>0</v>
      </c>
      <c r="AA66" s="17" t="n">
        <v>0</v>
      </c>
      <c r="AB66" s="17" t="n">
        <v>0</v>
      </c>
      <c r="AC66" s="17" t="n">
        <v>0</v>
      </c>
      <c r="AD66" s="17" t="n">
        <v>0</v>
      </c>
      <c r="AE66" s="11" t="s">
        <v>321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11" t="n">
        <v>53</v>
      </c>
      <c r="B67" s="11" t="s">
        <v>322</v>
      </c>
      <c r="C67" s="11" t="s">
        <v>323</v>
      </c>
      <c r="D67" s="11" t="s">
        <v>344</v>
      </c>
      <c r="E67" s="11" t="s">
        <v>337</v>
      </c>
      <c r="F67" s="11" t="s">
        <v>345</v>
      </c>
      <c r="G67" s="11" t="s">
        <v>8</v>
      </c>
      <c r="H67" s="11" t="s">
        <v>146</v>
      </c>
      <c r="I67" s="11" t="s">
        <v>339</v>
      </c>
      <c r="J67" s="11" t="s">
        <v>340</v>
      </c>
      <c r="K67" s="17" t="n">
        <v>0</v>
      </c>
      <c r="L67" s="17" t="n">
        <v>0</v>
      </c>
      <c r="M67" s="17" t="n">
        <v>0</v>
      </c>
      <c r="N67" s="17" t="n">
        <v>0</v>
      </c>
      <c r="O67" s="17" t="n">
        <v>0</v>
      </c>
      <c r="P67" s="17" t="n">
        <v>0</v>
      </c>
      <c r="Q67" s="17" t="n">
        <v>0</v>
      </c>
      <c r="R67" s="17" t="n">
        <v>0</v>
      </c>
      <c r="S67" s="17" t="n">
        <v>0</v>
      </c>
      <c r="T67" s="17" t="n">
        <v>0</v>
      </c>
      <c r="U67" s="17" t="n">
        <v>0</v>
      </c>
      <c r="V67" s="17" t="n">
        <v>0</v>
      </c>
      <c r="W67" s="17" t="n">
        <v>0</v>
      </c>
      <c r="X67" s="17" t="n">
        <v>0</v>
      </c>
      <c r="Y67" s="17" t="n">
        <v>0</v>
      </c>
      <c r="Z67" s="17" t="n">
        <v>0</v>
      </c>
      <c r="AA67" s="17" t="n">
        <v>0</v>
      </c>
      <c r="AB67" s="17" t="n">
        <v>0</v>
      </c>
      <c r="AC67" s="17" t="n">
        <v>0</v>
      </c>
      <c r="AD67" s="17" t="n">
        <v>0</v>
      </c>
      <c r="AE67" s="11" t="s">
        <v>324</v>
      </c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11" t="n">
        <v>54</v>
      </c>
      <c r="B68" s="11" t="s">
        <v>325</v>
      </c>
      <c r="C68" s="11" t="s">
        <v>326</v>
      </c>
      <c r="D68" s="11" t="s">
        <v>348</v>
      </c>
      <c r="E68" s="11" t="s">
        <v>342</v>
      </c>
      <c r="F68" s="11" t="s">
        <v>349</v>
      </c>
      <c r="G68" s="11" t="s">
        <v>8</v>
      </c>
      <c r="H68" s="11" t="s">
        <v>146</v>
      </c>
      <c r="I68" s="11" t="s">
        <v>339</v>
      </c>
      <c r="J68" s="11" t="s">
        <v>340</v>
      </c>
      <c r="K68" s="17" t="n">
        <v>0</v>
      </c>
      <c r="L68" s="17" t="n">
        <v>0</v>
      </c>
      <c r="M68" s="17" t="n">
        <v>0</v>
      </c>
      <c r="N68" s="17" t="n">
        <v>0</v>
      </c>
      <c r="O68" s="17" t="n">
        <v>0</v>
      </c>
      <c r="P68" s="17" t="n">
        <v>0</v>
      </c>
      <c r="Q68" s="17" t="n">
        <v>0</v>
      </c>
      <c r="R68" s="17" t="n">
        <v>0</v>
      </c>
      <c r="S68" s="17" t="n">
        <v>0</v>
      </c>
      <c r="T68" s="17" t="n">
        <v>0</v>
      </c>
      <c r="U68" s="17" t="n">
        <v>0</v>
      </c>
      <c r="V68" s="17" t="n">
        <v>0</v>
      </c>
      <c r="W68" s="17" t="n">
        <v>0</v>
      </c>
      <c r="X68" s="17" t="n">
        <v>0</v>
      </c>
      <c r="Y68" s="17" t="n">
        <v>0</v>
      </c>
      <c r="Z68" s="17" t="n">
        <v>0</v>
      </c>
      <c r="AA68" s="17" t="n">
        <v>0</v>
      </c>
      <c r="AB68" s="17" t="n">
        <v>0</v>
      </c>
      <c r="AC68" s="17" t="n">
        <v>0</v>
      </c>
      <c r="AD68" s="17" t="n">
        <v>0</v>
      </c>
      <c r="AE68" s="11" t="s">
        <v>327</v>
      </c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4:AE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22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30" min="11" style="0" width="13"/>
    <col collapsed="false" customWidth="true" hidden="false" outlineLevel="0" max="31" min="31" style="0" width="14"/>
  </cols>
  <sheetData>
    <row r="1" customFormat="false" ht="15" hidden="false" customHeight="false" outlineLevel="0" collapsed="false">
      <c r="A1" s="3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15" hidden="false" customHeight="false" outlineLevel="0" collapsed="false">
      <c r="A12" s="35" t="s">
        <v>351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21.75" hidden="false" customHeight="true" outlineLevel="0" collapsed="false">
      <c r="A14" s="16" t="s">
        <v>330</v>
      </c>
      <c r="B14" s="16" t="s">
        <v>136</v>
      </c>
      <c r="C14" s="16" t="s">
        <v>137</v>
      </c>
      <c r="D14" s="16" t="s">
        <v>43</v>
      </c>
      <c r="E14" s="16" t="s">
        <v>331</v>
      </c>
      <c r="F14" s="16" t="s">
        <v>332</v>
      </c>
      <c r="G14" s="16" t="s">
        <v>140</v>
      </c>
      <c r="H14" s="16" t="s">
        <v>141</v>
      </c>
      <c r="I14" s="16" t="s">
        <v>333</v>
      </c>
      <c r="J14" s="16" t="s">
        <v>334</v>
      </c>
      <c r="K14" s="16" t="s">
        <v>99</v>
      </c>
      <c r="L14" s="16" t="s">
        <v>129</v>
      </c>
      <c r="M14" s="16" t="s">
        <v>130</v>
      </c>
      <c r="N14" s="16" t="s">
        <v>131</v>
      </c>
      <c r="O14" s="16" t="s">
        <v>132</v>
      </c>
      <c r="P14" s="16" t="s">
        <v>100</v>
      </c>
      <c r="Q14" s="16" t="s">
        <v>101</v>
      </c>
      <c r="R14" s="16" t="s">
        <v>102</v>
      </c>
      <c r="S14" s="16" t="s">
        <v>62</v>
      </c>
      <c r="T14" s="16" t="s">
        <v>63</v>
      </c>
      <c r="U14" s="16" t="s">
        <v>64</v>
      </c>
      <c r="V14" s="16" t="s">
        <v>65</v>
      </c>
      <c r="W14" s="16" t="s">
        <v>66</v>
      </c>
      <c r="X14" s="16" t="s">
        <v>67</v>
      </c>
      <c r="Y14" s="16" t="s">
        <v>68</v>
      </c>
      <c r="Z14" s="16" t="s">
        <v>69</v>
      </c>
      <c r="AA14" s="16" t="s">
        <v>70</v>
      </c>
      <c r="AB14" s="16" t="s">
        <v>71</v>
      </c>
      <c r="AC14" s="16" t="s">
        <v>72</v>
      </c>
      <c r="AD14" s="16" t="s">
        <v>73</v>
      </c>
      <c r="AE14" s="16" t="s">
        <v>335</v>
      </c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n">
        <v>1</v>
      </c>
      <c r="B15" s="11" t="s">
        <v>143</v>
      </c>
      <c r="C15" s="11" t="s">
        <v>144</v>
      </c>
      <c r="D15" s="11" t="s">
        <v>336</v>
      </c>
      <c r="E15" s="11" t="s">
        <v>337</v>
      </c>
      <c r="F15" s="11" t="s">
        <v>338</v>
      </c>
      <c r="G15" s="11" t="s">
        <v>6</v>
      </c>
      <c r="H15" s="11" t="s">
        <v>146</v>
      </c>
      <c r="I15" s="11" t="s">
        <v>339</v>
      </c>
      <c r="J15" s="11" t="s">
        <v>340</v>
      </c>
      <c r="K15" s="17" t="n">
        <v>2853.25</v>
      </c>
      <c r="L15" s="17" t="n">
        <v>2796.18</v>
      </c>
      <c r="M15" s="17" t="n">
        <v>2710.59</v>
      </c>
      <c r="N15" s="17" t="n">
        <v>207.090833333333</v>
      </c>
      <c r="O15" s="17" t="n">
        <v>1840.81</v>
      </c>
      <c r="P15" s="17" t="n">
        <v>393.75</v>
      </c>
      <c r="Q15" s="17" t="n">
        <v>142.66</v>
      </c>
      <c r="R15" s="17" t="n">
        <v>14.27</v>
      </c>
      <c r="S15" s="17" t="n">
        <v>2485.09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 t="n">
        <v>0</v>
      </c>
      <c r="AB15" s="17" t="n">
        <v>0</v>
      </c>
      <c r="AC15" s="17" t="n">
        <v>0</v>
      </c>
      <c r="AD15" s="17" t="n">
        <v>0</v>
      </c>
      <c r="AE15" s="11" t="s">
        <v>145</v>
      </c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n">
        <v>2</v>
      </c>
      <c r="B16" s="11" t="s">
        <v>148</v>
      </c>
      <c r="C16" s="11" t="s">
        <v>149</v>
      </c>
      <c r="D16" s="11" t="s">
        <v>341</v>
      </c>
      <c r="E16" s="11" t="s">
        <v>342</v>
      </c>
      <c r="F16" s="11" t="s">
        <v>343</v>
      </c>
      <c r="G16" s="11" t="s">
        <v>6</v>
      </c>
      <c r="H16" s="11" t="s">
        <v>146</v>
      </c>
      <c r="I16" s="11" t="s">
        <v>339</v>
      </c>
      <c r="J16" s="11" t="s">
        <v>340</v>
      </c>
      <c r="K16" s="17" t="n">
        <v>3817.47</v>
      </c>
      <c r="L16" s="17" t="n">
        <v>3741.12</v>
      </c>
      <c r="M16" s="17" t="n">
        <v>3626.6</v>
      </c>
      <c r="N16" s="17" t="n">
        <v>277.075</v>
      </c>
      <c r="O16" s="17" t="n">
        <v>2462.89</v>
      </c>
      <c r="P16" s="17" t="n">
        <v>526.81</v>
      </c>
      <c r="Q16" s="17" t="n">
        <v>190.87</v>
      </c>
      <c r="R16" s="17" t="n">
        <v>19.09</v>
      </c>
      <c r="S16" s="17" t="n">
        <v>3324.9</v>
      </c>
      <c r="T16" s="17" t="n">
        <v>0</v>
      </c>
      <c r="U16" s="17" t="n">
        <v>0</v>
      </c>
      <c r="V16" s="17" t="n">
        <v>0</v>
      </c>
      <c r="W16" s="17" t="n">
        <v>0</v>
      </c>
      <c r="X16" s="17" t="n">
        <v>0</v>
      </c>
      <c r="Y16" s="17" t="n">
        <v>0</v>
      </c>
      <c r="Z16" s="17" t="n">
        <v>0</v>
      </c>
      <c r="AA16" s="17" t="n">
        <v>0</v>
      </c>
      <c r="AB16" s="17" t="n">
        <v>0</v>
      </c>
      <c r="AC16" s="17" t="n">
        <v>0</v>
      </c>
      <c r="AD16" s="17" t="n">
        <v>0</v>
      </c>
      <c r="AE16" s="11" t="s">
        <v>150</v>
      </c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n">
        <v>3</v>
      </c>
      <c r="B17" s="11" t="s">
        <v>152</v>
      </c>
      <c r="C17" s="11" t="s">
        <v>153</v>
      </c>
      <c r="D17" s="11" t="s">
        <v>344</v>
      </c>
      <c r="E17" s="11" t="s">
        <v>337</v>
      </c>
      <c r="F17" s="11" t="s">
        <v>345</v>
      </c>
      <c r="G17" s="11" t="s">
        <v>6</v>
      </c>
      <c r="H17" s="11" t="s">
        <v>146</v>
      </c>
      <c r="I17" s="11" t="s">
        <v>339</v>
      </c>
      <c r="J17" s="11" t="s">
        <v>340</v>
      </c>
      <c r="K17" s="17" t="n">
        <v>3735.87</v>
      </c>
      <c r="L17" s="17" t="n">
        <v>3661.15</v>
      </c>
      <c r="M17" s="17" t="n">
        <v>3549.08</v>
      </c>
      <c r="N17" s="17" t="n">
        <v>271.1525</v>
      </c>
      <c r="O17" s="17" t="n">
        <v>2410.24</v>
      </c>
      <c r="P17" s="17" t="n">
        <v>515.55</v>
      </c>
      <c r="Q17" s="17" t="n">
        <v>186.79</v>
      </c>
      <c r="R17" s="17" t="n">
        <v>18.68</v>
      </c>
      <c r="S17" s="17" t="n">
        <v>3253.83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 t="n">
        <v>0</v>
      </c>
      <c r="AB17" s="17" t="n">
        <v>0</v>
      </c>
      <c r="AC17" s="17" t="n">
        <v>0</v>
      </c>
      <c r="AD17" s="17" t="n">
        <v>0</v>
      </c>
      <c r="AE17" s="11" t="s">
        <v>154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11" t="n">
        <v>4</v>
      </c>
      <c r="B18" s="11" t="s">
        <v>156</v>
      </c>
      <c r="C18" s="11" t="s">
        <v>157</v>
      </c>
      <c r="D18" s="11" t="s">
        <v>346</v>
      </c>
      <c r="E18" s="11" t="s">
        <v>337</v>
      </c>
      <c r="F18" s="11" t="s">
        <v>347</v>
      </c>
      <c r="G18" s="11" t="s">
        <v>6</v>
      </c>
      <c r="H18" s="11" t="s">
        <v>146</v>
      </c>
      <c r="I18" s="11" t="s">
        <v>339</v>
      </c>
      <c r="J18" s="11" t="s">
        <v>340</v>
      </c>
      <c r="K18" s="17" t="n">
        <v>4428.31</v>
      </c>
      <c r="L18" s="17" t="n">
        <v>4339.74</v>
      </c>
      <c r="M18" s="17" t="n">
        <v>4206.89</v>
      </c>
      <c r="N18" s="17" t="n">
        <v>321.41</v>
      </c>
      <c r="O18" s="17" t="n">
        <v>2856.97</v>
      </c>
      <c r="P18" s="17" t="n">
        <v>611.11</v>
      </c>
      <c r="Q18" s="17" t="n">
        <v>221.42</v>
      </c>
      <c r="R18" s="17" t="n">
        <v>22.14</v>
      </c>
      <c r="S18" s="17" t="n">
        <v>3856.92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  <c r="AE18" s="11" t="s">
        <v>158</v>
      </c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11" t="n">
        <v>5</v>
      </c>
      <c r="B19" s="11" t="s">
        <v>159</v>
      </c>
      <c r="C19" s="11" t="s">
        <v>160</v>
      </c>
      <c r="D19" s="11" t="s">
        <v>346</v>
      </c>
      <c r="E19" s="11" t="s">
        <v>337</v>
      </c>
      <c r="F19" s="11" t="s">
        <v>347</v>
      </c>
      <c r="G19" s="11" t="s">
        <v>6</v>
      </c>
      <c r="H19" s="11" t="s">
        <v>146</v>
      </c>
      <c r="I19" s="11" t="s">
        <v>339</v>
      </c>
      <c r="J19" s="11" t="s">
        <v>340</v>
      </c>
      <c r="K19" s="17" t="n">
        <v>2770.73</v>
      </c>
      <c r="L19" s="17" t="n">
        <v>2715.32</v>
      </c>
      <c r="M19" s="17" t="n">
        <v>2632.19</v>
      </c>
      <c r="N19" s="17" t="n">
        <v>201.100833333333</v>
      </c>
      <c r="O19" s="17" t="n">
        <v>1787.56</v>
      </c>
      <c r="P19" s="17" t="n">
        <v>382.36</v>
      </c>
      <c r="Q19" s="17" t="n">
        <v>138.54</v>
      </c>
      <c r="R19" s="17" t="n">
        <v>13.85</v>
      </c>
      <c r="S19" s="17" t="n">
        <v>2413.21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  <c r="AE19" s="11" t="s">
        <v>161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11" t="n">
        <v>6</v>
      </c>
      <c r="B20" s="11" t="s">
        <v>162</v>
      </c>
      <c r="C20" s="11" t="s">
        <v>163</v>
      </c>
      <c r="D20" s="11" t="s">
        <v>336</v>
      </c>
      <c r="E20" s="11" t="s">
        <v>337</v>
      </c>
      <c r="F20" s="11" t="s">
        <v>338</v>
      </c>
      <c r="G20" s="11" t="s">
        <v>6</v>
      </c>
      <c r="H20" s="11" t="s">
        <v>146</v>
      </c>
      <c r="I20" s="11" t="s">
        <v>339</v>
      </c>
      <c r="J20" s="11" t="s">
        <v>340</v>
      </c>
      <c r="K20" s="17" t="n">
        <v>4534.51</v>
      </c>
      <c r="L20" s="17" t="n">
        <v>4443.82</v>
      </c>
      <c r="M20" s="17" t="n">
        <v>4307.78</v>
      </c>
      <c r="N20" s="17" t="n">
        <v>329.1175</v>
      </c>
      <c r="O20" s="17" t="n">
        <v>2925.49</v>
      </c>
      <c r="P20" s="17" t="n">
        <v>625.76</v>
      </c>
      <c r="Q20" s="17" t="n">
        <v>226.73</v>
      </c>
      <c r="R20" s="17" t="n">
        <v>22.67</v>
      </c>
      <c r="S20" s="17" t="n">
        <v>3949.41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  <c r="AE20" s="11" t="s">
        <v>164</v>
      </c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11" t="n">
        <v>7</v>
      </c>
      <c r="B21" s="11" t="s">
        <v>165</v>
      </c>
      <c r="C21" s="11" t="s">
        <v>166</v>
      </c>
      <c r="D21" s="11" t="s">
        <v>346</v>
      </c>
      <c r="E21" s="11" t="s">
        <v>342</v>
      </c>
      <c r="F21" s="11" t="s">
        <v>347</v>
      </c>
      <c r="G21" s="11" t="s">
        <v>6</v>
      </c>
      <c r="H21" s="11" t="s">
        <v>146</v>
      </c>
      <c r="I21" s="11" t="s">
        <v>339</v>
      </c>
      <c r="J21" s="11" t="s">
        <v>340</v>
      </c>
      <c r="K21" s="17" t="n">
        <v>2389.85</v>
      </c>
      <c r="L21" s="17" t="n">
        <v>2342.05</v>
      </c>
      <c r="M21" s="17" t="n">
        <v>2270.36</v>
      </c>
      <c r="N21" s="17" t="n">
        <v>173.456666666667</v>
      </c>
      <c r="O21" s="17" t="n">
        <v>1541.84</v>
      </c>
      <c r="P21" s="17" t="n">
        <v>329.8</v>
      </c>
      <c r="Q21" s="17" t="n">
        <v>119.49</v>
      </c>
      <c r="R21" s="17" t="n">
        <v>11.95</v>
      </c>
      <c r="S21" s="17" t="n">
        <v>2081.48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  <c r="AE21" s="11" t="s">
        <v>167</v>
      </c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11" t="n">
        <v>8</v>
      </c>
      <c r="B22" s="11" t="s">
        <v>168</v>
      </c>
      <c r="C22" s="11" t="s">
        <v>169</v>
      </c>
      <c r="D22" s="11" t="s">
        <v>341</v>
      </c>
      <c r="E22" s="11" t="s">
        <v>342</v>
      </c>
      <c r="F22" s="11" t="s">
        <v>343</v>
      </c>
      <c r="G22" s="11" t="s">
        <v>6</v>
      </c>
      <c r="H22" s="11" t="s">
        <v>146</v>
      </c>
      <c r="I22" s="11" t="s">
        <v>339</v>
      </c>
      <c r="J22" s="11" t="s">
        <v>340</v>
      </c>
      <c r="K22" s="17" t="n">
        <v>3780.81</v>
      </c>
      <c r="L22" s="17" t="n">
        <v>3705.19</v>
      </c>
      <c r="M22" s="17" t="n">
        <v>3591.77</v>
      </c>
      <c r="N22" s="17" t="n">
        <v>274.414166666667</v>
      </c>
      <c r="O22" s="17" t="n">
        <v>2439.23</v>
      </c>
      <c r="P22" s="17" t="n">
        <v>521.75</v>
      </c>
      <c r="Q22" s="17" t="n">
        <v>189.04</v>
      </c>
      <c r="R22" s="17" t="n">
        <v>18.9</v>
      </c>
      <c r="S22" s="17" t="n">
        <v>3292.97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  <c r="AE22" s="11" t="s">
        <v>170</v>
      </c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11" t="n">
        <v>9</v>
      </c>
      <c r="B23" s="11" t="s">
        <v>171</v>
      </c>
      <c r="C23" s="11" t="s">
        <v>172</v>
      </c>
      <c r="D23" s="11" t="s">
        <v>344</v>
      </c>
      <c r="E23" s="11" t="s">
        <v>342</v>
      </c>
      <c r="F23" s="11" t="s">
        <v>345</v>
      </c>
      <c r="G23" s="11" t="s">
        <v>6</v>
      </c>
      <c r="H23" s="11" t="s">
        <v>146</v>
      </c>
      <c r="I23" s="11" t="s">
        <v>339</v>
      </c>
      <c r="J23" s="11" t="s">
        <v>340</v>
      </c>
      <c r="K23" s="17" t="n">
        <v>4556.34</v>
      </c>
      <c r="L23" s="17" t="n">
        <v>4465.21</v>
      </c>
      <c r="M23" s="17" t="n">
        <v>4328.52</v>
      </c>
      <c r="N23" s="17" t="n">
        <v>330.701666666667</v>
      </c>
      <c r="O23" s="17" t="n">
        <v>2939.57</v>
      </c>
      <c r="P23" s="17" t="n">
        <v>628.77</v>
      </c>
      <c r="Q23" s="17" t="n">
        <v>227.82</v>
      </c>
      <c r="R23" s="17" t="n">
        <v>22.78</v>
      </c>
      <c r="S23" s="17" t="n">
        <v>3968.42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  <c r="AE23" s="11" t="s">
        <v>173</v>
      </c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11" t="n">
        <v>10</v>
      </c>
      <c r="B24" s="11" t="s">
        <v>175</v>
      </c>
      <c r="C24" s="11" t="s">
        <v>176</v>
      </c>
      <c r="D24" s="11" t="s">
        <v>348</v>
      </c>
      <c r="E24" s="11" t="s">
        <v>342</v>
      </c>
      <c r="F24" s="11" t="s">
        <v>349</v>
      </c>
      <c r="G24" s="11" t="s">
        <v>6</v>
      </c>
      <c r="H24" s="11" t="s">
        <v>146</v>
      </c>
      <c r="I24" s="11" t="s">
        <v>339</v>
      </c>
      <c r="J24" s="11" t="s">
        <v>340</v>
      </c>
      <c r="K24" s="17" t="n">
        <v>2623.8</v>
      </c>
      <c r="L24" s="17" t="n">
        <v>2571.32</v>
      </c>
      <c r="M24" s="17" t="n">
        <v>2492.61</v>
      </c>
      <c r="N24" s="17" t="n">
        <v>190.4375</v>
      </c>
      <c r="O24" s="17" t="n">
        <v>1692.78</v>
      </c>
      <c r="P24" s="17" t="n">
        <v>362.08</v>
      </c>
      <c r="Q24" s="17" t="n">
        <v>131.19</v>
      </c>
      <c r="R24" s="17" t="n">
        <v>13.12</v>
      </c>
      <c r="S24" s="17" t="n">
        <v>2285.25</v>
      </c>
      <c r="T24" s="17" t="n">
        <v>0</v>
      </c>
      <c r="U24" s="17" t="n">
        <v>0</v>
      </c>
      <c r="V24" s="17" t="n">
        <v>0</v>
      </c>
      <c r="W24" s="17" t="n">
        <v>0</v>
      </c>
      <c r="X24" s="17" t="n">
        <v>0</v>
      </c>
      <c r="Y24" s="17" t="n">
        <v>0</v>
      </c>
      <c r="Z24" s="17" t="n">
        <v>0</v>
      </c>
      <c r="AA24" s="17" t="n">
        <v>0</v>
      </c>
      <c r="AB24" s="17" t="n">
        <v>0</v>
      </c>
      <c r="AC24" s="17" t="n">
        <v>0</v>
      </c>
      <c r="AD24" s="17" t="n">
        <v>0</v>
      </c>
      <c r="AE24" s="11" t="s">
        <v>177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11" t="n">
        <v>11</v>
      </c>
      <c r="B25" s="11" t="s">
        <v>178</v>
      </c>
      <c r="C25" s="11" t="s">
        <v>179</v>
      </c>
      <c r="D25" s="11" t="s">
        <v>348</v>
      </c>
      <c r="E25" s="11" t="s">
        <v>342</v>
      </c>
      <c r="F25" s="11" t="s">
        <v>349</v>
      </c>
      <c r="G25" s="11" t="s">
        <v>6</v>
      </c>
      <c r="H25" s="11" t="s">
        <v>146</v>
      </c>
      <c r="I25" s="11" t="s">
        <v>339</v>
      </c>
      <c r="J25" s="11" t="s">
        <v>340</v>
      </c>
      <c r="K25" s="17" t="n">
        <v>3978.02</v>
      </c>
      <c r="L25" s="17" t="n">
        <v>3898.46</v>
      </c>
      <c r="M25" s="17" t="n">
        <v>3779.12</v>
      </c>
      <c r="N25" s="17" t="n">
        <v>288.7275</v>
      </c>
      <c r="O25" s="17" t="n">
        <v>2566.46</v>
      </c>
      <c r="P25" s="17" t="n">
        <v>548.97</v>
      </c>
      <c r="Q25" s="17" t="n">
        <v>198.9</v>
      </c>
      <c r="R25" s="17" t="n">
        <v>19.89</v>
      </c>
      <c r="S25" s="17" t="n">
        <v>3464.73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  <c r="AE25" s="11" t="s">
        <v>180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11" t="n">
        <v>12</v>
      </c>
      <c r="B26" s="11" t="s">
        <v>181</v>
      </c>
      <c r="C26" s="11" t="s">
        <v>182</v>
      </c>
      <c r="D26" s="11" t="s">
        <v>341</v>
      </c>
      <c r="E26" s="11" t="s">
        <v>342</v>
      </c>
      <c r="F26" s="11" t="s">
        <v>343</v>
      </c>
      <c r="G26" s="11" t="s">
        <v>6</v>
      </c>
      <c r="H26" s="11" t="s">
        <v>146</v>
      </c>
      <c r="I26" s="11" t="s">
        <v>339</v>
      </c>
      <c r="J26" s="11" t="s">
        <v>340</v>
      </c>
      <c r="K26" s="17" t="n">
        <v>2625.89</v>
      </c>
      <c r="L26" s="17" t="n">
        <v>2573.37</v>
      </c>
      <c r="M26" s="17" t="n">
        <v>2494.6</v>
      </c>
      <c r="N26" s="17" t="n">
        <v>190.589166666667</v>
      </c>
      <c r="O26" s="17" t="n">
        <v>1694.12</v>
      </c>
      <c r="P26" s="17" t="n">
        <v>362.37</v>
      </c>
      <c r="Q26" s="17" t="n">
        <v>131.29</v>
      </c>
      <c r="R26" s="17" t="n">
        <v>13.13</v>
      </c>
      <c r="S26" s="17" t="n">
        <v>2287.07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  <c r="AE26" s="11" t="s">
        <v>183</v>
      </c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11" t="n">
        <v>13</v>
      </c>
      <c r="B27" s="11" t="s">
        <v>184</v>
      </c>
      <c r="C27" s="11" t="s">
        <v>185</v>
      </c>
      <c r="D27" s="11" t="s">
        <v>341</v>
      </c>
      <c r="E27" s="11" t="s">
        <v>342</v>
      </c>
      <c r="F27" s="11" t="s">
        <v>343</v>
      </c>
      <c r="G27" s="11" t="s">
        <v>6</v>
      </c>
      <c r="H27" s="11" t="s">
        <v>146</v>
      </c>
      <c r="I27" s="11" t="s">
        <v>339</v>
      </c>
      <c r="J27" s="11" t="s">
        <v>340</v>
      </c>
      <c r="K27" s="17" t="n">
        <v>4080.07</v>
      </c>
      <c r="L27" s="17" t="n">
        <v>3998.47</v>
      </c>
      <c r="M27" s="17" t="n">
        <v>3876.07</v>
      </c>
      <c r="N27" s="17" t="n">
        <v>296.134166666667</v>
      </c>
      <c r="O27" s="17" t="n">
        <v>2632.31</v>
      </c>
      <c r="P27" s="17" t="n">
        <v>563.05</v>
      </c>
      <c r="Q27" s="17" t="n">
        <v>204</v>
      </c>
      <c r="R27" s="17" t="n">
        <v>20.4</v>
      </c>
      <c r="S27" s="17" t="n">
        <v>3553.61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  <c r="AE27" s="11" t="s">
        <v>186</v>
      </c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11" t="n">
        <v>14</v>
      </c>
      <c r="B28" s="11" t="s">
        <v>187</v>
      </c>
      <c r="C28" s="11" t="s">
        <v>188</v>
      </c>
      <c r="D28" s="11" t="s">
        <v>344</v>
      </c>
      <c r="E28" s="11" t="s">
        <v>342</v>
      </c>
      <c r="F28" s="11" t="s">
        <v>345</v>
      </c>
      <c r="G28" s="11" t="s">
        <v>6</v>
      </c>
      <c r="H28" s="11" t="s">
        <v>146</v>
      </c>
      <c r="I28" s="11" t="s">
        <v>339</v>
      </c>
      <c r="J28" s="11" t="s">
        <v>340</v>
      </c>
      <c r="K28" s="17" t="n">
        <v>3289.25</v>
      </c>
      <c r="L28" s="17" t="n">
        <v>3223.47</v>
      </c>
      <c r="M28" s="17" t="n">
        <v>3124.79</v>
      </c>
      <c r="N28" s="17" t="n">
        <v>238.735833333333</v>
      </c>
      <c r="O28" s="17" t="n">
        <v>2122.1</v>
      </c>
      <c r="P28" s="17" t="n">
        <v>453.92</v>
      </c>
      <c r="Q28" s="17" t="n">
        <v>164.46</v>
      </c>
      <c r="R28" s="17" t="n">
        <v>16.45</v>
      </c>
      <c r="S28" s="17" t="n">
        <v>2864.83</v>
      </c>
      <c r="T28" s="17" t="n">
        <v>0</v>
      </c>
      <c r="U28" s="17" t="n">
        <v>0</v>
      </c>
      <c r="V28" s="17" t="n">
        <v>0</v>
      </c>
      <c r="W28" s="17" t="n">
        <v>0</v>
      </c>
      <c r="X28" s="17" t="n">
        <v>0</v>
      </c>
      <c r="Y28" s="17" t="n">
        <v>0</v>
      </c>
      <c r="Z28" s="17" t="n">
        <v>0</v>
      </c>
      <c r="AA28" s="17" t="n">
        <v>0</v>
      </c>
      <c r="AB28" s="17" t="n">
        <v>0</v>
      </c>
      <c r="AC28" s="17" t="n">
        <v>0</v>
      </c>
      <c r="AD28" s="17" t="n">
        <v>0</v>
      </c>
      <c r="AE28" s="11" t="s">
        <v>189</v>
      </c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11" t="n">
        <v>15</v>
      </c>
      <c r="B29" s="11" t="s">
        <v>190</v>
      </c>
      <c r="C29" s="11" t="s">
        <v>191</v>
      </c>
      <c r="D29" s="11" t="s">
        <v>348</v>
      </c>
      <c r="E29" s="11" t="s">
        <v>337</v>
      </c>
      <c r="F29" s="11" t="s">
        <v>349</v>
      </c>
      <c r="G29" s="11" t="s">
        <v>6</v>
      </c>
      <c r="H29" s="11" t="s">
        <v>146</v>
      </c>
      <c r="I29" s="11" t="s">
        <v>339</v>
      </c>
      <c r="J29" s="11" t="s">
        <v>340</v>
      </c>
      <c r="K29" s="17" t="n">
        <v>3273.81</v>
      </c>
      <c r="L29" s="17" t="n">
        <v>3208.33</v>
      </c>
      <c r="M29" s="17" t="n">
        <v>3110.12</v>
      </c>
      <c r="N29" s="17" t="n">
        <v>237.615833333333</v>
      </c>
      <c r="O29" s="17" t="n">
        <v>2112.14</v>
      </c>
      <c r="P29" s="17" t="n">
        <v>451.79</v>
      </c>
      <c r="Q29" s="17" t="n">
        <v>163.69</v>
      </c>
      <c r="R29" s="17" t="n">
        <v>16.37</v>
      </c>
      <c r="S29" s="17" t="n">
        <v>2851.39</v>
      </c>
      <c r="T29" s="17" t="n">
        <v>0</v>
      </c>
      <c r="U29" s="17" t="n">
        <v>0</v>
      </c>
      <c r="V29" s="17" t="n">
        <v>0</v>
      </c>
      <c r="W29" s="17" t="n">
        <v>0</v>
      </c>
      <c r="X29" s="17" t="n">
        <v>0</v>
      </c>
      <c r="Y29" s="17" t="n">
        <v>0</v>
      </c>
      <c r="Z29" s="17" t="n">
        <v>0</v>
      </c>
      <c r="AA29" s="17" t="n">
        <v>0</v>
      </c>
      <c r="AB29" s="17" t="n">
        <v>0</v>
      </c>
      <c r="AC29" s="17" t="n">
        <v>0</v>
      </c>
      <c r="AD29" s="17" t="n">
        <v>0</v>
      </c>
      <c r="AE29" s="11" t="s">
        <v>192</v>
      </c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11" t="n">
        <v>16</v>
      </c>
      <c r="B30" s="11" t="s">
        <v>193</v>
      </c>
      <c r="C30" s="11" t="s">
        <v>194</v>
      </c>
      <c r="D30" s="11" t="s">
        <v>344</v>
      </c>
      <c r="E30" s="11" t="s">
        <v>337</v>
      </c>
      <c r="F30" s="11" t="s">
        <v>345</v>
      </c>
      <c r="G30" s="11" t="s">
        <v>6</v>
      </c>
      <c r="H30" s="11" t="s">
        <v>146</v>
      </c>
      <c r="I30" s="11" t="s">
        <v>339</v>
      </c>
      <c r="J30" s="11" t="s">
        <v>340</v>
      </c>
      <c r="K30" s="17" t="n">
        <v>4248.52</v>
      </c>
      <c r="L30" s="17" t="n">
        <v>4163.55</v>
      </c>
      <c r="M30" s="17" t="n">
        <v>4036.09</v>
      </c>
      <c r="N30" s="17" t="n">
        <v>308.36</v>
      </c>
      <c r="O30" s="17" t="n">
        <v>2740.98</v>
      </c>
      <c r="P30" s="17" t="n">
        <v>586.3</v>
      </c>
      <c r="Q30" s="17" t="n">
        <v>212.43</v>
      </c>
      <c r="R30" s="17" t="n">
        <v>21.24</v>
      </c>
      <c r="S30" s="17" t="n">
        <v>3700.32</v>
      </c>
      <c r="T30" s="17" t="n">
        <v>0</v>
      </c>
      <c r="U30" s="17" t="n">
        <v>0</v>
      </c>
      <c r="V30" s="17" t="n">
        <v>0</v>
      </c>
      <c r="W30" s="17" t="n">
        <v>0</v>
      </c>
      <c r="X30" s="17" t="n">
        <v>0</v>
      </c>
      <c r="Y30" s="17" t="n">
        <v>0</v>
      </c>
      <c r="Z30" s="17" t="n">
        <v>0</v>
      </c>
      <c r="AA30" s="17" t="n">
        <v>0</v>
      </c>
      <c r="AB30" s="17" t="n">
        <v>0</v>
      </c>
      <c r="AC30" s="17" t="n">
        <v>0</v>
      </c>
      <c r="AD30" s="17" t="n">
        <v>0</v>
      </c>
      <c r="AE30" s="11" t="s">
        <v>195</v>
      </c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11" t="n">
        <v>17</v>
      </c>
      <c r="B31" s="11" t="s">
        <v>196</v>
      </c>
      <c r="C31" s="11" t="s">
        <v>197</v>
      </c>
      <c r="D31" s="11" t="s">
        <v>346</v>
      </c>
      <c r="E31" s="11" t="s">
        <v>342</v>
      </c>
      <c r="F31" s="11" t="s">
        <v>347</v>
      </c>
      <c r="G31" s="11" t="s">
        <v>6</v>
      </c>
      <c r="H31" s="11" t="s">
        <v>146</v>
      </c>
      <c r="I31" s="11" t="s">
        <v>339</v>
      </c>
      <c r="J31" s="11" t="s">
        <v>340</v>
      </c>
      <c r="K31" s="17" t="n">
        <v>3179.97</v>
      </c>
      <c r="L31" s="17" t="n">
        <v>3116.37</v>
      </c>
      <c r="M31" s="17" t="n">
        <v>3020.97</v>
      </c>
      <c r="N31" s="17" t="n">
        <v>230.804166666667</v>
      </c>
      <c r="O31" s="17" t="n">
        <v>2051.59</v>
      </c>
      <c r="P31" s="17" t="n">
        <v>438.84</v>
      </c>
      <c r="Q31" s="17" t="n">
        <v>159</v>
      </c>
      <c r="R31" s="17" t="n">
        <v>15.9</v>
      </c>
      <c r="S31" s="17" t="n">
        <v>2769.65</v>
      </c>
      <c r="T31" s="17" t="n">
        <v>0</v>
      </c>
      <c r="U31" s="17" t="n">
        <v>0</v>
      </c>
      <c r="V31" s="17" t="n">
        <v>0</v>
      </c>
      <c r="W31" s="17" t="n">
        <v>0</v>
      </c>
      <c r="X31" s="17" t="n">
        <v>0</v>
      </c>
      <c r="Y31" s="17" t="n">
        <v>0</v>
      </c>
      <c r="Z31" s="17" t="n">
        <v>0</v>
      </c>
      <c r="AA31" s="17" t="n">
        <v>0</v>
      </c>
      <c r="AB31" s="17" t="n">
        <v>0</v>
      </c>
      <c r="AC31" s="17" t="n">
        <v>0</v>
      </c>
      <c r="AD31" s="17" t="n">
        <v>0</v>
      </c>
      <c r="AE31" s="11" t="s">
        <v>198</v>
      </c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11" t="n">
        <v>18</v>
      </c>
      <c r="B32" s="11" t="s">
        <v>199</v>
      </c>
      <c r="C32" s="11" t="s">
        <v>200</v>
      </c>
      <c r="D32" s="11" t="s">
        <v>341</v>
      </c>
      <c r="E32" s="11" t="s">
        <v>342</v>
      </c>
      <c r="F32" s="11" t="s">
        <v>343</v>
      </c>
      <c r="G32" s="11" t="s">
        <v>6</v>
      </c>
      <c r="H32" s="11" t="s">
        <v>146</v>
      </c>
      <c r="I32" s="11" t="s">
        <v>339</v>
      </c>
      <c r="J32" s="11" t="s">
        <v>340</v>
      </c>
      <c r="K32" s="17" t="n">
        <v>2423.64</v>
      </c>
      <c r="L32" s="17" t="n">
        <v>2375.17</v>
      </c>
      <c r="M32" s="17" t="n">
        <v>2302.46</v>
      </c>
      <c r="N32" s="17" t="n">
        <v>175.909166666667</v>
      </c>
      <c r="O32" s="17" t="n">
        <v>1563.64</v>
      </c>
      <c r="P32" s="17" t="n">
        <v>334.46</v>
      </c>
      <c r="Q32" s="17" t="n">
        <v>121.18</v>
      </c>
      <c r="R32" s="17" t="n">
        <v>12.12</v>
      </c>
      <c r="S32" s="17" t="n">
        <v>2110.91</v>
      </c>
      <c r="T32" s="17" t="n">
        <v>0</v>
      </c>
      <c r="U32" s="17" t="n">
        <v>0</v>
      </c>
      <c r="V32" s="17" t="n">
        <v>0</v>
      </c>
      <c r="W32" s="17" t="n">
        <v>0</v>
      </c>
      <c r="X32" s="17" t="n">
        <v>0</v>
      </c>
      <c r="Y32" s="17" t="n">
        <v>0</v>
      </c>
      <c r="Z32" s="17" t="n">
        <v>0</v>
      </c>
      <c r="AA32" s="17" t="n">
        <v>0</v>
      </c>
      <c r="AB32" s="17" t="n">
        <v>0</v>
      </c>
      <c r="AC32" s="17" t="n">
        <v>0</v>
      </c>
      <c r="AD32" s="17" t="n">
        <v>0</v>
      </c>
      <c r="AE32" s="11" t="s">
        <v>201</v>
      </c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11" t="n">
        <v>19</v>
      </c>
      <c r="B33" s="11" t="s">
        <v>202</v>
      </c>
      <c r="C33" s="11" t="s">
        <v>203</v>
      </c>
      <c r="D33" s="11" t="s">
        <v>344</v>
      </c>
      <c r="E33" s="11" t="s">
        <v>342</v>
      </c>
      <c r="F33" s="11" t="s">
        <v>345</v>
      </c>
      <c r="G33" s="11" t="s">
        <v>6</v>
      </c>
      <c r="H33" s="11" t="s">
        <v>146</v>
      </c>
      <c r="I33" s="11" t="s">
        <v>339</v>
      </c>
      <c r="J33" s="11" t="s">
        <v>340</v>
      </c>
      <c r="K33" s="17" t="n">
        <v>3347.83</v>
      </c>
      <c r="L33" s="17" t="n">
        <v>3280.87</v>
      </c>
      <c r="M33" s="17" t="n">
        <v>3180.44</v>
      </c>
      <c r="N33" s="17" t="n">
        <v>242.9875</v>
      </c>
      <c r="O33" s="17" t="n">
        <v>2159.89</v>
      </c>
      <c r="P33" s="17" t="n">
        <v>462</v>
      </c>
      <c r="Q33" s="17" t="n">
        <v>167.39</v>
      </c>
      <c r="R33" s="17" t="n">
        <v>16.74</v>
      </c>
      <c r="S33" s="17" t="n">
        <v>2915.85</v>
      </c>
      <c r="T33" s="17" t="n">
        <v>0</v>
      </c>
      <c r="U33" s="17" t="n">
        <v>0</v>
      </c>
      <c r="V33" s="17" t="n">
        <v>0</v>
      </c>
      <c r="W33" s="17" t="n">
        <v>0</v>
      </c>
      <c r="X33" s="17" t="n">
        <v>0</v>
      </c>
      <c r="Y33" s="17" t="n">
        <v>0</v>
      </c>
      <c r="Z33" s="17" t="n">
        <v>0</v>
      </c>
      <c r="AA33" s="17" t="n">
        <v>0</v>
      </c>
      <c r="AB33" s="17" t="n">
        <v>0</v>
      </c>
      <c r="AC33" s="17" t="n">
        <v>0</v>
      </c>
      <c r="AD33" s="17" t="n">
        <v>0</v>
      </c>
      <c r="AE33" s="11" t="s">
        <v>204</v>
      </c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11" t="n">
        <v>20</v>
      </c>
      <c r="B34" s="11" t="s">
        <v>205</v>
      </c>
      <c r="C34" s="11" t="s">
        <v>206</v>
      </c>
      <c r="D34" s="11" t="s">
        <v>341</v>
      </c>
      <c r="E34" s="11" t="s">
        <v>342</v>
      </c>
      <c r="F34" s="11" t="s">
        <v>343</v>
      </c>
      <c r="G34" s="11" t="s">
        <v>6</v>
      </c>
      <c r="H34" s="11" t="s">
        <v>146</v>
      </c>
      <c r="I34" s="11" t="s">
        <v>339</v>
      </c>
      <c r="J34" s="11" t="s">
        <v>340</v>
      </c>
      <c r="K34" s="17" t="n">
        <v>3646.23</v>
      </c>
      <c r="L34" s="17" t="n">
        <v>3573.31</v>
      </c>
      <c r="M34" s="17" t="n">
        <v>3463.92</v>
      </c>
      <c r="N34" s="17" t="n">
        <v>264.645833333333</v>
      </c>
      <c r="O34" s="17" t="n">
        <v>2352.41</v>
      </c>
      <c r="P34" s="17" t="n">
        <v>503.18</v>
      </c>
      <c r="Q34" s="17" t="n">
        <v>182.31</v>
      </c>
      <c r="R34" s="17" t="n">
        <v>18.23</v>
      </c>
      <c r="S34" s="17" t="n">
        <v>3175.75</v>
      </c>
      <c r="T34" s="17" t="n">
        <v>0</v>
      </c>
      <c r="U34" s="17" t="n">
        <v>0</v>
      </c>
      <c r="V34" s="17" t="n">
        <v>0</v>
      </c>
      <c r="W34" s="17" t="n">
        <v>0</v>
      </c>
      <c r="X34" s="17" t="n">
        <v>0</v>
      </c>
      <c r="Y34" s="17" t="n">
        <v>0</v>
      </c>
      <c r="Z34" s="17" t="n">
        <v>0</v>
      </c>
      <c r="AA34" s="17" t="n">
        <v>0</v>
      </c>
      <c r="AB34" s="17" t="n">
        <v>0</v>
      </c>
      <c r="AC34" s="17" t="n">
        <v>0</v>
      </c>
      <c r="AD34" s="17" t="n">
        <v>0</v>
      </c>
      <c r="AE34" s="11" t="s">
        <v>207</v>
      </c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11" t="n">
        <v>21</v>
      </c>
      <c r="B35" s="11" t="s">
        <v>208</v>
      </c>
      <c r="C35" s="11" t="s">
        <v>209</v>
      </c>
      <c r="D35" s="11" t="s">
        <v>336</v>
      </c>
      <c r="E35" s="11" t="s">
        <v>342</v>
      </c>
      <c r="F35" s="11" t="s">
        <v>338</v>
      </c>
      <c r="G35" s="11" t="s">
        <v>6</v>
      </c>
      <c r="H35" s="11" t="s">
        <v>146</v>
      </c>
      <c r="I35" s="11" t="s">
        <v>339</v>
      </c>
      <c r="J35" s="11" t="s">
        <v>340</v>
      </c>
      <c r="K35" s="17" t="n">
        <v>4264.95</v>
      </c>
      <c r="L35" s="17" t="n">
        <v>4179.65</v>
      </c>
      <c r="M35" s="17" t="n">
        <v>4051.7</v>
      </c>
      <c r="N35" s="17" t="n">
        <v>309.5525</v>
      </c>
      <c r="O35" s="17" t="n">
        <v>2751.58</v>
      </c>
      <c r="P35" s="17" t="n">
        <v>588.56</v>
      </c>
      <c r="Q35" s="17" t="n">
        <v>213.25</v>
      </c>
      <c r="R35" s="17" t="n">
        <v>21.32</v>
      </c>
      <c r="S35" s="17" t="n">
        <v>3714.63</v>
      </c>
      <c r="T35" s="17" t="n">
        <v>0</v>
      </c>
      <c r="U35" s="17" t="n">
        <v>0</v>
      </c>
      <c r="V35" s="17" t="n">
        <v>0</v>
      </c>
      <c r="W35" s="17" t="n">
        <v>0</v>
      </c>
      <c r="X35" s="17" t="n">
        <v>0</v>
      </c>
      <c r="Y35" s="17" t="n">
        <v>0</v>
      </c>
      <c r="Z35" s="17" t="n">
        <v>0</v>
      </c>
      <c r="AA35" s="17" t="n">
        <v>0</v>
      </c>
      <c r="AB35" s="17" t="n">
        <v>0</v>
      </c>
      <c r="AC35" s="17" t="n">
        <v>0</v>
      </c>
      <c r="AD35" s="17" t="n">
        <v>0</v>
      </c>
      <c r="AE35" s="11" t="s">
        <v>210</v>
      </c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11" t="n">
        <v>22</v>
      </c>
      <c r="B36" s="11" t="s">
        <v>211</v>
      </c>
      <c r="C36" s="11" t="s">
        <v>212</v>
      </c>
      <c r="D36" s="11" t="s">
        <v>336</v>
      </c>
      <c r="E36" s="11" t="s">
        <v>337</v>
      </c>
      <c r="F36" s="11" t="s">
        <v>338</v>
      </c>
      <c r="G36" s="11" t="s">
        <v>6</v>
      </c>
      <c r="H36" s="11" t="s">
        <v>146</v>
      </c>
      <c r="I36" s="11" t="s">
        <v>339</v>
      </c>
      <c r="J36" s="11" t="s">
        <v>340</v>
      </c>
      <c r="K36" s="17" t="n">
        <v>3435.89</v>
      </c>
      <c r="L36" s="17" t="n">
        <v>3367.17</v>
      </c>
      <c r="M36" s="17" t="n">
        <v>3264.1</v>
      </c>
      <c r="N36" s="17" t="n">
        <v>249.379166666667</v>
      </c>
      <c r="O36" s="17" t="n">
        <v>2216.7</v>
      </c>
      <c r="P36" s="17" t="n">
        <v>474.15</v>
      </c>
      <c r="Q36" s="17" t="n">
        <v>171.79</v>
      </c>
      <c r="R36" s="17" t="n">
        <v>17.18</v>
      </c>
      <c r="S36" s="17" t="n">
        <v>2992.55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7" t="n">
        <v>0</v>
      </c>
      <c r="Z36" s="17" t="n">
        <v>0</v>
      </c>
      <c r="AA36" s="17" t="n">
        <v>0</v>
      </c>
      <c r="AB36" s="17" t="n">
        <v>0</v>
      </c>
      <c r="AC36" s="17" t="n">
        <v>0</v>
      </c>
      <c r="AD36" s="17" t="n">
        <v>0</v>
      </c>
      <c r="AE36" s="11" t="s">
        <v>213</v>
      </c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11" t="n">
        <v>23</v>
      </c>
      <c r="B37" s="11" t="s">
        <v>214</v>
      </c>
      <c r="C37" s="11" t="s">
        <v>215</v>
      </c>
      <c r="D37" s="11" t="s">
        <v>341</v>
      </c>
      <c r="E37" s="11" t="s">
        <v>342</v>
      </c>
      <c r="F37" s="11" t="s">
        <v>343</v>
      </c>
      <c r="G37" s="11" t="s">
        <v>6</v>
      </c>
      <c r="H37" s="11" t="s">
        <v>146</v>
      </c>
      <c r="I37" s="11" t="s">
        <v>339</v>
      </c>
      <c r="J37" s="11" t="s">
        <v>340</v>
      </c>
      <c r="K37" s="17" t="n">
        <v>3586.43</v>
      </c>
      <c r="L37" s="17" t="n">
        <v>3514.7</v>
      </c>
      <c r="M37" s="17" t="n">
        <v>3407.11</v>
      </c>
      <c r="N37" s="17" t="n">
        <v>260.305833333333</v>
      </c>
      <c r="O37" s="17" t="n">
        <v>2313.83</v>
      </c>
      <c r="P37" s="17" t="n">
        <v>494.93</v>
      </c>
      <c r="Q37" s="17" t="n">
        <v>179.32</v>
      </c>
      <c r="R37" s="17" t="n">
        <v>17.93</v>
      </c>
      <c r="S37" s="17" t="n">
        <v>3123.67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7" t="n">
        <v>0</v>
      </c>
      <c r="Z37" s="17" t="n">
        <v>0</v>
      </c>
      <c r="AA37" s="17" t="n">
        <v>0</v>
      </c>
      <c r="AB37" s="17" t="n">
        <v>0</v>
      </c>
      <c r="AC37" s="17" t="n">
        <v>0</v>
      </c>
      <c r="AD37" s="17" t="n">
        <v>0</v>
      </c>
      <c r="AE37" s="11" t="s">
        <v>216</v>
      </c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11" t="n">
        <v>24</v>
      </c>
      <c r="B38" s="11" t="s">
        <v>217</v>
      </c>
      <c r="C38" s="11" t="s">
        <v>218</v>
      </c>
      <c r="D38" s="11" t="s">
        <v>348</v>
      </c>
      <c r="E38" s="11" t="s">
        <v>342</v>
      </c>
      <c r="F38" s="11" t="s">
        <v>349</v>
      </c>
      <c r="G38" s="11" t="s">
        <v>6</v>
      </c>
      <c r="H38" s="11" t="s">
        <v>146</v>
      </c>
      <c r="I38" s="11" t="s">
        <v>339</v>
      </c>
      <c r="J38" s="11" t="s">
        <v>340</v>
      </c>
      <c r="K38" s="17" t="n">
        <v>2596.42</v>
      </c>
      <c r="L38" s="17" t="n">
        <v>2544.49</v>
      </c>
      <c r="M38" s="17" t="n">
        <v>2466.6</v>
      </c>
      <c r="N38" s="17" t="n">
        <v>188.45</v>
      </c>
      <c r="O38" s="17" t="n">
        <v>1675.11</v>
      </c>
      <c r="P38" s="17" t="n">
        <v>358.31</v>
      </c>
      <c r="Q38" s="17" t="n">
        <v>129.82</v>
      </c>
      <c r="R38" s="17" t="n">
        <v>12.98</v>
      </c>
      <c r="S38" s="17" t="n">
        <v>2261.4</v>
      </c>
      <c r="T38" s="17" t="n">
        <v>0</v>
      </c>
      <c r="U38" s="17" t="n">
        <v>0</v>
      </c>
      <c r="V38" s="17" t="n">
        <v>0</v>
      </c>
      <c r="W38" s="17" t="n">
        <v>0</v>
      </c>
      <c r="X38" s="17" t="n">
        <v>0</v>
      </c>
      <c r="Y38" s="17" t="n">
        <v>0</v>
      </c>
      <c r="Z38" s="17" t="n">
        <v>0</v>
      </c>
      <c r="AA38" s="17" t="n">
        <v>0</v>
      </c>
      <c r="AB38" s="17" t="n">
        <v>0</v>
      </c>
      <c r="AC38" s="17" t="n">
        <v>0</v>
      </c>
      <c r="AD38" s="17" t="n">
        <v>0</v>
      </c>
      <c r="AE38" s="11" t="s">
        <v>219</v>
      </c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11" t="n">
        <v>25</v>
      </c>
      <c r="B39" s="11" t="s">
        <v>220</v>
      </c>
      <c r="C39" s="11" t="s">
        <v>221</v>
      </c>
      <c r="D39" s="11" t="s">
        <v>341</v>
      </c>
      <c r="E39" s="11" t="s">
        <v>342</v>
      </c>
      <c r="F39" s="11" t="s">
        <v>343</v>
      </c>
      <c r="G39" s="11" t="s">
        <v>6</v>
      </c>
      <c r="H39" s="11" t="s">
        <v>146</v>
      </c>
      <c r="I39" s="11" t="s">
        <v>339</v>
      </c>
      <c r="J39" s="11" t="s">
        <v>340</v>
      </c>
      <c r="K39" s="17" t="n">
        <v>3841.06</v>
      </c>
      <c r="L39" s="17" t="n">
        <v>3764.24</v>
      </c>
      <c r="M39" s="17" t="n">
        <v>3649.01</v>
      </c>
      <c r="N39" s="17" t="n">
        <v>278.786666666667</v>
      </c>
      <c r="O39" s="17" t="n">
        <v>2478.1</v>
      </c>
      <c r="P39" s="17" t="n">
        <v>530.07</v>
      </c>
      <c r="Q39" s="17" t="n">
        <v>192.05</v>
      </c>
      <c r="R39" s="17" t="n">
        <v>19.21</v>
      </c>
      <c r="S39" s="17" t="n">
        <v>3345.44</v>
      </c>
      <c r="T39" s="17" t="n">
        <v>0</v>
      </c>
      <c r="U39" s="17" t="n">
        <v>0</v>
      </c>
      <c r="V39" s="17" t="n">
        <v>0</v>
      </c>
      <c r="W39" s="17" t="n">
        <v>0</v>
      </c>
      <c r="X39" s="17" t="n">
        <v>0</v>
      </c>
      <c r="Y39" s="17" t="n">
        <v>0</v>
      </c>
      <c r="Z39" s="17" t="n">
        <v>0</v>
      </c>
      <c r="AA39" s="17" t="n">
        <v>0</v>
      </c>
      <c r="AB39" s="17" t="n">
        <v>0</v>
      </c>
      <c r="AC39" s="17" t="n">
        <v>0</v>
      </c>
      <c r="AD39" s="17" t="n">
        <v>0</v>
      </c>
      <c r="AE39" s="11" t="s">
        <v>222</v>
      </c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11" t="n">
        <v>26</v>
      </c>
      <c r="B40" s="11" t="s">
        <v>223</v>
      </c>
      <c r="C40" s="11" t="s">
        <v>224</v>
      </c>
      <c r="D40" s="11" t="s">
        <v>348</v>
      </c>
      <c r="E40" s="11" t="s">
        <v>342</v>
      </c>
      <c r="F40" s="11" t="s">
        <v>349</v>
      </c>
      <c r="G40" s="11" t="s">
        <v>6</v>
      </c>
      <c r="H40" s="11" t="s">
        <v>146</v>
      </c>
      <c r="I40" s="11" t="s">
        <v>339</v>
      </c>
      <c r="J40" s="11" t="s">
        <v>340</v>
      </c>
      <c r="K40" s="17" t="n">
        <v>2838.07</v>
      </c>
      <c r="L40" s="17" t="n">
        <v>2781.31</v>
      </c>
      <c r="M40" s="17" t="n">
        <v>2696.17</v>
      </c>
      <c r="N40" s="17" t="n">
        <v>205.989166666667</v>
      </c>
      <c r="O40" s="17" t="n">
        <v>1831.01</v>
      </c>
      <c r="P40" s="17" t="n">
        <v>391.65</v>
      </c>
      <c r="Q40" s="17" t="n">
        <v>141.9</v>
      </c>
      <c r="R40" s="17" t="n">
        <v>14.19</v>
      </c>
      <c r="S40" s="17" t="n">
        <v>2471.87</v>
      </c>
      <c r="T40" s="17" t="n">
        <v>0</v>
      </c>
      <c r="U40" s="17" t="n">
        <v>0</v>
      </c>
      <c r="V40" s="17" t="n">
        <v>0</v>
      </c>
      <c r="W40" s="17" t="n">
        <v>0</v>
      </c>
      <c r="X40" s="17" t="n">
        <v>0</v>
      </c>
      <c r="Y40" s="17" t="n">
        <v>0</v>
      </c>
      <c r="Z40" s="17" t="n">
        <v>0</v>
      </c>
      <c r="AA40" s="17" t="n">
        <v>0</v>
      </c>
      <c r="AB40" s="17" t="n">
        <v>0</v>
      </c>
      <c r="AC40" s="17" t="n">
        <v>0</v>
      </c>
      <c r="AD40" s="17" t="n">
        <v>0</v>
      </c>
      <c r="AE40" s="11" t="s">
        <v>225</v>
      </c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11" t="n">
        <v>27</v>
      </c>
      <c r="B41" s="11" t="s">
        <v>226</v>
      </c>
      <c r="C41" s="11" t="s">
        <v>227</v>
      </c>
      <c r="D41" s="11" t="s">
        <v>336</v>
      </c>
      <c r="E41" s="11" t="s">
        <v>337</v>
      </c>
      <c r="F41" s="11" t="s">
        <v>338</v>
      </c>
      <c r="G41" s="11" t="s">
        <v>6</v>
      </c>
      <c r="H41" s="11" t="s">
        <v>146</v>
      </c>
      <c r="I41" s="11" t="s">
        <v>339</v>
      </c>
      <c r="J41" s="11" t="s">
        <v>340</v>
      </c>
      <c r="K41" s="17" t="n">
        <v>4446.7</v>
      </c>
      <c r="L41" s="17" t="n">
        <v>4357.77</v>
      </c>
      <c r="M41" s="17" t="n">
        <v>4224.36</v>
      </c>
      <c r="N41" s="17" t="n">
        <v>322.745</v>
      </c>
      <c r="O41" s="17" t="n">
        <v>2868.84</v>
      </c>
      <c r="P41" s="17" t="n">
        <v>613.64</v>
      </c>
      <c r="Q41" s="17" t="n">
        <v>222.34</v>
      </c>
      <c r="R41" s="17" t="n">
        <v>22.23</v>
      </c>
      <c r="S41" s="17" t="n">
        <v>3872.94</v>
      </c>
      <c r="T41" s="17" t="n">
        <v>0</v>
      </c>
      <c r="U41" s="17" t="n">
        <v>0</v>
      </c>
      <c r="V41" s="17" t="n">
        <v>0</v>
      </c>
      <c r="W41" s="17" t="n">
        <v>0</v>
      </c>
      <c r="X41" s="17" t="n">
        <v>0</v>
      </c>
      <c r="Y41" s="17" t="n">
        <v>0</v>
      </c>
      <c r="Z41" s="17" t="n">
        <v>0</v>
      </c>
      <c r="AA41" s="17" t="n">
        <v>0</v>
      </c>
      <c r="AB41" s="17" t="n">
        <v>0</v>
      </c>
      <c r="AC41" s="17" t="n">
        <v>0</v>
      </c>
      <c r="AD41" s="17" t="n">
        <v>0</v>
      </c>
      <c r="AE41" s="11" t="s">
        <v>228</v>
      </c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11" t="n">
        <v>28</v>
      </c>
      <c r="B42" s="11" t="s">
        <v>229</v>
      </c>
      <c r="C42" s="11" t="s">
        <v>230</v>
      </c>
      <c r="D42" s="11" t="s">
        <v>344</v>
      </c>
      <c r="E42" s="11" t="s">
        <v>337</v>
      </c>
      <c r="F42" s="11" t="s">
        <v>345</v>
      </c>
      <c r="G42" s="11" t="s">
        <v>6</v>
      </c>
      <c r="H42" s="11" t="s">
        <v>146</v>
      </c>
      <c r="I42" s="11" t="s">
        <v>339</v>
      </c>
      <c r="J42" s="11" t="s">
        <v>340</v>
      </c>
      <c r="K42" s="17" t="n">
        <v>4811.71</v>
      </c>
      <c r="L42" s="17" t="n">
        <v>4715.48</v>
      </c>
      <c r="M42" s="17" t="n">
        <v>4571.12</v>
      </c>
      <c r="N42" s="17" t="n">
        <v>349.236666666667</v>
      </c>
      <c r="O42" s="17" t="n">
        <v>3104.33</v>
      </c>
      <c r="P42" s="17" t="n">
        <v>664.02</v>
      </c>
      <c r="Q42" s="17" t="n">
        <v>240.59</v>
      </c>
      <c r="R42" s="17" t="n">
        <v>24.06</v>
      </c>
      <c r="S42" s="17" t="n">
        <v>4190.84</v>
      </c>
      <c r="T42" s="17" t="n">
        <v>0</v>
      </c>
      <c r="U42" s="17" t="n">
        <v>0</v>
      </c>
      <c r="V42" s="17" t="n">
        <v>0</v>
      </c>
      <c r="W42" s="17" t="n">
        <v>0</v>
      </c>
      <c r="X42" s="17" t="n">
        <v>0</v>
      </c>
      <c r="Y42" s="17" t="n">
        <v>0</v>
      </c>
      <c r="Z42" s="17" t="n">
        <v>0</v>
      </c>
      <c r="AA42" s="17" t="n">
        <v>0</v>
      </c>
      <c r="AB42" s="17" t="n">
        <v>0</v>
      </c>
      <c r="AC42" s="17" t="n">
        <v>0</v>
      </c>
      <c r="AD42" s="17" t="n">
        <v>0</v>
      </c>
      <c r="AE42" s="11" t="s">
        <v>231</v>
      </c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11" t="n">
        <v>29</v>
      </c>
      <c r="B43" s="11" t="s">
        <v>232</v>
      </c>
      <c r="C43" s="11" t="s">
        <v>233</v>
      </c>
      <c r="D43" s="11" t="s">
        <v>341</v>
      </c>
      <c r="E43" s="11" t="s">
        <v>342</v>
      </c>
      <c r="F43" s="11" t="s">
        <v>343</v>
      </c>
      <c r="G43" s="11" t="s">
        <v>6</v>
      </c>
      <c r="H43" s="11" t="s">
        <v>146</v>
      </c>
      <c r="I43" s="11" t="s">
        <v>339</v>
      </c>
      <c r="J43" s="11" t="s">
        <v>340</v>
      </c>
      <c r="K43" s="17" t="n">
        <v>4860.57</v>
      </c>
      <c r="L43" s="17" t="n">
        <v>4763.36</v>
      </c>
      <c r="M43" s="17" t="n">
        <v>4617.54</v>
      </c>
      <c r="N43" s="17" t="n">
        <v>352.783333333333</v>
      </c>
      <c r="O43" s="17" t="n">
        <v>3135.85</v>
      </c>
      <c r="P43" s="17" t="n">
        <v>670.76</v>
      </c>
      <c r="Q43" s="17" t="n">
        <v>243.03</v>
      </c>
      <c r="R43" s="17" t="n">
        <v>24.3</v>
      </c>
      <c r="S43" s="17" t="n">
        <v>4233.4</v>
      </c>
      <c r="T43" s="17" t="n">
        <v>0</v>
      </c>
      <c r="U43" s="17" t="n">
        <v>0</v>
      </c>
      <c r="V43" s="17" t="n">
        <v>0</v>
      </c>
      <c r="W43" s="17" t="n">
        <v>0</v>
      </c>
      <c r="X43" s="17" t="n">
        <v>0</v>
      </c>
      <c r="Y43" s="17" t="n">
        <v>0</v>
      </c>
      <c r="Z43" s="17" t="n">
        <v>0</v>
      </c>
      <c r="AA43" s="17" t="n">
        <v>0</v>
      </c>
      <c r="AB43" s="17" t="n">
        <v>0</v>
      </c>
      <c r="AC43" s="17" t="n">
        <v>0</v>
      </c>
      <c r="AD43" s="17" t="n">
        <v>0</v>
      </c>
      <c r="AE43" s="11" t="s">
        <v>234</v>
      </c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11" t="n">
        <v>30</v>
      </c>
      <c r="B44" s="11" t="s">
        <v>235</v>
      </c>
      <c r="C44" s="11" t="s">
        <v>236</v>
      </c>
      <c r="D44" s="11" t="s">
        <v>348</v>
      </c>
      <c r="E44" s="11" t="s">
        <v>337</v>
      </c>
      <c r="F44" s="11" t="s">
        <v>349</v>
      </c>
      <c r="G44" s="11" t="s">
        <v>6</v>
      </c>
      <c r="H44" s="11" t="s">
        <v>146</v>
      </c>
      <c r="I44" s="11" t="s">
        <v>339</v>
      </c>
      <c r="J44" s="11" t="s">
        <v>340</v>
      </c>
      <c r="K44" s="17" t="n">
        <v>3392.3</v>
      </c>
      <c r="L44" s="17" t="n">
        <v>3324.45</v>
      </c>
      <c r="M44" s="17" t="n">
        <v>3222.68</v>
      </c>
      <c r="N44" s="17" t="n">
        <v>246.215</v>
      </c>
      <c r="O44" s="17" t="n">
        <v>2188.58</v>
      </c>
      <c r="P44" s="17" t="n">
        <v>468.14</v>
      </c>
      <c r="Q44" s="17" t="n">
        <v>169.62</v>
      </c>
      <c r="R44" s="17" t="n">
        <v>16.96</v>
      </c>
      <c r="S44" s="17" t="n">
        <v>2954.58</v>
      </c>
      <c r="T44" s="17" t="n">
        <v>0</v>
      </c>
      <c r="U44" s="17" t="n">
        <v>0</v>
      </c>
      <c r="V44" s="17" t="n">
        <v>0</v>
      </c>
      <c r="W44" s="17" t="n">
        <v>0</v>
      </c>
      <c r="X44" s="17" t="n">
        <v>0</v>
      </c>
      <c r="Y44" s="17" t="n">
        <v>0</v>
      </c>
      <c r="Z44" s="17" t="n">
        <v>0</v>
      </c>
      <c r="AA44" s="17" t="n">
        <v>0</v>
      </c>
      <c r="AB44" s="17" t="n">
        <v>0</v>
      </c>
      <c r="AC44" s="17" t="n">
        <v>0</v>
      </c>
      <c r="AD44" s="17" t="n">
        <v>0</v>
      </c>
      <c r="AE44" s="11" t="s">
        <v>237</v>
      </c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11" t="n">
        <v>31</v>
      </c>
      <c r="B45" s="11" t="s">
        <v>238</v>
      </c>
      <c r="C45" s="11" t="s">
        <v>239</v>
      </c>
      <c r="D45" s="11" t="s">
        <v>344</v>
      </c>
      <c r="E45" s="11" t="s">
        <v>337</v>
      </c>
      <c r="F45" s="11" t="s">
        <v>345</v>
      </c>
      <c r="G45" s="11" t="s">
        <v>6</v>
      </c>
      <c r="H45" s="11" t="s">
        <v>146</v>
      </c>
      <c r="I45" s="11" t="s">
        <v>339</v>
      </c>
      <c r="J45" s="11" t="s">
        <v>340</v>
      </c>
      <c r="K45" s="17" t="n">
        <v>2437.86</v>
      </c>
      <c r="L45" s="17" t="n">
        <v>2389.1</v>
      </c>
      <c r="M45" s="17" t="n">
        <v>2315.97</v>
      </c>
      <c r="N45" s="17" t="n">
        <v>176.0675</v>
      </c>
      <c r="O45" s="17" t="n">
        <v>1625.24</v>
      </c>
      <c r="P45" s="17" t="n">
        <v>336.42</v>
      </c>
      <c r="Q45" s="17" t="n">
        <v>121.89</v>
      </c>
      <c r="R45" s="17" t="n">
        <v>12.19</v>
      </c>
      <c r="S45" s="17" t="n">
        <v>243.79</v>
      </c>
      <c r="T45" s="17" t="n">
        <v>0</v>
      </c>
      <c r="U45" s="17" t="n">
        <v>0</v>
      </c>
      <c r="V45" s="17" t="n">
        <v>0</v>
      </c>
      <c r="W45" s="17" t="n">
        <v>0</v>
      </c>
      <c r="X45" s="17" t="n">
        <v>0</v>
      </c>
      <c r="Y45" s="17" t="n">
        <v>0</v>
      </c>
      <c r="Z45" s="17" t="n">
        <v>0</v>
      </c>
      <c r="AA45" s="17" t="n">
        <v>0</v>
      </c>
      <c r="AB45" s="17" t="n">
        <v>0</v>
      </c>
      <c r="AC45" s="17" t="n">
        <v>0</v>
      </c>
      <c r="AD45" s="17" t="n">
        <v>0</v>
      </c>
      <c r="AE45" s="11" t="s">
        <v>240</v>
      </c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11" t="n">
        <v>32</v>
      </c>
      <c r="B46" s="11" t="s">
        <v>241</v>
      </c>
      <c r="C46" s="11" t="s">
        <v>242</v>
      </c>
      <c r="D46" s="11" t="s">
        <v>344</v>
      </c>
      <c r="E46" s="11" t="s">
        <v>342</v>
      </c>
      <c r="F46" s="11" t="s">
        <v>345</v>
      </c>
      <c r="G46" s="11" t="s">
        <v>6</v>
      </c>
      <c r="H46" s="11" t="s">
        <v>146</v>
      </c>
      <c r="I46" s="11" t="s">
        <v>339</v>
      </c>
      <c r="J46" s="11" t="s">
        <v>340</v>
      </c>
      <c r="K46" s="17" t="n">
        <v>2527.79</v>
      </c>
      <c r="L46" s="17" t="n">
        <v>2477.23</v>
      </c>
      <c r="M46" s="17" t="n">
        <v>2401.4</v>
      </c>
      <c r="N46" s="17" t="n">
        <v>182.5625</v>
      </c>
      <c r="O46" s="17" t="n">
        <v>1685.19</v>
      </c>
      <c r="P46" s="17" t="n">
        <v>348.84</v>
      </c>
      <c r="Q46" s="17" t="n">
        <v>126.39</v>
      </c>
      <c r="R46" s="17" t="n">
        <v>12.64</v>
      </c>
      <c r="S46" s="17" t="n">
        <v>2190.75</v>
      </c>
      <c r="T46" s="17" t="n">
        <v>0</v>
      </c>
      <c r="U46" s="17" t="n">
        <v>252.78</v>
      </c>
      <c r="V46" s="17" t="n">
        <v>0</v>
      </c>
      <c r="W46" s="17" t="n">
        <v>0</v>
      </c>
      <c r="X46" s="17" t="n">
        <v>0</v>
      </c>
      <c r="Y46" s="17" t="n">
        <v>0</v>
      </c>
      <c r="Z46" s="17" t="n">
        <v>0</v>
      </c>
      <c r="AA46" s="17" t="n">
        <v>0</v>
      </c>
      <c r="AB46" s="17" t="n">
        <v>0</v>
      </c>
      <c r="AC46" s="17" t="n">
        <v>0</v>
      </c>
      <c r="AD46" s="17" t="n">
        <v>0</v>
      </c>
      <c r="AE46" s="11" t="s">
        <v>243</v>
      </c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11" t="n">
        <v>33</v>
      </c>
      <c r="B47" s="11" t="s">
        <v>244</v>
      </c>
      <c r="C47" s="11" t="s">
        <v>245</v>
      </c>
      <c r="D47" s="11" t="s">
        <v>336</v>
      </c>
      <c r="E47" s="11" t="s">
        <v>337</v>
      </c>
      <c r="F47" s="11" t="s">
        <v>338</v>
      </c>
      <c r="G47" s="11" t="s">
        <v>6</v>
      </c>
      <c r="H47" s="11" t="s">
        <v>146</v>
      </c>
      <c r="I47" s="11" t="s">
        <v>339</v>
      </c>
      <c r="J47" s="11" t="s">
        <v>340</v>
      </c>
      <c r="K47" s="17" t="n">
        <v>3947.34</v>
      </c>
      <c r="L47" s="17" t="n">
        <v>3868.39</v>
      </c>
      <c r="M47" s="17" t="n">
        <v>3749.97</v>
      </c>
      <c r="N47" s="17" t="n">
        <v>285.085833333333</v>
      </c>
      <c r="O47" s="17" t="n">
        <v>2631.56</v>
      </c>
      <c r="P47" s="17" t="n">
        <v>544.73</v>
      </c>
      <c r="Q47" s="17" t="n">
        <v>197.37</v>
      </c>
      <c r="R47" s="17" t="n">
        <v>19.74</v>
      </c>
      <c r="S47" s="17" t="n">
        <v>3421.03</v>
      </c>
      <c r="T47" s="17" t="n">
        <v>394.73</v>
      </c>
      <c r="U47" s="17" t="n">
        <v>0</v>
      </c>
      <c r="V47" s="17" t="n">
        <v>0</v>
      </c>
      <c r="W47" s="17" t="n">
        <v>0</v>
      </c>
      <c r="X47" s="17" t="n">
        <v>0</v>
      </c>
      <c r="Y47" s="17" t="n">
        <v>0</v>
      </c>
      <c r="Z47" s="17" t="n">
        <v>0</v>
      </c>
      <c r="AA47" s="17" t="n">
        <v>0</v>
      </c>
      <c r="AB47" s="17" t="n">
        <v>0</v>
      </c>
      <c r="AC47" s="17" t="n">
        <v>0</v>
      </c>
      <c r="AD47" s="17" t="n">
        <v>0</v>
      </c>
      <c r="AE47" s="11" t="s">
        <v>246</v>
      </c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11" t="n">
        <v>34</v>
      </c>
      <c r="B48" s="11" t="s">
        <v>247</v>
      </c>
      <c r="C48" s="11" t="s">
        <v>248</v>
      </c>
      <c r="D48" s="11" t="s">
        <v>341</v>
      </c>
      <c r="E48" s="11" t="s">
        <v>342</v>
      </c>
      <c r="F48" s="11" t="s">
        <v>343</v>
      </c>
      <c r="G48" s="11" t="s">
        <v>6</v>
      </c>
      <c r="H48" s="11" t="s">
        <v>146</v>
      </c>
      <c r="I48" s="11" t="s">
        <v>339</v>
      </c>
      <c r="J48" s="11" t="s">
        <v>340</v>
      </c>
      <c r="K48" s="17" t="n">
        <v>2901.26</v>
      </c>
      <c r="L48" s="17" t="n">
        <v>2843.23</v>
      </c>
      <c r="M48" s="17" t="n">
        <v>2756.2</v>
      </c>
      <c r="N48" s="17" t="n">
        <v>209.535</v>
      </c>
      <c r="O48" s="17" t="n">
        <v>1934.17</v>
      </c>
      <c r="P48" s="17" t="n">
        <v>400.37</v>
      </c>
      <c r="Q48" s="17" t="n">
        <v>145.06</v>
      </c>
      <c r="R48" s="17" t="n">
        <v>14.51</v>
      </c>
      <c r="S48" s="17" t="n">
        <v>967.09</v>
      </c>
      <c r="T48" s="17" t="n">
        <v>0</v>
      </c>
      <c r="U48" s="17" t="n">
        <v>0</v>
      </c>
      <c r="V48" s="17" t="n">
        <v>0</v>
      </c>
      <c r="W48" s="17" t="n">
        <v>0</v>
      </c>
      <c r="X48" s="17" t="n">
        <v>0</v>
      </c>
      <c r="Y48" s="17" t="n">
        <v>0</v>
      </c>
      <c r="Z48" s="17" t="n">
        <v>0</v>
      </c>
      <c r="AA48" s="17" t="n">
        <v>0</v>
      </c>
      <c r="AB48" s="17" t="n">
        <v>0</v>
      </c>
      <c r="AC48" s="17" t="n">
        <v>0</v>
      </c>
      <c r="AD48" s="17" t="n">
        <v>0</v>
      </c>
      <c r="AE48" s="11" t="s">
        <v>249</v>
      </c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11" t="n">
        <v>35</v>
      </c>
      <c r="B49" s="11" t="s">
        <v>250</v>
      </c>
      <c r="C49" s="11" t="s">
        <v>251</v>
      </c>
      <c r="D49" s="11" t="s">
        <v>344</v>
      </c>
      <c r="E49" s="11" t="s">
        <v>342</v>
      </c>
      <c r="F49" s="11" t="s">
        <v>345</v>
      </c>
      <c r="G49" s="11" t="s">
        <v>6</v>
      </c>
      <c r="H49" s="11" t="s">
        <v>146</v>
      </c>
      <c r="I49" s="11" t="s">
        <v>339</v>
      </c>
      <c r="J49" s="11" t="s">
        <v>340</v>
      </c>
      <c r="K49" s="17" t="n">
        <v>4083.93</v>
      </c>
      <c r="L49" s="17" t="n">
        <v>4002.25</v>
      </c>
      <c r="M49" s="17" t="n">
        <v>3879.73</v>
      </c>
      <c r="N49" s="17" t="n">
        <v>294.95</v>
      </c>
      <c r="O49" s="17" t="n">
        <v>2722.62</v>
      </c>
      <c r="P49" s="17" t="n">
        <v>563.58</v>
      </c>
      <c r="Q49" s="17" t="n">
        <v>204.2</v>
      </c>
      <c r="R49" s="17" t="n">
        <v>20.42</v>
      </c>
      <c r="S49" s="17" t="n">
        <v>3539.4</v>
      </c>
      <c r="T49" s="17" t="n">
        <v>0</v>
      </c>
      <c r="U49" s="17" t="n">
        <v>0</v>
      </c>
      <c r="V49" s="17" t="n">
        <v>408.39</v>
      </c>
      <c r="W49" s="17" t="n">
        <v>0</v>
      </c>
      <c r="X49" s="17" t="n">
        <v>0</v>
      </c>
      <c r="Y49" s="17" t="n">
        <v>0</v>
      </c>
      <c r="Z49" s="17" t="n">
        <v>0</v>
      </c>
      <c r="AA49" s="17" t="n">
        <v>0</v>
      </c>
      <c r="AB49" s="17" t="n">
        <v>0</v>
      </c>
      <c r="AC49" s="17" t="n">
        <v>0</v>
      </c>
      <c r="AD49" s="17" t="n">
        <v>0</v>
      </c>
      <c r="AE49" s="11" t="s">
        <v>252</v>
      </c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11" t="n">
        <v>36</v>
      </c>
      <c r="B50" s="11" t="s">
        <v>253</v>
      </c>
      <c r="C50" s="11" t="s">
        <v>254</v>
      </c>
      <c r="D50" s="11" t="s">
        <v>341</v>
      </c>
      <c r="E50" s="11" t="s">
        <v>342</v>
      </c>
      <c r="F50" s="11" t="s">
        <v>343</v>
      </c>
      <c r="G50" s="11" t="s">
        <v>6</v>
      </c>
      <c r="H50" s="11" t="s">
        <v>146</v>
      </c>
      <c r="I50" s="11" t="s">
        <v>339</v>
      </c>
      <c r="J50" s="11" t="s">
        <v>340</v>
      </c>
      <c r="K50" s="17" t="n">
        <v>2837.4</v>
      </c>
      <c r="L50" s="17" t="n">
        <v>2780.65</v>
      </c>
      <c r="M50" s="17" t="n">
        <v>2695.53</v>
      </c>
      <c r="N50" s="17" t="n">
        <v>204.923333333333</v>
      </c>
      <c r="O50" s="17" t="n">
        <v>1891.6</v>
      </c>
      <c r="P50" s="17" t="n">
        <v>391.56</v>
      </c>
      <c r="Q50" s="17" t="n">
        <v>141.87</v>
      </c>
      <c r="R50" s="17" t="n">
        <v>14.19</v>
      </c>
      <c r="S50" s="17" t="n">
        <v>2459.08</v>
      </c>
      <c r="T50" s="17" t="n">
        <v>0</v>
      </c>
      <c r="U50" s="17" t="n">
        <v>0</v>
      </c>
      <c r="V50" s="17" t="n">
        <v>0</v>
      </c>
      <c r="W50" s="17" t="n">
        <v>0</v>
      </c>
      <c r="X50" s="17" t="n">
        <v>0</v>
      </c>
      <c r="Y50" s="17" t="n">
        <v>283.74</v>
      </c>
      <c r="Z50" s="17" t="n">
        <v>0</v>
      </c>
      <c r="AA50" s="17" t="n">
        <v>0</v>
      </c>
      <c r="AB50" s="17" t="n">
        <v>0</v>
      </c>
      <c r="AC50" s="17" t="n">
        <v>0</v>
      </c>
      <c r="AD50" s="17" t="n">
        <v>0</v>
      </c>
      <c r="AE50" s="11" t="s">
        <v>255</v>
      </c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11" t="n">
        <v>37</v>
      </c>
      <c r="B51" s="11" t="s">
        <v>256</v>
      </c>
      <c r="C51" s="11" t="s">
        <v>257</v>
      </c>
      <c r="D51" s="11" t="s">
        <v>346</v>
      </c>
      <c r="E51" s="11" t="s">
        <v>337</v>
      </c>
      <c r="F51" s="11" t="s">
        <v>347</v>
      </c>
      <c r="G51" s="11" t="s">
        <v>6</v>
      </c>
      <c r="H51" s="11" t="s">
        <v>146</v>
      </c>
      <c r="I51" s="11" t="s">
        <v>339</v>
      </c>
      <c r="J51" s="11" t="s">
        <v>340</v>
      </c>
      <c r="K51" s="17" t="n">
        <v>3586.17</v>
      </c>
      <c r="L51" s="17" t="n">
        <v>3514.45</v>
      </c>
      <c r="M51" s="17" t="n">
        <v>3406.86</v>
      </c>
      <c r="N51" s="17" t="n">
        <v>259.000833333333</v>
      </c>
      <c r="O51" s="17" t="n">
        <v>2390.78</v>
      </c>
      <c r="P51" s="17" t="n">
        <v>494.89</v>
      </c>
      <c r="Q51" s="17" t="n">
        <v>179.31</v>
      </c>
      <c r="R51" s="17" t="n">
        <v>17.93</v>
      </c>
      <c r="S51" s="17" t="n">
        <v>3108.01</v>
      </c>
      <c r="T51" s="17" t="n">
        <v>0</v>
      </c>
      <c r="U51" s="17" t="n">
        <v>0</v>
      </c>
      <c r="V51" s="17" t="n">
        <v>0</v>
      </c>
      <c r="W51" s="17" t="n">
        <v>0</v>
      </c>
      <c r="X51" s="17" t="n">
        <v>0</v>
      </c>
      <c r="Y51" s="17" t="n">
        <v>0</v>
      </c>
      <c r="Z51" s="17" t="n">
        <v>0</v>
      </c>
      <c r="AA51" s="17" t="n">
        <v>0</v>
      </c>
      <c r="AB51" s="17" t="n">
        <v>0</v>
      </c>
      <c r="AC51" s="17" t="n">
        <v>0</v>
      </c>
      <c r="AD51" s="17" t="n">
        <v>358.62</v>
      </c>
      <c r="AE51" s="11" t="s">
        <v>258</v>
      </c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11" t="n">
        <v>38</v>
      </c>
      <c r="B52" s="11" t="s">
        <v>259</v>
      </c>
      <c r="C52" s="11" t="s">
        <v>260</v>
      </c>
      <c r="D52" s="11" t="s">
        <v>346</v>
      </c>
      <c r="E52" s="11" t="s">
        <v>337</v>
      </c>
      <c r="F52" s="11" t="s">
        <v>347</v>
      </c>
      <c r="G52" s="11" t="s">
        <v>6</v>
      </c>
      <c r="H52" s="11" t="s">
        <v>146</v>
      </c>
      <c r="I52" s="11" t="s">
        <v>339</v>
      </c>
      <c r="J52" s="11" t="s">
        <v>340</v>
      </c>
      <c r="K52" s="17" t="n">
        <v>3612.06</v>
      </c>
      <c r="L52" s="17" t="n">
        <v>3539.82</v>
      </c>
      <c r="M52" s="17" t="n">
        <v>3431.46</v>
      </c>
      <c r="N52" s="17" t="n">
        <v>260.870833333333</v>
      </c>
      <c r="O52" s="17" t="n">
        <v>2408.04</v>
      </c>
      <c r="P52" s="17" t="n">
        <v>498.46</v>
      </c>
      <c r="Q52" s="17" t="n">
        <v>180.6</v>
      </c>
      <c r="R52" s="17" t="n">
        <v>18.06</v>
      </c>
      <c r="S52" s="17" t="n">
        <v>3130.45</v>
      </c>
      <c r="T52" s="17" t="n">
        <v>0</v>
      </c>
      <c r="U52" s="17" t="n">
        <v>0</v>
      </c>
      <c r="V52" s="17" t="n">
        <v>0</v>
      </c>
      <c r="W52" s="17" t="n">
        <v>0</v>
      </c>
      <c r="X52" s="17" t="n">
        <v>0</v>
      </c>
      <c r="Y52" s="17" t="n">
        <v>0</v>
      </c>
      <c r="Z52" s="17" t="n">
        <v>0</v>
      </c>
      <c r="AA52" s="17" t="n">
        <v>0</v>
      </c>
      <c r="AB52" s="17" t="n">
        <v>0</v>
      </c>
      <c r="AC52" s="17" t="n">
        <v>361.21</v>
      </c>
      <c r="AD52" s="17" t="n">
        <v>0</v>
      </c>
      <c r="AE52" s="11" t="s">
        <v>261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11" t="n">
        <v>39</v>
      </c>
      <c r="B53" s="11" t="s">
        <v>262</v>
      </c>
      <c r="C53" s="11" t="s">
        <v>263</v>
      </c>
      <c r="D53" s="11" t="s">
        <v>336</v>
      </c>
      <c r="E53" s="11" t="s">
        <v>337</v>
      </c>
      <c r="F53" s="11" t="s">
        <v>338</v>
      </c>
      <c r="G53" s="11" t="s">
        <v>6</v>
      </c>
      <c r="H53" s="11" t="s">
        <v>146</v>
      </c>
      <c r="I53" s="11" t="s">
        <v>339</v>
      </c>
      <c r="J53" s="11" t="s">
        <v>340</v>
      </c>
      <c r="K53" s="17" t="n">
        <v>3841.07</v>
      </c>
      <c r="L53" s="17" t="n">
        <v>3764.25</v>
      </c>
      <c r="M53" s="17" t="n">
        <v>3649.02</v>
      </c>
      <c r="N53" s="17" t="n">
        <v>277.41</v>
      </c>
      <c r="O53" s="17" t="n">
        <v>2560.71</v>
      </c>
      <c r="P53" s="17" t="n">
        <v>530.07</v>
      </c>
      <c r="Q53" s="17" t="n">
        <v>192.05</v>
      </c>
      <c r="R53" s="17" t="n">
        <v>19.21</v>
      </c>
      <c r="S53" s="17" t="n">
        <v>3328.92</v>
      </c>
      <c r="T53" s="17" t="n">
        <v>0</v>
      </c>
      <c r="U53" s="17" t="n">
        <v>384.11</v>
      </c>
      <c r="V53" s="17" t="n">
        <v>0</v>
      </c>
      <c r="W53" s="17" t="n">
        <v>0</v>
      </c>
      <c r="X53" s="17" t="n">
        <v>0</v>
      </c>
      <c r="Y53" s="17" t="n">
        <v>0</v>
      </c>
      <c r="Z53" s="17" t="n">
        <v>0</v>
      </c>
      <c r="AA53" s="17" t="n">
        <v>0</v>
      </c>
      <c r="AB53" s="17" t="n">
        <v>0</v>
      </c>
      <c r="AC53" s="17" t="n">
        <v>0</v>
      </c>
      <c r="AD53" s="17" t="n">
        <v>0</v>
      </c>
      <c r="AE53" s="11" t="s">
        <v>264</v>
      </c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11" t="n">
        <v>40</v>
      </c>
      <c r="B54" s="11" t="s">
        <v>265</v>
      </c>
      <c r="C54" s="11" t="s">
        <v>266</v>
      </c>
      <c r="D54" s="11" t="s">
        <v>344</v>
      </c>
      <c r="E54" s="11" t="s">
        <v>337</v>
      </c>
      <c r="F54" s="11" t="s">
        <v>345</v>
      </c>
      <c r="G54" s="11" t="s">
        <v>6</v>
      </c>
      <c r="H54" s="11" t="s">
        <v>146</v>
      </c>
      <c r="I54" s="11" t="s">
        <v>339</v>
      </c>
      <c r="J54" s="11" t="s">
        <v>340</v>
      </c>
      <c r="K54" s="17" t="n">
        <v>2652.33</v>
      </c>
      <c r="L54" s="17" t="n">
        <v>2599.28</v>
      </c>
      <c r="M54" s="17" t="n">
        <v>2519.71</v>
      </c>
      <c r="N54" s="17" t="n">
        <v>191.556666666667</v>
      </c>
      <c r="O54" s="17" t="n">
        <v>1768.22</v>
      </c>
      <c r="P54" s="17" t="n">
        <v>366.02</v>
      </c>
      <c r="Q54" s="17" t="n">
        <v>132.62</v>
      </c>
      <c r="R54" s="17" t="n">
        <v>13.26</v>
      </c>
      <c r="S54" s="17" t="n">
        <v>265.23</v>
      </c>
      <c r="T54" s="17" t="n">
        <v>0</v>
      </c>
      <c r="U54" s="17" t="n">
        <v>0</v>
      </c>
      <c r="V54" s="17" t="n">
        <v>0</v>
      </c>
      <c r="W54" s="17" t="n">
        <v>0</v>
      </c>
      <c r="X54" s="17" t="n">
        <v>0</v>
      </c>
      <c r="Y54" s="17" t="n">
        <v>0</v>
      </c>
      <c r="Z54" s="17" t="n">
        <v>0</v>
      </c>
      <c r="AA54" s="17" t="n">
        <v>0</v>
      </c>
      <c r="AB54" s="17" t="n">
        <v>0</v>
      </c>
      <c r="AC54" s="17" t="n">
        <v>0</v>
      </c>
      <c r="AD54" s="17" t="n">
        <v>0</v>
      </c>
      <c r="AE54" s="11" t="s">
        <v>267</v>
      </c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11" t="n">
        <v>41</v>
      </c>
      <c r="B55" s="11" t="s">
        <v>280</v>
      </c>
      <c r="C55" s="11" t="s">
        <v>281</v>
      </c>
      <c r="D55" s="11" t="s">
        <v>346</v>
      </c>
      <c r="E55" s="11" t="s">
        <v>337</v>
      </c>
      <c r="F55" s="11" t="s">
        <v>347</v>
      </c>
      <c r="G55" s="11" t="s">
        <v>6</v>
      </c>
      <c r="H55" s="11" t="s">
        <v>146</v>
      </c>
      <c r="I55" s="11" t="s">
        <v>339</v>
      </c>
      <c r="J55" s="11" t="s">
        <v>340</v>
      </c>
      <c r="K55" s="17" t="n">
        <v>2537.59</v>
      </c>
      <c r="L55" s="17" t="n">
        <v>2486.84</v>
      </c>
      <c r="M55" s="17" t="n">
        <v>2410.71</v>
      </c>
      <c r="N55" s="17" t="n">
        <v>183.27</v>
      </c>
      <c r="O55" s="17" t="n">
        <v>1691.72</v>
      </c>
      <c r="P55" s="17" t="n">
        <v>350.19</v>
      </c>
      <c r="Q55" s="17" t="n">
        <v>126.88</v>
      </c>
      <c r="R55" s="17" t="n">
        <v>12.69</v>
      </c>
      <c r="S55" s="17" t="n">
        <v>2199.24</v>
      </c>
      <c r="T55" s="17" t="n">
        <v>0</v>
      </c>
      <c r="U55" s="17" t="n">
        <v>0</v>
      </c>
      <c r="V55" s="17" t="n">
        <v>0</v>
      </c>
      <c r="W55" s="17" t="n">
        <v>0</v>
      </c>
      <c r="X55" s="17" t="n">
        <v>0</v>
      </c>
      <c r="Y55" s="17" t="n">
        <v>0</v>
      </c>
      <c r="Z55" s="17" t="n">
        <v>0</v>
      </c>
      <c r="AA55" s="17" t="n">
        <v>0</v>
      </c>
      <c r="AB55" s="17" t="n">
        <v>0</v>
      </c>
      <c r="AC55" s="17" t="n">
        <v>0</v>
      </c>
      <c r="AD55" s="17" t="n">
        <v>0</v>
      </c>
      <c r="AE55" s="11" t="s">
        <v>282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11" t="n">
        <v>42</v>
      </c>
      <c r="B56" s="11" t="s">
        <v>283</v>
      </c>
      <c r="C56" s="11" t="s">
        <v>284</v>
      </c>
      <c r="D56" s="11" t="s">
        <v>348</v>
      </c>
      <c r="E56" s="11" t="s">
        <v>337</v>
      </c>
      <c r="F56" s="11" t="s">
        <v>349</v>
      </c>
      <c r="G56" s="11" t="s">
        <v>6</v>
      </c>
      <c r="H56" s="11" t="s">
        <v>146</v>
      </c>
      <c r="I56" s="11" t="s">
        <v>339</v>
      </c>
      <c r="J56" s="11" t="s">
        <v>340</v>
      </c>
      <c r="K56" s="17" t="n">
        <v>2355.41</v>
      </c>
      <c r="L56" s="17" t="n">
        <v>2308.3</v>
      </c>
      <c r="M56" s="17" t="n">
        <v>2237.64</v>
      </c>
      <c r="N56" s="17" t="n">
        <v>170.113333333333</v>
      </c>
      <c r="O56" s="17" t="n">
        <v>1570.28</v>
      </c>
      <c r="P56" s="17" t="n">
        <v>325.05</v>
      </c>
      <c r="Q56" s="17" t="n">
        <v>117.77</v>
      </c>
      <c r="R56" s="17" t="n">
        <v>11.78</v>
      </c>
      <c r="S56" s="17" t="n">
        <v>2041.36</v>
      </c>
      <c r="T56" s="17" t="n">
        <v>0</v>
      </c>
      <c r="U56" s="17" t="n">
        <v>0</v>
      </c>
      <c r="V56" s="17" t="n">
        <v>0</v>
      </c>
      <c r="W56" s="17" t="n">
        <v>0</v>
      </c>
      <c r="X56" s="17" t="n">
        <v>0</v>
      </c>
      <c r="Y56" s="17" t="n">
        <v>0</v>
      </c>
      <c r="Z56" s="17" t="n">
        <v>0</v>
      </c>
      <c r="AA56" s="17" t="n">
        <v>0</v>
      </c>
      <c r="AB56" s="17" t="n">
        <v>0</v>
      </c>
      <c r="AC56" s="17" t="n">
        <v>0</v>
      </c>
      <c r="AD56" s="17" t="n">
        <v>0</v>
      </c>
      <c r="AE56" s="11" t="s">
        <v>285</v>
      </c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11" t="n">
        <v>43</v>
      </c>
      <c r="B57" s="11" t="s">
        <v>286</v>
      </c>
      <c r="C57" s="11" t="s">
        <v>287</v>
      </c>
      <c r="D57" s="11" t="s">
        <v>344</v>
      </c>
      <c r="E57" s="11" t="s">
        <v>342</v>
      </c>
      <c r="F57" s="11" t="s">
        <v>345</v>
      </c>
      <c r="G57" s="11" t="s">
        <v>6</v>
      </c>
      <c r="H57" s="11" t="s">
        <v>146</v>
      </c>
      <c r="I57" s="11" t="s">
        <v>339</v>
      </c>
      <c r="J57" s="11" t="s">
        <v>340</v>
      </c>
      <c r="K57" s="17" t="n">
        <v>3334.16</v>
      </c>
      <c r="L57" s="17" t="n">
        <v>3267.48</v>
      </c>
      <c r="M57" s="17" t="n">
        <v>3167.45</v>
      </c>
      <c r="N57" s="17" t="n">
        <v>240.800833333333</v>
      </c>
      <c r="O57" s="17" t="n">
        <v>2222.77</v>
      </c>
      <c r="P57" s="17" t="n">
        <v>460.11</v>
      </c>
      <c r="Q57" s="17" t="n">
        <v>166.71</v>
      </c>
      <c r="R57" s="17" t="n">
        <v>16.67</v>
      </c>
      <c r="S57" s="17" t="n">
        <v>2889.61</v>
      </c>
      <c r="T57" s="17" t="n">
        <v>0</v>
      </c>
      <c r="U57" s="17" t="n">
        <v>0</v>
      </c>
      <c r="V57" s="17" t="n">
        <v>0</v>
      </c>
      <c r="W57" s="17" t="n">
        <v>0</v>
      </c>
      <c r="X57" s="17" t="n">
        <v>0</v>
      </c>
      <c r="Y57" s="17" t="n">
        <v>0</v>
      </c>
      <c r="Z57" s="17" t="n">
        <v>0</v>
      </c>
      <c r="AA57" s="17" t="n">
        <v>0</v>
      </c>
      <c r="AB57" s="17" t="n">
        <v>0</v>
      </c>
      <c r="AC57" s="17" t="n">
        <v>0</v>
      </c>
      <c r="AD57" s="17" t="n">
        <v>0</v>
      </c>
      <c r="AE57" s="11" t="s">
        <v>288</v>
      </c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11" t="n">
        <v>44</v>
      </c>
      <c r="B58" s="11" t="s">
        <v>289</v>
      </c>
      <c r="C58" s="11" t="s">
        <v>290</v>
      </c>
      <c r="D58" s="11" t="s">
        <v>336</v>
      </c>
      <c r="E58" s="11" t="s">
        <v>342</v>
      </c>
      <c r="F58" s="11" t="s">
        <v>338</v>
      </c>
      <c r="G58" s="11" t="s">
        <v>6</v>
      </c>
      <c r="H58" s="11" t="s">
        <v>146</v>
      </c>
      <c r="I58" s="11" t="s">
        <v>339</v>
      </c>
      <c r="J58" s="11" t="s">
        <v>340</v>
      </c>
      <c r="K58" s="17" t="n">
        <v>3616.99</v>
      </c>
      <c r="L58" s="17" t="n">
        <v>3544.65</v>
      </c>
      <c r="M58" s="17" t="n">
        <v>3436.14</v>
      </c>
      <c r="N58" s="17" t="n">
        <v>261.226666666667</v>
      </c>
      <c r="O58" s="17" t="n">
        <v>2411.33</v>
      </c>
      <c r="P58" s="17" t="n">
        <v>499.14</v>
      </c>
      <c r="Q58" s="17" t="n">
        <v>180.85</v>
      </c>
      <c r="R58" s="17" t="n">
        <v>18.08</v>
      </c>
      <c r="S58" s="17" t="n">
        <v>3134.72</v>
      </c>
      <c r="T58" s="17" t="n">
        <v>0</v>
      </c>
      <c r="U58" s="17" t="n">
        <v>0</v>
      </c>
      <c r="V58" s="17" t="n">
        <v>0</v>
      </c>
      <c r="W58" s="17" t="n">
        <v>0</v>
      </c>
      <c r="X58" s="17" t="n">
        <v>0</v>
      </c>
      <c r="Y58" s="17" t="n">
        <v>0</v>
      </c>
      <c r="Z58" s="17" t="n">
        <v>0</v>
      </c>
      <c r="AA58" s="17" t="n">
        <v>0</v>
      </c>
      <c r="AB58" s="17" t="n">
        <v>0</v>
      </c>
      <c r="AC58" s="17" t="n">
        <v>0</v>
      </c>
      <c r="AD58" s="17" t="n">
        <v>0</v>
      </c>
      <c r="AE58" s="11" t="s">
        <v>291</v>
      </c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11" t="n">
        <v>45</v>
      </c>
      <c r="B59" s="11" t="s">
        <v>292</v>
      </c>
      <c r="C59" s="11" t="s">
        <v>293</v>
      </c>
      <c r="D59" s="11" t="s">
        <v>344</v>
      </c>
      <c r="E59" s="11" t="s">
        <v>342</v>
      </c>
      <c r="F59" s="11" t="s">
        <v>345</v>
      </c>
      <c r="G59" s="11" t="s">
        <v>6</v>
      </c>
      <c r="H59" s="11" t="s">
        <v>146</v>
      </c>
      <c r="I59" s="11" t="s">
        <v>339</v>
      </c>
      <c r="J59" s="11" t="s">
        <v>340</v>
      </c>
      <c r="K59" s="17" t="n">
        <v>190.35</v>
      </c>
      <c r="L59" s="17" t="n">
        <v>186.54</v>
      </c>
      <c r="M59" s="17" t="n">
        <v>180.83</v>
      </c>
      <c r="N59" s="17" t="n">
        <v>15.1066666666667</v>
      </c>
      <c r="O59" s="17" t="n">
        <v>181.28</v>
      </c>
      <c r="P59" s="17" t="n">
        <v>26.27</v>
      </c>
      <c r="Q59" s="17" t="n">
        <v>9.52</v>
      </c>
      <c r="R59" s="17" t="n">
        <v>0.95</v>
      </c>
      <c r="S59" s="17" t="n">
        <v>181.28</v>
      </c>
      <c r="T59" s="17" t="n">
        <v>0</v>
      </c>
      <c r="U59" s="17" t="n">
        <v>0</v>
      </c>
      <c r="V59" s="17" t="n">
        <v>0</v>
      </c>
      <c r="W59" s="17" t="n">
        <v>0</v>
      </c>
      <c r="X59" s="17" t="n">
        <v>0</v>
      </c>
      <c r="Y59" s="17" t="n">
        <v>0</v>
      </c>
      <c r="Z59" s="17" t="n">
        <v>0</v>
      </c>
      <c r="AA59" s="17" t="n">
        <v>0</v>
      </c>
      <c r="AB59" s="17" t="n">
        <v>0</v>
      </c>
      <c r="AC59" s="17" t="n">
        <v>0</v>
      </c>
      <c r="AD59" s="17" t="n">
        <v>0</v>
      </c>
      <c r="AE59" s="11" t="s">
        <v>294</v>
      </c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11" t="n">
        <v>46</v>
      </c>
      <c r="B60" s="11" t="s">
        <v>295</v>
      </c>
      <c r="C60" s="11" t="s">
        <v>296</v>
      </c>
      <c r="D60" s="11" t="s">
        <v>336</v>
      </c>
      <c r="E60" s="11" t="s">
        <v>342</v>
      </c>
      <c r="F60" s="11" t="s">
        <v>338</v>
      </c>
      <c r="G60" s="11" t="s">
        <v>6</v>
      </c>
      <c r="H60" s="11" t="s">
        <v>146</v>
      </c>
      <c r="I60" s="11" t="s">
        <v>339</v>
      </c>
      <c r="J60" s="11" t="s">
        <v>340</v>
      </c>
      <c r="K60" s="17" t="n">
        <v>501.13</v>
      </c>
      <c r="L60" s="17" t="n">
        <v>491.11</v>
      </c>
      <c r="M60" s="17" t="n">
        <v>476.07</v>
      </c>
      <c r="N60" s="17" t="n">
        <v>39.7725</v>
      </c>
      <c r="O60" s="17" t="n">
        <v>477.27</v>
      </c>
      <c r="P60" s="17" t="n">
        <v>69.16</v>
      </c>
      <c r="Q60" s="17" t="n">
        <v>25.06</v>
      </c>
      <c r="R60" s="17" t="n">
        <v>2.51</v>
      </c>
      <c r="S60" s="17" t="n">
        <v>477.27</v>
      </c>
      <c r="T60" s="17" t="n">
        <v>0</v>
      </c>
      <c r="U60" s="17" t="n">
        <v>0</v>
      </c>
      <c r="V60" s="17" t="n">
        <v>0</v>
      </c>
      <c r="W60" s="17" t="n">
        <v>0</v>
      </c>
      <c r="X60" s="17" t="n">
        <v>0</v>
      </c>
      <c r="Y60" s="17" t="n">
        <v>0</v>
      </c>
      <c r="Z60" s="17" t="n">
        <v>0</v>
      </c>
      <c r="AA60" s="17" t="n">
        <v>0</v>
      </c>
      <c r="AB60" s="17" t="n">
        <v>0</v>
      </c>
      <c r="AC60" s="17" t="n">
        <v>0</v>
      </c>
      <c r="AD60" s="17" t="n">
        <v>0</v>
      </c>
      <c r="AE60" s="11" t="s">
        <v>297</v>
      </c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11" t="n">
        <v>47</v>
      </c>
      <c r="B61" s="11" t="s">
        <v>298</v>
      </c>
      <c r="C61" s="11" t="s">
        <v>299</v>
      </c>
      <c r="D61" s="11" t="s">
        <v>346</v>
      </c>
      <c r="E61" s="11" t="s">
        <v>342</v>
      </c>
      <c r="F61" s="11" t="s">
        <v>347</v>
      </c>
      <c r="G61" s="11" t="s">
        <v>6</v>
      </c>
      <c r="H61" s="11" t="s">
        <v>146</v>
      </c>
      <c r="I61" s="11" t="s">
        <v>339</v>
      </c>
      <c r="J61" s="11" t="s">
        <v>340</v>
      </c>
      <c r="K61" s="17" t="n">
        <v>226.73</v>
      </c>
      <c r="L61" s="17" t="n">
        <v>222.2</v>
      </c>
      <c r="M61" s="17" t="n">
        <v>215.39</v>
      </c>
      <c r="N61" s="17" t="n">
        <v>17.995</v>
      </c>
      <c r="O61" s="17" t="n">
        <v>215.94</v>
      </c>
      <c r="P61" s="17" t="n">
        <v>31.29</v>
      </c>
      <c r="Q61" s="17" t="n">
        <v>11.34</v>
      </c>
      <c r="R61" s="17" t="n">
        <v>1.13</v>
      </c>
      <c r="S61" s="17" t="n">
        <v>215.94</v>
      </c>
      <c r="T61" s="17" t="n">
        <v>0</v>
      </c>
      <c r="U61" s="17" t="n">
        <v>0</v>
      </c>
      <c r="V61" s="17" t="n">
        <v>0</v>
      </c>
      <c r="W61" s="17" t="n">
        <v>0</v>
      </c>
      <c r="X61" s="17" t="n">
        <v>0</v>
      </c>
      <c r="Y61" s="17" t="n">
        <v>0</v>
      </c>
      <c r="Z61" s="17" t="n">
        <v>0</v>
      </c>
      <c r="AA61" s="17" t="n">
        <v>0</v>
      </c>
      <c r="AB61" s="17" t="n">
        <v>0</v>
      </c>
      <c r="AC61" s="17" t="n">
        <v>0</v>
      </c>
      <c r="AD61" s="17" t="n">
        <v>0</v>
      </c>
      <c r="AE61" s="11" t="s">
        <v>300</v>
      </c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11" t="n">
        <v>48</v>
      </c>
      <c r="B62" s="11" t="s">
        <v>301</v>
      </c>
      <c r="C62" s="11" t="s">
        <v>302</v>
      </c>
      <c r="D62" s="11" t="s">
        <v>336</v>
      </c>
      <c r="E62" s="11" t="s">
        <v>342</v>
      </c>
      <c r="F62" s="11" t="s">
        <v>338</v>
      </c>
      <c r="G62" s="11" t="s">
        <v>6</v>
      </c>
      <c r="H62" s="11" t="s">
        <v>146</v>
      </c>
      <c r="I62" s="11" t="s">
        <v>339</v>
      </c>
      <c r="J62" s="11" t="s">
        <v>340</v>
      </c>
      <c r="K62" s="17" t="n">
        <v>515.19</v>
      </c>
      <c r="L62" s="17" t="n">
        <v>504.89</v>
      </c>
      <c r="M62" s="17" t="n">
        <v>489.43</v>
      </c>
      <c r="N62" s="17" t="n">
        <v>40.8883333333333</v>
      </c>
      <c r="O62" s="17" t="n">
        <v>490.66</v>
      </c>
      <c r="P62" s="17" t="n">
        <v>71.1</v>
      </c>
      <c r="Q62" s="17" t="n">
        <v>25.76</v>
      </c>
      <c r="R62" s="17" t="n">
        <v>2.58</v>
      </c>
      <c r="S62" s="17" t="n">
        <v>490.66</v>
      </c>
      <c r="T62" s="17" t="n">
        <v>0</v>
      </c>
      <c r="U62" s="17" t="n">
        <v>0</v>
      </c>
      <c r="V62" s="17" t="n">
        <v>0</v>
      </c>
      <c r="W62" s="17" t="n">
        <v>0</v>
      </c>
      <c r="X62" s="17" t="n">
        <v>0</v>
      </c>
      <c r="Y62" s="17" t="n">
        <v>0</v>
      </c>
      <c r="Z62" s="17" t="n">
        <v>0</v>
      </c>
      <c r="AA62" s="17" t="n">
        <v>0</v>
      </c>
      <c r="AB62" s="17" t="n">
        <v>0</v>
      </c>
      <c r="AC62" s="17" t="n">
        <v>0</v>
      </c>
      <c r="AD62" s="17" t="n">
        <v>0</v>
      </c>
      <c r="AE62" s="11" t="s">
        <v>303</v>
      </c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11" t="n">
        <v>49</v>
      </c>
      <c r="B63" s="11" t="s">
        <v>304</v>
      </c>
      <c r="C63" s="11" t="s">
        <v>305</v>
      </c>
      <c r="D63" s="11" t="s">
        <v>348</v>
      </c>
      <c r="E63" s="11" t="s">
        <v>342</v>
      </c>
      <c r="F63" s="11" t="s">
        <v>349</v>
      </c>
      <c r="G63" s="11" t="s">
        <v>6</v>
      </c>
      <c r="H63" s="11" t="s">
        <v>146</v>
      </c>
      <c r="I63" s="11" t="s">
        <v>339</v>
      </c>
      <c r="J63" s="11" t="s">
        <v>340</v>
      </c>
      <c r="K63" s="17" t="n">
        <v>3503.67</v>
      </c>
      <c r="L63" s="17" t="n">
        <v>3433.6</v>
      </c>
      <c r="M63" s="17" t="n">
        <v>3328.49</v>
      </c>
      <c r="N63" s="17" t="n">
        <v>253.043333333333</v>
      </c>
      <c r="O63" s="17" t="n">
        <v>2335.78</v>
      </c>
      <c r="P63" s="17" t="n">
        <v>483.51</v>
      </c>
      <c r="Q63" s="17" t="n">
        <v>175.18</v>
      </c>
      <c r="R63" s="17" t="n">
        <v>17.52</v>
      </c>
      <c r="S63" s="17" t="n">
        <v>3036.52</v>
      </c>
      <c r="T63" s="17" t="n">
        <v>0</v>
      </c>
      <c r="U63" s="17" t="n">
        <v>0</v>
      </c>
      <c r="V63" s="17" t="n">
        <v>0</v>
      </c>
      <c r="W63" s="17" t="n">
        <v>0</v>
      </c>
      <c r="X63" s="17" t="n">
        <v>0</v>
      </c>
      <c r="Y63" s="17" t="n">
        <v>0</v>
      </c>
      <c r="Z63" s="17" t="n">
        <v>0</v>
      </c>
      <c r="AA63" s="17" t="n">
        <v>0</v>
      </c>
      <c r="AB63" s="17" t="n">
        <v>0</v>
      </c>
      <c r="AC63" s="17" t="n">
        <v>0</v>
      </c>
      <c r="AD63" s="17" t="n">
        <v>0</v>
      </c>
      <c r="AE63" s="11" t="s">
        <v>306</v>
      </c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11" t="n">
        <v>50</v>
      </c>
      <c r="B64" s="11" t="s">
        <v>307</v>
      </c>
      <c r="C64" s="11" t="s">
        <v>308</v>
      </c>
      <c r="D64" s="11" t="s">
        <v>346</v>
      </c>
      <c r="E64" s="11" t="s">
        <v>337</v>
      </c>
      <c r="F64" s="11" t="s">
        <v>347</v>
      </c>
      <c r="G64" s="11" t="s">
        <v>6</v>
      </c>
      <c r="H64" s="11" t="s">
        <v>146</v>
      </c>
      <c r="I64" s="11" t="s">
        <v>339</v>
      </c>
      <c r="J64" s="11" t="s">
        <v>340</v>
      </c>
      <c r="K64" s="17" t="n">
        <v>3248.67</v>
      </c>
      <c r="L64" s="17" t="n">
        <v>3183.7</v>
      </c>
      <c r="M64" s="17" t="n">
        <v>3086.24</v>
      </c>
      <c r="N64" s="17" t="n">
        <v>234.625833333333</v>
      </c>
      <c r="O64" s="17" t="n">
        <v>2165.78</v>
      </c>
      <c r="P64" s="17" t="n">
        <v>448.32</v>
      </c>
      <c r="Q64" s="17" t="n">
        <v>162.43</v>
      </c>
      <c r="R64" s="17" t="n">
        <v>16.24</v>
      </c>
      <c r="S64" s="17" t="n">
        <v>2815.51</v>
      </c>
      <c r="T64" s="17" t="n">
        <v>0</v>
      </c>
      <c r="U64" s="17" t="n">
        <v>0</v>
      </c>
      <c r="V64" s="17" t="n">
        <v>0</v>
      </c>
      <c r="W64" s="17" t="n">
        <v>0</v>
      </c>
      <c r="X64" s="17" t="n">
        <v>0</v>
      </c>
      <c r="Y64" s="17" t="n">
        <v>0</v>
      </c>
      <c r="Z64" s="17" t="n">
        <v>0</v>
      </c>
      <c r="AA64" s="17" t="n">
        <v>0</v>
      </c>
      <c r="AB64" s="17" t="n">
        <v>0</v>
      </c>
      <c r="AC64" s="17" t="n">
        <v>0</v>
      </c>
      <c r="AD64" s="17" t="n">
        <v>0</v>
      </c>
      <c r="AE64" s="11" t="s">
        <v>309</v>
      </c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11" t="n">
        <v>51</v>
      </c>
      <c r="B65" s="11" t="s">
        <v>310</v>
      </c>
      <c r="C65" s="11" t="s">
        <v>311</v>
      </c>
      <c r="D65" s="11" t="s">
        <v>336</v>
      </c>
      <c r="E65" s="11" t="s">
        <v>342</v>
      </c>
      <c r="F65" s="11" t="s">
        <v>338</v>
      </c>
      <c r="G65" s="11" t="s">
        <v>6</v>
      </c>
      <c r="H65" s="11" t="s">
        <v>146</v>
      </c>
      <c r="I65" s="11" t="s">
        <v>339</v>
      </c>
      <c r="J65" s="11" t="s">
        <v>340</v>
      </c>
      <c r="K65" s="17" t="n">
        <v>3895.32</v>
      </c>
      <c r="L65" s="17" t="n">
        <v>3817.41</v>
      </c>
      <c r="M65" s="17" t="n">
        <v>3700.55</v>
      </c>
      <c r="N65" s="17" t="n">
        <v>281.328333333333</v>
      </c>
      <c r="O65" s="17" t="n">
        <v>2596.88</v>
      </c>
      <c r="P65" s="17" t="n">
        <v>537.55</v>
      </c>
      <c r="Q65" s="17" t="n">
        <v>194.77</v>
      </c>
      <c r="R65" s="17" t="n">
        <v>19.48</v>
      </c>
      <c r="S65" s="17" t="n">
        <v>3375.94</v>
      </c>
      <c r="T65" s="17" t="n">
        <v>0</v>
      </c>
      <c r="U65" s="17" t="n">
        <v>0</v>
      </c>
      <c r="V65" s="17" t="n">
        <v>0</v>
      </c>
      <c r="W65" s="17" t="n">
        <v>0</v>
      </c>
      <c r="X65" s="17" t="n">
        <v>0</v>
      </c>
      <c r="Y65" s="17" t="n">
        <v>0</v>
      </c>
      <c r="Z65" s="17" t="n">
        <v>0</v>
      </c>
      <c r="AA65" s="17" t="n">
        <v>0</v>
      </c>
      <c r="AB65" s="17" t="n">
        <v>0</v>
      </c>
      <c r="AC65" s="17" t="n">
        <v>0</v>
      </c>
      <c r="AD65" s="17" t="n">
        <v>0</v>
      </c>
      <c r="AE65" s="11" t="s">
        <v>312</v>
      </c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11" t="n">
        <v>52</v>
      </c>
      <c r="B66" s="11" t="s">
        <v>316</v>
      </c>
      <c r="C66" s="11" t="s">
        <v>317</v>
      </c>
      <c r="D66" s="11" t="s">
        <v>344</v>
      </c>
      <c r="E66" s="11" t="s">
        <v>342</v>
      </c>
      <c r="F66" s="11" t="s">
        <v>345</v>
      </c>
      <c r="G66" s="11" t="s">
        <v>6</v>
      </c>
      <c r="H66" s="11" t="s">
        <v>146</v>
      </c>
      <c r="I66" s="11" t="s">
        <v>339</v>
      </c>
      <c r="J66" s="11" t="s">
        <v>340</v>
      </c>
      <c r="K66" s="17" t="n">
        <v>2858.95</v>
      </c>
      <c r="L66" s="17" t="n">
        <v>2801.77</v>
      </c>
      <c r="M66" s="17" t="n">
        <v>2716</v>
      </c>
      <c r="N66" s="17" t="n">
        <v>206.479166666667</v>
      </c>
      <c r="O66" s="17" t="n">
        <v>1905.97</v>
      </c>
      <c r="P66" s="17" t="n">
        <v>394.54</v>
      </c>
      <c r="Q66" s="17" t="n">
        <v>142.95</v>
      </c>
      <c r="R66" s="17" t="n">
        <v>14.29</v>
      </c>
      <c r="S66" s="17" t="n">
        <v>2477.75</v>
      </c>
      <c r="T66" s="17" t="n">
        <v>0</v>
      </c>
      <c r="U66" s="17" t="n">
        <v>0</v>
      </c>
      <c r="V66" s="17" t="n">
        <v>0</v>
      </c>
      <c r="W66" s="17" t="n">
        <v>0</v>
      </c>
      <c r="X66" s="17" t="n">
        <v>0</v>
      </c>
      <c r="Y66" s="17" t="n">
        <v>0</v>
      </c>
      <c r="Z66" s="17" t="n">
        <v>0</v>
      </c>
      <c r="AA66" s="17" t="n">
        <v>0</v>
      </c>
      <c r="AB66" s="17" t="n">
        <v>0</v>
      </c>
      <c r="AC66" s="17" t="n">
        <v>0</v>
      </c>
      <c r="AD66" s="17" t="n">
        <v>0</v>
      </c>
      <c r="AE66" s="11" t="s">
        <v>318</v>
      </c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11" t="n">
        <v>53</v>
      </c>
      <c r="B67" s="11" t="s">
        <v>322</v>
      </c>
      <c r="C67" s="11" t="s">
        <v>323</v>
      </c>
      <c r="D67" s="11" t="s">
        <v>344</v>
      </c>
      <c r="E67" s="11" t="s">
        <v>337</v>
      </c>
      <c r="F67" s="11" t="s">
        <v>345</v>
      </c>
      <c r="G67" s="11" t="s">
        <v>6</v>
      </c>
      <c r="H67" s="11" t="s">
        <v>146</v>
      </c>
      <c r="I67" s="11" t="s">
        <v>339</v>
      </c>
      <c r="J67" s="11" t="s">
        <v>340</v>
      </c>
      <c r="K67" s="17" t="n">
        <v>3225.82</v>
      </c>
      <c r="L67" s="17" t="n">
        <v>3161.3</v>
      </c>
      <c r="M67" s="17" t="n">
        <v>3064.53</v>
      </c>
      <c r="N67" s="17" t="n">
        <v>232.975833333333</v>
      </c>
      <c r="O67" s="17" t="n">
        <v>2150.55</v>
      </c>
      <c r="P67" s="17" t="n">
        <v>445.16</v>
      </c>
      <c r="Q67" s="17" t="n">
        <v>161.29</v>
      </c>
      <c r="R67" s="17" t="n">
        <v>16.13</v>
      </c>
      <c r="S67" s="17" t="n">
        <v>2795.71</v>
      </c>
      <c r="T67" s="17" t="n">
        <v>0</v>
      </c>
      <c r="U67" s="17" t="n">
        <v>0</v>
      </c>
      <c r="V67" s="17" t="n">
        <v>0</v>
      </c>
      <c r="W67" s="17" t="n">
        <v>0</v>
      </c>
      <c r="X67" s="17" t="n">
        <v>0</v>
      </c>
      <c r="Y67" s="17" t="n">
        <v>0</v>
      </c>
      <c r="Z67" s="17" t="n">
        <v>0</v>
      </c>
      <c r="AA67" s="17" t="n">
        <v>0</v>
      </c>
      <c r="AB67" s="17" t="n">
        <v>0</v>
      </c>
      <c r="AC67" s="17" t="n">
        <v>0</v>
      </c>
      <c r="AD67" s="17" t="n">
        <v>0</v>
      </c>
      <c r="AE67" s="11" t="s">
        <v>324</v>
      </c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11" t="n">
        <v>54</v>
      </c>
      <c r="B68" s="11" t="s">
        <v>325</v>
      </c>
      <c r="C68" s="11" t="s">
        <v>326</v>
      </c>
      <c r="D68" s="11" t="s">
        <v>348</v>
      </c>
      <c r="E68" s="11" t="s">
        <v>342</v>
      </c>
      <c r="F68" s="11" t="s">
        <v>349</v>
      </c>
      <c r="G68" s="11" t="s">
        <v>6</v>
      </c>
      <c r="H68" s="11" t="s">
        <v>146</v>
      </c>
      <c r="I68" s="11" t="s">
        <v>339</v>
      </c>
      <c r="J68" s="11" t="s">
        <v>340</v>
      </c>
      <c r="K68" s="17" t="n">
        <v>3334.73</v>
      </c>
      <c r="L68" s="17" t="n">
        <v>3268.04</v>
      </c>
      <c r="M68" s="17" t="n">
        <v>3167.99</v>
      </c>
      <c r="N68" s="17" t="n">
        <v>240.841666666667</v>
      </c>
      <c r="O68" s="17" t="n">
        <v>2223.15</v>
      </c>
      <c r="P68" s="17" t="n">
        <v>460.19</v>
      </c>
      <c r="Q68" s="17" t="n">
        <v>166.74</v>
      </c>
      <c r="R68" s="17" t="n">
        <v>16.67</v>
      </c>
      <c r="S68" s="17" t="n">
        <v>2890.1</v>
      </c>
      <c r="T68" s="17" t="n">
        <v>0</v>
      </c>
      <c r="U68" s="17" t="n">
        <v>0</v>
      </c>
      <c r="V68" s="17" t="n">
        <v>0</v>
      </c>
      <c r="W68" s="17" t="n">
        <v>0</v>
      </c>
      <c r="X68" s="17" t="n">
        <v>0</v>
      </c>
      <c r="Y68" s="17" t="n">
        <v>0</v>
      </c>
      <c r="Z68" s="17" t="n">
        <v>0</v>
      </c>
      <c r="AA68" s="17" t="n">
        <v>0</v>
      </c>
      <c r="AB68" s="17" t="n">
        <v>0</v>
      </c>
      <c r="AC68" s="17" t="n">
        <v>0</v>
      </c>
      <c r="AD68" s="17" t="n">
        <v>0</v>
      </c>
      <c r="AE68" s="11" t="s">
        <v>327</v>
      </c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4:AE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0" min="9" style="0" width="12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3" t="s">
        <v>352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15" hidden="false" customHeight="false" outlineLevel="0" collapsed="false">
      <c r="A11" s="35" t="s">
        <v>353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21.75" hidden="false" customHeight="true" outlineLevel="0" collapsed="false">
      <c r="A13" s="16" t="s">
        <v>330</v>
      </c>
      <c r="B13" s="16" t="s">
        <v>354</v>
      </c>
      <c r="C13" s="16" t="s">
        <v>136</v>
      </c>
      <c r="D13" s="16" t="s">
        <v>87</v>
      </c>
      <c r="E13" s="16" t="s">
        <v>43</v>
      </c>
      <c r="F13" s="16" t="s">
        <v>355</v>
      </c>
      <c r="G13" s="16" t="s">
        <v>356</v>
      </c>
      <c r="H13" s="16" t="s">
        <v>357</v>
      </c>
      <c r="I13" s="16" t="s">
        <v>358</v>
      </c>
      <c r="J13" s="16" t="s">
        <v>331</v>
      </c>
      <c r="K13" s="16" t="s">
        <v>359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15" hidden="false" customHeight="false" outlineLevel="0" collapsed="false">
      <c r="A14" s="11" t="n">
        <v>1</v>
      </c>
      <c r="B14" s="11" t="s">
        <v>360</v>
      </c>
      <c r="C14" s="11" t="s">
        <v>268</v>
      </c>
      <c r="D14" s="11" t="s">
        <v>270</v>
      </c>
      <c r="E14" s="11" t="s">
        <v>341</v>
      </c>
      <c r="F14" s="11" t="s">
        <v>361</v>
      </c>
      <c r="G14" s="11" t="s">
        <v>8</v>
      </c>
      <c r="H14" s="11" t="s">
        <v>362</v>
      </c>
      <c r="I14" s="11" t="s">
        <v>363</v>
      </c>
      <c r="J14" s="11" t="s">
        <v>364</v>
      </c>
      <c r="K14" s="11" t="s">
        <v>365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n">
        <v>2</v>
      </c>
      <c r="B15" s="11" t="s">
        <v>360</v>
      </c>
      <c r="C15" s="11" t="s">
        <v>271</v>
      </c>
      <c r="D15" s="11" t="s">
        <v>273</v>
      </c>
      <c r="E15" s="11" t="s">
        <v>341</v>
      </c>
      <c r="F15" s="11" t="s">
        <v>361</v>
      </c>
      <c r="G15" s="11" t="s">
        <v>8</v>
      </c>
      <c r="H15" s="11" t="s">
        <v>362</v>
      </c>
      <c r="I15" s="11" t="s">
        <v>363</v>
      </c>
      <c r="J15" s="11" t="s">
        <v>364</v>
      </c>
      <c r="K15" s="11" t="s">
        <v>366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n">
        <v>3</v>
      </c>
      <c r="B16" s="11" t="s">
        <v>360</v>
      </c>
      <c r="C16" s="11" t="s">
        <v>274</v>
      </c>
      <c r="D16" s="11" t="s">
        <v>276</v>
      </c>
      <c r="E16" s="11" t="s">
        <v>344</v>
      </c>
      <c r="F16" s="11" t="s">
        <v>367</v>
      </c>
      <c r="G16" s="11" t="s">
        <v>8</v>
      </c>
      <c r="H16" s="11" t="s">
        <v>368</v>
      </c>
      <c r="I16" s="11" t="s">
        <v>363</v>
      </c>
      <c r="J16" s="11" t="s">
        <v>364</v>
      </c>
      <c r="K16" s="11" t="s">
        <v>369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n">
        <v>4</v>
      </c>
      <c r="B17" s="11" t="s">
        <v>360</v>
      </c>
      <c r="C17" s="11" t="s">
        <v>277</v>
      </c>
      <c r="D17" s="11" t="s">
        <v>279</v>
      </c>
      <c r="E17" s="11" t="s">
        <v>344</v>
      </c>
      <c r="F17" s="11" t="s">
        <v>370</v>
      </c>
      <c r="G17" s="11" t="s">
        <v>8</v>
      </c>
      <c r="H17" s="11" t="s">
        <v>370</v>
      </c>
      <c r="I17" s="11" t="s">
        <v>363</v>
      </c>
      <c r="J17" s="11" t="s">
        <v>364</v>
      </c>
      <c r="K17" s="11" t="s">
        <v>371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11" t="n">
        <v>5</v>
      </c>
      <c r="B18" s="11" t="s">
        <v>360</v>
      </c>
      <c r="C18" s="11" t="s">
        <v>313</v>
      </c>
      <c r="D18" s="11" t="s">
        <v>315</v>
      </c>
      <c r="E18" s="11" t="s">
        <v>346</v>
      </c>
      <c r="F18" s="11" t="s">
        <v>372</v>
      </c>
      <c r="G18" s="11" t="s">
        <v>8</v>
      </c>
      <c r="H18" s="11" t="s">
        <v>373</v>
      </c>
      <c r="I18" s="11" t="s">
        <v>363</v>
      </c>
      <c r="J18" s="11" t="s">
        <v>364</v>
      </c>
      <c r="K18" s="11" t="s">
        <v>374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11" t="n">
        <v>6</v>
      </c>
      <c r="B19" s="11" t="s">
        <v>360</v>
      </c>
      <c r="C19" s="11" t="s">
        <v>319</v>
      </c>
      <c r="D19" s="11" t="s">
        <v>321</v>
      </c>
      <c r="E19" s="11" t="s">
        <v>341</v>
      </c>
      <c r="F19" s="11" t="s">
        <v>375</v>
      </c>
      <c r="G19" s="11" t="s">
        <v>8</v>
      </c>
      <c r="H19" s="11" t="s">
        <v>362</v>
      </c>
      <c r="I19" s="11" t="s">
        <v>363</v>
      </c>
      <c r="J19" s="11" t="s">
        <v>364</v>
      </c>
      <c r="K19" s="11" t="s">
        <v>376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3:K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0" min="9" style="0" width="12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3" t="s">
        <v>377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35" t="s">
        <v>378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21.75" hidden="false" customHeight="true" outlineLevel="0" collapsed="false">
      <c r="A11" s="16" t="s">
        <v>330</v>
      </c>
      <c r="B11" s="16" t="s">
        <v>354</v>
      </c>
      <c r="C11" s="16" t="s">
        <v>136</v>
      </c>
      <c r="D11" s="16" t="s">
        <v>87</v>
      </c>
      <c r="E11" s="16" t="s">
        <v>43</v>
      </c>
      <c r="F11" s="16" t="s">
        <v>355</v>
      </c>
      <c r="G11" s="16" t="s">
        <v>379</v>
      </c>
      <c r="H11" s="16" t="s">
        <v>357</v>
      </c>
      <c r="I11" s="16" t="s">
        <v>358</v>
      </c>
      <c r="J11" s="16" t="s">
        <v>331</v>
      </c>
      <c r="K11" s="16" t="s">
        <v>359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15" hidden="false" customHeight="false" outlineLevel="0" collapsed="false">
      <c r="A12" s="11" t="n">
        <v>1</v>
      </c>
      <c r="B12" s="11" t="s">
        <v>360</v>
      </c>
      <c r="C12" s="11" t="s">
        <v>280</v>
      </c>
      <c r="D12" s="11" t="s">
        <v>282</v>
      </c>
      <c r="E12" s="11" t="s">
        <v>346</v>
      </c>
      <c r="F12" s="11" t="s">
        <v>367</v>
      </c>
      <c r="G12" s="11" t="s">
        <v>8</v>
      </c>
      <c r="H12" s="11" t="s">
        <v>368</v>
      </c>
      <c r="I12" s="11" t="s">
        <v>363</v>
      </c>
      <c r="J12" s="11" t="s">
        <v>364</v>
      </c>
      <c r="K12" s="11" t="s">
        <v>380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15" hidden="false" customHeight="false" outlineLevel="0" collapsed="false">
      <c r="A13" s="11" t="n">
        <v>2</v>
      </c>
      <c r="B13" s="11" t="s">
        <v>360</v>
      </c>
      <c r="C13" s="11" t="s">
        <v>283</v>
      </c>
      <c r="D13" s="11" t="s">
        <v>285</v>
      </c>
      <c r="E13" s="11" t="s">
        <v>348</v>
      </c>
      <c r="F13" s="11" t="s">
        <v>367</v>
      </c>
      <c r="G13" s="11" t="s">
        <v>8</v>
      </c>
      <c r="H13" s="11" t="s">
        <v>368</v>
      </c>
      <c r="I13" s="11" t="s">
        <v>363</v>
      </c>
      <c r="J13" s="11" t="s">
        <v>364</v>
      </c>
      <c r="K13" s="11" t="s">
        <v>381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15" hidden="false" customHeight="false" outlineLevel="0" collapsed="false">
      <c r="A14" s="11" t="n">
        <v>3</v>
      </c>
      <c r="B14" s="11" t="s">
        <v>360</v>
      </c>
      <c r="C14" s="11" t="s">
        <v>286</v>
      </c>
      <c r="D14" s="11" t="s">
        <v>288</v>
      </c>
      <c r="E14" s="11" t="s">
        <v>344</v>
      </c>
      <c r="F14" s="11" t="s">
        <v>382</v>
      </c>
      <c r="G14" s="11" t="s">
        <v>8</v>
      </c>
      <c r="H14" s="11" t="s">
        <v>383</v>
      </c>
      <c r="I14" s="11" t="s">
        <v>363</v>
      </c>
      <c r="J14" s="11" t="s">
        <v>364</v>
      </c>
      <c r="K14" s="11" t="s">
        <v>384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n">
        <v>4</v>
      </c>
      <c r="B15" s="11" t="s">
        <v>360</v>
      </c>
      <c r="C15" s="11" t="s">
        <v>289</v>
      </c>
      <c r="D15" s="11" t="s">
        <v>291</v>
      </c>
      <c r="E15" s="11" t="s">
        <v>336</v>
      </c>
      <c r="F15" s="11" t="s">
        <v>372</v>
      </c>
      <c r="G15" s="11" t="s">
        <v>8</v>
      </c>
      <c r="H15" s="11" t="s">
        <v>373</v>
      </c>
      <c r="I15" s="11" t="s">
        <v>363</v>
      </c>
      <c r="J15" s="11" t="s">
        <v>364</v>
      </c>
      <c r="K15" s="11" t="s">
        <v>385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n">
        <v>5</v>
      </c>
      <c r="B16" s="11" t="s">
        <v>360</v>
      </c>
      <c r="C16" s="11" t="s">
        <v>310</v>
      </c>
      <c r="D16" s="11" t="s">
        <v>312</v>
      </c>
      <c r="E16" s="11" t="s">
        <v>336</v>
      </c>
      <c r="F16" s="11" t="s">
        <v>372</v>
      </c>
      <c r="G16" s="11" t="s">
        <v>8</v>
      </c>
      <c r="H16" s="11" t="s">
        <v>373</v>
      </c>
      <c r="I16" s="11" t="s">
        <v>363</v>
      </c>
      <c r="J16" s="11" t="s">
        <v>364</v>
      </c>
      <c r="K16" s="11" t="s">
        <v>374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n">
        <v>6</v>
      </c>
      <c r="B17" s="11" t="s">
        <v>360</v>
      </c>
      <c r="C17" s="11" t="s">
        <v>316</v>
      </c>
      <c r="D17" s="11" t="s">
        <v>318</v>
      </c>
      <c r="E17" s="11" t="s">
        <v>344</v>
      </c>
      <c r="F17" s="11" t="s">
        <v>375</v>
      </c>
      <c r="G17" s="11" t="s">
        <v>8</v>
      </c>
      <c r="H17" s="11" t="s">
        <v>362</v>
      </c>
      <c r="I17" s="11" t="s">
        <v>363</v>
      </c>
      <c r="J17" s="11" t="s">
        <v>364</v>
      </c>
      <c r="K17" s="11" t="s">
        <v>376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1:K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09B"/>
    <pageSetUpPr fitToPage="false"/>
  </sheetPr>
  <dimension ref="A1:AS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7"/>
    <col collapsed="false" customWidth="true" hidden="false" outlineLevel="0" max="16" min="16" style="0" width="14"/>
  </cols>
  <sheetData>
    <row r="1" customFormat="false" ht="15" hidden="false" customHeight="false" outlineLevel="0" collapsed="false">
      <c r="A1" s="3" t="s">
        <v>386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customFormat="false" ht="15" hidden="false" customHeight="false" outlineLevel="0" collapsed="false">
      <c r="A10" s="35" t="s">
        <v>387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customFormat="false" ht="21.75" hidden="false" customHeight="true" outlineLevel="0" collapsed="false">
      <c r="A12" s="16" t="s">
        <v>388</v>
      </c>
      <c r="B12" s="16" t="s">
        <v>354</v>
      </c>
      <c r="C12" s="16" t="s">
        <v>389</v>
      </c>
      <c r="D12" s="16" t="s">
        <v>390</v>
      </c>
      <c r="E12" s="16" t="s">
        <v>43</v>
      </c>
      <c r="F12" s="16" t="s">
        <v>331</v>
      </c>
      <c r="G12" s="16" t="s">
        <v>332</v>
      </c>
      <c r="H12" s="16" t="s">
        <v>356</v>
      </c>
      <c r="I12" s="16" t="s">
        <v>391</v>
      </c>
      <c r="J12" s="16" t="s">
        <v>392</v>
      </c>
      <c r="K12" s="16" t="s">
        <v>393</v>
      </c>
      <c r="L12" s="16" t="s">
        <v>355</v>
      </c>
      <c r="M12" s="16" t="s">
        <v>394</v>
      </c>
      <c r="N12" s="16" t="s">
        <v>358</v>
      </c>
      <c r="O12" s="16" t="s">
        <v>395</v>
      </c>
      <c r="P12" s="16" t="s">
        <v>396</v>
      </c>
      <c r="Q12" s="16" t="s">
        <v>397</v>
      </c>
      <c r="R12" s="16" t="s">
        <v>398</v>
      </c>
      <c r="S12" s="16" t="s">
        <v>399</v>
      </c>
      <c r="T12" s="16" t="s">
        <v>400</v>
      </c>
      <c r="U12" s="16" t="s">
        <v>333</v>
      </c>
      <c r="V12" s="16" t="s">
        <v>334</v>
      </c>
      <c r="W12" s="16" t="s">
        <v>401</v>
      </c>
      <c r="X12" s="16" t="s">
        <v>402</v>
      </c>
      <c r="Y12" s="16" t="s">
        <v>403</v>
      </c>
      <c r="Z12" s="16" t="s">
        <v>404</v>
      </c>
      <c r="AA12" s="16" t="s">
        <v>405</v>
      </c>
      <c r="AB12" s="16" t="s">
        <v>406</v>
      </c>
      <c r="AC12" s="16" t="s">
        <v>407</v>
      </c>
      <c r="AD12" s="16" t="s">
        <v>408</v>
      </c>
      <c r="AE12" s="16" t="s">
        <v>409</v>
      </c>
      <c r="AF12" s="16" t="s">
        <v>410</v>
      </c>
      <c r="AG12" s="16" t="s">
        <v>411</v>
      </c>
      <c r="AH12" s="16" t="s">
        <v>118</v>
      </c>
      <c r="AI12" s="16" t="s">
        <v>357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customFormat="false" ht="15" hidden="false" customHeight="false" outlineLevel="0" collapsed="false">
      <c r="A13" s="11" t="n">
        <v>1</v>
      </c>
      <c r="B13" s="11" t="s">
        <v>360</v>
      </c>
      <c r="C13" s="11" t="s">
        <v>144</v>
      </c>
      <c r="D13" s="11" t="s">
        <v>143</v>
      </c>
      <c r="E13" s="11" t="s">
        <v>336</v>
      </c>
      <c r="F13" s="11" t="s">
        <v>337</v>
      </c>
      <c r="G13" s="11" t="s">
        <v>338</v>
      </c>
      <c r="H13" s="11" t="s">
        <v>412</v>
      </c>
      <c r="I13" s="11"/>
      <c r="J13" s="11" t="s">
        <v>413</v>
      </c>
      <c r="K13" s="11" t="n">
        <v>37.5</v>
      </c>
      <c r="L13" s="11" t="s">
        <v>414</v>
      </c>
      <c r="M13" s="11" t="s">
        <v>415</v>
      </c>
      <c r="N13" s="11" t="s">
        <v>363</v>
      </c>
      <c r="O13" s="11" t="n">
        <v>1</v>
      </c>
      <c r="P13" s="11" t="s">
        <v>145</v>
      </c>
      <c r="Q13" s="11" t="s">
        <v>364</v>
      </c>
      <c r="R13" s="11" t="s">
        <v>364</v>
      </c>
      <c r="S13" s="11" t="s">
        <v>364</v>
      </c>
      <c r="T13" s="11" t="s">
        <v>364</v>
      </c>
      <c r="U13" s="11" t="s">
        <v>364</v>
      </c>
      <c r="V13" s="11" t="s">
        <v>364</v>
      </c>
      <c r="W13" s="11" t="s">
        <v>364</v>
      </c>
      <c r="X13" s="11" t="s">
        <v>364</v>
      </c>
      <c r="Y13" s="11" t="s">
        <v>364</v>
      </c>
      <c r="Z13" s="11" t="s">
        <v>364</v>
      </c>
      <c r="AA13" s="11" t="s">
        <v>364</v>
      </c>
      <c r="AB13" s="11" t="s">
        <v>364</v>
      </c>
      <c r="AC13" s="11" t="s">
        <v>364</v>
      </c>
      <c r="AD13" s="11" t="s">
        <v>364</v>
      </c>
      <c r="AE13" s="11" t="s">
        <v>364</v>
      </c>
      <c r="AF13" s="11" t="s">
        <v>364</v>
      </c>
      <c r="AG13" s="11" t="s">
        <v>364</v>
      </c>
      <c r="AH13" s="11" t="s">
        <v>364</v>
      </c>
      <c r="AI13" s="11" t="s">
        <v>368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customFormat="false" ht="15" hidden="false" customHeight="false" outlineLevel="0" collapsed="false">
      <c r="A14" s="11" t="n">
        <v>2</v>
      </c>
      <c r="B14" s="11" t="s">
        <v>360</v>
      </c>
      <c r="C14" s="11" t="s">
        <v>149</v>
      </c>
      <c r="D14" s="11" t="s">
        <v>148</v>
      </c>
      <c r="E14" s="11" t="s">
        <v>341</v>
      </c>
      <c r="F14" s="11" t="s">
        <v>342</v>
      </c>
      <c r="G14" s="11" t="s">
        <v>343</v>
      </c>
      <c r="H14" s="11" t="s">
        <v>412</v>
      </c>
      <c r="I14" s="11"/>
      <c r="J14" s="11" t="s">
        <v>413</v>
      </c>
      <c r="K14" s="11" t="n">
        <v>37.5</v>
      </c>
      <c r="L14" s="11" t="s">
        <v>361</v>
      </c>
      <c r="M14" s="11" t="s">
        <v>415</v>
      </c>
      <c r="N14" s="11" t="s">
        <v>363</v>
      </c>
      <c r="O14" s="11" t="n">
        <v>1</v>
      </c>
      <c r="P14" s="11" t="s">
        <v>150</v>
      </c>
      <c r="Q14" s="11" t="s">
        <v>364</v>
      </c>
      <c r="R14" s="11" t="s">
        <v>364</v>
      </c>
      <c r="S14" s="11" t="s">
        <v>364</v>
      </c>
      <c r="T14" s="11" t="s">
        <v>364</v>
      </c>
      <c r="U14" s="11" t="s">
        <v>364</v>
      </c>
      <c r="V14" s="11" t="s">
        <v>364</v>
      </c>
      <c r="W14" s="11" t="s">
        <v>364</v>
      </c>
      <c r="X14" s="11" t="s">
        <v>364</v>
      </c>
      <c r="Y14" s="11" t="s">
        <v>364</v>
      </c>
      <c r="Z14" s="11" t="s">
        <v>364</v>
      </c>
      <c r="AA14" s="11" t="s">
        <v>364</v>
      </c>
      <c r="AB14" s="11" t="s">
        <v>364</v>
      </c>
      <c r="AC14" s="11" t="s">
        <v>364</v>
      </c>
      <c r="AD14" s="11" t="s">
        <v>364</v>
      </c>
      <c r="AE14" s="11" t="s">
        <v>364</v>
      </c>
      <c r="AF14" s="11" t="s">
        <v>364</v>
      </c>
      <c r="AG14" s="11" t="s">
        <v>364</v>
      </c>
      <c r="AH14" s="11" t="s">
        <v>364</v>
      </c>
      <c r="AI14" s="11" t="s">
        <v>362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customFormat="false" ht="15" hidden="false" customHeight="false" outlineLevel="0" collapsed="false">
      <c r="A15" s="11" t="n">
        <v>3</v>
      </c>
      <c r="B15" s="11" t="s">
        <v>360</v>
      </c>
      <c r="C15" s="11" t="s">
        <v>153</v>
      </c>
      <c r="D15" s="11" t="s">
        <v>152</v>
      </c>
      <c r="E15" s="11" t="s">
        <v>344</v>
      </c>
      <c r="F15" s="11" t="s">
        <v>337</v>
      </c>
      <c r="G15" s="11" t="s">
        <v>345</v>
      </c>
      <c r="H15" s="11" t="s">
        <v>412</v>
      </c>
      <c r="I15" s="11"/>
      <c r="J15" s="11" t="s">
        <v>413</v>
      </c>
      <c r="K15" s="11" t="n">
        <v>37.5</v>
      </c>
      <c r="L15" s="11" t="s">
        <v>416</v>
      </c>
      <c r="M15" s="11" t="s">
        <v>415</v>
      </c>
      <c r="N15" s="11" t="s">
        <v>363</v>
      </c>
      <c r="O15" s="11" t="n">
        <v>1</v>
      </c>
      <c r="P15" s="11" t="s">
        <v>154</v>
      </c>
      <c r="Q15" s="11" t="s">
        <v>364</v>
      </c>
      <c r="R15" s="11" t="s">
        <v>364</v>
      </c>
      <c r="S15" s="11" t="s">
        <v>364</v>
      </c>
      <c r="T15" s="11" t="s">
        <v>364</v>
      </c>
      <c r="U15" s="11" t="s">
        <v>364</v>
      </c>
      <c r="V15" s="11" t="s">
        <v>364</v>
      </c>
      <c r="W15" s="11" t="s">
        <v>364</v>
      </c>
      <c r="X15" s="11" t="s">
        <v>364</v>
      </c>
      <c r="Y15" s="11" t="s">
        <v>364</v>
      </c>
      <c r="Z15" s="11" t="s">
        <v>364</v>
      </c>
      <c r="AA15" s="11" t="s">
        <v>364</v>
      </c>
      <c r="AB15" s="11" t="s">
        <v>364</v>
      </c>
      <c r="AC15" s="11" t="s">
        <v>364</v>
      </c>
      <c r="AD15" s="11" t="s">
        <v>364</v>
      </c>
      <c r="AE15" s="11" t="s">
        <v>364</v>
      </c>
      <c r="AF15" s="11" t="s">
        <v>364</v>
      </c>
      <c r="AG15" s="11" t="s">
        <v>364</v>
      </c>
      <c r="AH15" s="11" t="s">
        <v>364</v>
      </c>
      <c r="AI15" s="11" t="s">
        <v>368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customFormat="false" ht="15" hidden="false" customHeight="false" outlineLevel="0" collapsed="false">
      <c r="A16" s="11" t="n">
        <v>4</v>
      </c>
      <c r="B16" s="11" t="s">
        <v>360</v>
      </c>
      <c r="C16" s="11" t="s">
        <v>157</v>
      </c>
      <c r="D16" s="11" t="s">
        <v>156</v>
      </c>
      <c r="E16" s="11" t="s">
        <v>346</v>
      </c>
      <c r="F16" s="11" t="s">
        <v>337</v>
      </c>
      <c r="G16" s="11" t="s">
        <v>347</v>
      </c>
      <c r="H16" s="11" t="s">
        <v>412</v>
      </c>
      <c r="I16" s="11"/>
      <c r="J16" s="11" t="s">
        <v>413</v>
      </c>
      <c r="K16" s="11" t="n">
        <v>37.5</v>
      </c>
      <c r="L16" s="11" t="s">
        <v>414</v>
      </c>
      <c r="M16" s="11" t="s">
        <v>415</v>
      </c>
      <c r="N16" s="11" t="s">
        <v>363</v>
      </c>
      <c r="O16" s="11" t="n">
        <v>1</v>
      </c>
      <c r="P16" s="11" t="s">
        <v>158</v>
      </c>
      <c r="Q16" s="11" t="s">
        <v>364</v>
      </c>
      <c r="R16" s="11" t="s">
        <v>364</v>
      </c>
      <c r="S16" s="11" t="s">
        <v>364</v>
      </c>
      <c r="T16" s="11" t="s">
        <v>364</v>
      </c>
      <c r="U16" s="11" t="s">
        <v>364</v>
      </c>
      <c r="V16" s="11" t="s">
        <v>364</v>
      </c>
      <c r="W16" s="11" t="s">
        <v>364</v>
      </c>
      <c r="X16" s="11" t="s">
        <v>364</v>
      </c>
      <c r="Y16" s="11" t="s">
        <v>364</v>
      </c>
      <c r="Z16" s="11" t="s">
        <v>364</v>
      </c>
      <c r="AA16" s="11" t="s">
        <v>364</v>
      </c>
      <c r="AB16" s="11" t="s">
        <v>364</v>
      </c>
      <c r="AC16" s="11" t="s">
        <v>364</v>
      </c>
      <c r="AD16" s="11" t="s">
        <v>364</v>
      </c>
      <c r="AE16" s="11" t="s">
        <v>364</v>
      </c>
      <c r="AF16" s="11" t="s">
        <v>364</v>
      </c>
      <c r="AG16" s="11" t="s">
        <v>364</v>
      </c>
      <c r="AH16" s="11" t="s">
        <v>364</v>
      </c>
      <c r="AI16" s="11" t="s">
        <v>368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customFormat="false" ht="15" hidden="false" customHeight="false" outlineLevel="0" collapsed="false">
      <c r="A17" s="11" t="n">
        <v>5</v>
      </c>
      <c r="B17" s="11" t="s">
        <v>360</v>
      </c>
      <c r="C17" s="11" t="s">
        <v>160</v>
      </c>
      <c r="D17" s="11" t="s">
        <v>159</v>
      </c>
      <c r="E17" s="11" t="s">
        <v>346</v>
      </c>
      <c r="F17" s="11" t="s">
        <v>337</v>
      </c>
      <c r="G17" s="11" t="s">
        <v>347</v>
      </c>
      <c r="H17" s="11" t="s">
        <v>412</v>
      </c>
      <c r="I17" s="11"/>
      <c r="J17" s="11" t="s">
        <v>413</v>
      </c>
      <c r="K17" s="11" t="n">
        <v>37.5</v>
      </c>
      <c r="L17" s="11" t="s">
        <v>417</v>
      </c>
      <c r="M17" s="11" t="s">
        <v>415</v>
      </c>
      <c r="N17" s="11" t="s">
        <v>363</v>
      </c>
      <c r="O17" s="11" t="n">
        <v>1</v>
      </c>
      <c r="P17" s="11" t="s">
        <v>161</v>
      </c>
      <c r="Q17" s="11" t="s">
        <v>364</v>
      </c>
      <c r="R17" s="11" t="s">
        <v>364</v>
      </c>
      <c r="S17" s="11" t="s">
        <v>364</v>
      </c>
      <c r="T17" s="11" t="s">
        <v>364</v>
      </c>
      <c r="U17" s="11" t="s">
        <v>364</v>
      </c>
      <c r="V17" s="11" t="s">
        <v>364</v>
      </c>
      <c r="W17" s="11" t="s">
        <v>364</v>
      </c>
      <c r="X17" s="11" t="s">
        <v>364</v>
      </c>
      <c r="Y17" s="11" t="s">
        <v>364</v>
      </c>
      <c r="Z17" s="11" t="s">
        <v>364</v>
      </c>
      <c r="AA17" s="11" t="s">
        <v>364</v>
      </c>
      <c r="AB17" s="11" t="s">
        <v>364</v>
      </c>
      <c r="AC17" s="11" t="s">
        <v>364</v>
      </c>
      <c r="AD17" s="11" t="s">
        <v>364</v>
      </c>
      <c r="AE17" s="11" t="s">
        <v>364</v>
      </c>
      <c r="AF17" s="11" t="s">
        <v>364</v>
      </c>
      <c r="AG17" s="11" t="s">
        <v>364</v>
      </c>
      <c r="AH17" s="11" t="s">
        <v>364</v>
      </c>
      <c r="AI17" s="11" t="s">
        <v>368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customFormat="false" ht="15" hidden="false" customHeight="false" outlineLevel="0" collapsed="false">
      <c r="A18" s="11" t="n">
        <v>6</v>
      </c>
      <c r="B18" s="11" t="s">
        <v>360</v>
      </c>
      <c r="C18" s="11" t="s">
        <v>163</v>
      </c>
      <c r="D18" s="11" t="s">
        <v>162</v>
      </c>
      <c r="E18" s="11" t="s">
        <v>336</v>
      </c>
      <c r="F18" s="11" t="s">
        <v>337</v>
      </c>
      <c r="G18" s="11" t="s">
        <v>338</v>
      </c>
      <c r="H18" s="11" t="s">
        <v>412</v>
      </c>
      <c r="I18" s="11"/>
      <c r="J18" s="11" t="s">
        <v>413</v>
      </c>
      <c r="K18" s="11" t="n">
        <v>37.5</v>
      </c>
      <c r="L18" s="11" t="s">
        <v>414</v>
      </c>
      <c r="M18" s="11" t="s">
        <v>415</v>
      </c>
      <c r="N18" s="11" t="s">
        <v>363</v>
      </c>
      <c r="O18" s="11" t="n">
        <v>1</v>
      </c>
      <c r="P18" s="11" t="s">
        <v>164</v>
      </c>
      <c r="Q18" s="11" t="s">
        <v>364</v>
      </c>
      <c r="R18" s="11" t="s">
        <v>364</v>
      </c>
      <c r="S18" s="11" t="s">
        <v>364</v>
      </c>
      <c r="T18" s="11" t="s">
        <v>364</v>
      </c>
      <c r="U18" s="11" t="s">
        <v>364</v>
      </c>
      <c r="V18" s="11" t="s">
        <v>364</v>
      </c>
      <c r="W18" s="11" t="s">
        <v>364</v>
      </c>
      <c r="X18" s="11" t="s">
        <v>364</v>
      </c>
      <c r="Y18" s="11" t="s">
        <v>364</v>
      </c>
      <c r="Z18" s="11" t="s">
        <v>364</v>
      </c>
      <c r="AA18" s="11" t="s">
        <v>364</v>
      </c>
      <c r="AB18" s="11" t="s">
        <v>364</v>
      </c>
      <c r="AC18" s="11" t="s">
        <v>364</v>
      </c>
      <c r="AD18" s="11" t="s">
        <v>364</v>
      </c>
      <c r="AE18" s="11" t="s">
        <v>364</v>
      </c>
      <c r="AF18" s="11" t="s">
        <v>364</v>
      </c>
      <c r="AG18" s="11" t="s">
        <v>364</v>
      </c>
      <c r="AH18" s="11" t="s">
        <v>364</v>
      </c>
      <c r="AI18" s="11" t="s">
        <v>368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customFormat="false" ht="15" hidden="false" customHeight="false" outlineLevel="0" collapsed="false">
      <c r="A19" s="11" t="n">
        <v>7</v>
      </c>
      <c r="B19" s="11" t="s">
        <v>360</v>
      </c>
      <c r="C19" s="11" t="s">
        <v>166</v>
      </c>
      <c r="D19" s="11" t="s">
        <v>165</v>
      </c>
      <c r="E19" s="11" t="s">
        <v>346</v>
      </c>
      <c r="F19" s="11" t="s">
        <v>342</v>
      </c>
      <c r="G19" s="11" t="s">
        <v>347</v>
      </c>
      <c r="H19" s="11" t="s">
        <v>412</v>
      </c>
      <c r="I19" s="11"/>
      <c r="J19" s="11" t="s">
        <v>413</v>
      </c>
      <c r="K19" s="11" t="n">
        <v>37.5</v>
      </c>
      <c r="L19" s="11" t="s">
        <v>418</v>
      </c>
      <c r="M19" s="11" t="s">
        <v>415</v>
      </c>
      <c r="N19" s="11" t="s">
        <v>363</v>
      </c>
      <c r="O19" s="11" t="n">
        <v>1</v>
      </c>
      <c r="P19" s="11" t="s">
        <v>167</v>
      </c>
      <c r="Q19" s="11" t="s">
        <v>364</v>
      </c>
      <c r="R19" s="11" t="s">
        <v>364</v>
      </c>
      <c r="S19" s="11" t="s">
        <v>364</v>
      </c>
      <c r="T19" s="11" t="s">
        <v>364</v>
      </c>
      <c r="U19" s="11" t="s">
        <v>364</v>
      </c>
      <c r="V19" s="11" t="s">
        <v>364</v>
      </c>
      <c r="W19" s="11" t="s">
        <v>364</v>
      </c>
      <c r="X19" s="11" t="s">
        <v>364</v>
      </c>
      <c r="Y19" s="11" t="s">
        <v>364</v>
      </c>
      <c r="Z19" s="11" t="s">
        <v>364</v>
      </c>
      <c r="AA19" s="11" t="s">
        <v>364</v>
      </c>
      <c r="AB19" s="11" t="s">
        <v>364</v>
      </c>
      <c r="AC19" s="11" t="s">
        <v>364</v>
      </c>
      <c r="AD19" s="11" t="s">
        <v>364</v>
      </c>
      <c r="AE19" s="11" t="s">
        <v>364</v>
      </c>
      <c r="AF19" s="11" t="s">
        <v>364</v>
      </c>
      <c r="AG19" s="11" t="s">
        <v>364</v>
      </c>
      <c r="AH19" s="11" t="s">
        <v>364</v>
      </c>
      <c r="AI19" s="11" t="s">
        <v>373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customFormat="false" ht="15" hidden="false" customHeight="false" outlineLevel="0" collapsed="false">
      <c r="A20" s="11" t="n">
        <v>8</v>
      </c>
      <c r="B20" s="11" t="s">
        <v>360</v>
      </c>
      <c r="C20" s="11" t="s">
        <v>169</v>
      </c>
      <c r="D20" s="11" t="s">
        <v>168</v>
      </c>
      <c r="E20" s="11" t="s">
        <v>341</v>
      </c>
      <c r="F20" s="11" t="s">
        <v>342</v>
      </c>
      <c r="G20" s="11" t="s">
        <v>343</v>
      </c>
      <c r="H20" s="11" t="s">
        <v>412</v>
      </c>
      <c r="I20" s="11"/>
      <c r="J20" s="11" t="s">
        <v>413</v>
      </c>
      <c r="K20" s="11" t="n">
        <v>37.5</v>
      </c>
      <c r="L20" s="11" t="s">
        <v>375</v>
      </c>
      <c r="M20" s="11" t="s">
        <v>415</v>
      </c>
      <c r="N20" s="11" t="s">
        <v>363</v>
      </c>
      <c r="O20" s="11" t="n">
        <v>1</v>
      </c>
      <c r="P20" s="11" t="s">
        <v>170</v>
      </c>
      <c r="Q20" s="11" t="s">
        <v>364</v>
      </c>
      <c r="R20" s="11" t="s">
        <v>364</v>
      </c>
      <c r="S20" s="11" t="s">
        <v>364</v>
      </c>
      <c r="T20" s="11" t="s">
        <v>364</v>
      </c>
      <c r="U20" s="11" t="s">
        <v>364</v>
      </c>
      <c r="V20" s="11" t="s">
        <v>364</v>
      </c>
      <c r="W20" s="11" t="s">
        <v>364</v>
      </c>
      <c r="X20" s="11" t="s">
        <v>364</v>
      </c>
      <c r="Y20" s="11" t="s">
        <v>364</v>
      </c>
      <c r="Z20" s="11" t="s">
        <v>364</v>
      </c>
      <c r="AA20" s="11" t="s">
        <v>364</v>
      </c>
      <c r="AB20" s="11" t="s">
        <v>364</v>
      </c>
      <c r="AC20" s="11" t="s">
        <v>364</v>
      </c>
      <c r="AD20" s="11" t="s">
        <v>364</v>
      </c>
      <c r="AE20" s="11" t="s">
        <v>364</v>
      </c>
      <c r="AF20" s="11" t="s">
        <v>364</v>
      </c>
      <c r="AG20" s="11" t="s">
        <v>364</v>
      </c>
      <c r="AH20" s="11" t="s">
        <v>364</v>
      </c>
      <c r="AI20" s="11" t="s">
        <v>362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customFormat="false" ht="15" hidden="false" customHeight="false" outlineLevel="0" collapsed="false">
      <c r="A21" s="11" t="n">
        <v>9</v>
      </c>
      <c r="B21" s="11" t="s">
        <v>360</v>
      </c>
      <c r="C21" s="11" t="s">
        <v>172</v>
      </c>
      <c r="D21" s="11" t="s">
        <v>171</v>
      </c>
      <c r="E21" s="11" t="s">
        <v>344</v>
      </c>
      <c r="F21" s="11" t="s">
        <v>342</v>
      </c>
      <c r="G21" s="11" t="s">
        <v>345</v>
      </c>
      <c r="H21" s="11" t="s">
        <v>412</v>
      </c>
      <c r="I21" s="11"/>
      <c r="J21" s="11" t="s">
        <v>413</v>
      </c>
      <c r="K21" s="11" t="n">
        <v>37.5</v>
      </c>
      <c r="L21" s="11" t="s">
        <v>419</v>
      </c>
      <c r="M21" s="11" t="s">
        <v>415</v>
      </c>
      <c r="N21" s="11" t="s">
        <v>363</v>
      </c>
      <c r="O21" s="11" t="n">
        <v>1</v>
      </c>
      <c r="P21" s="11" t="s">
        <v>173</v>
      </c>
      <c r="Q21" s="11" t="s">
        <v>364</v>
      </c>
      <c r="R21" s="11" t="s">
        <v>364</v>
      </c>
      <c r="S21" s="11" t="s">
        <v>364</v>
      </c>
      <c r="T21" s="11" t="s">
        <v>364</v>
      </c>
      <c r="U21" s="11" t="s">
        <v>364</v>
      </c>
      <c r="V21" s="11" t="s">
        <v>364</v>
      </c>
      <c r="W21" s="11" t="s">
        <v>364</v>
      </c>
      <c r="X21" s="11" t="s">
        <v>364</v>
      </c>
      <c r="Y21" s="11" t="s">
        <v>364</v>
      </c>
      <c r="Z21" s="11" t="s">
        <v>364</v>
      </c>
      <c r="AA21" s="11" t="s">
        <v>364</v>
      </c>
      <c r="AB21" s="11" t="s">
        <v>364</v>
      </c>
      <c r="AC21" s="11" t="s">
        <v>364</v>
      </c>
      <c r="AD21" s="11" t="s">
        <v>364</v>
      </c>
      <c r="AE21" s="11" t="s">
        <v>364</v>
      </c>
      <c r="AF21" s="11" t="s">
        <v>364</v>
      </c>
      <c r="AG21" s="11" t="s">
        <v>364</v>
      </c>
      <c r="AH21" s="11" t="s">
        <v>364</v>
      </c>
      <c r="AI21" s="11" t="s">
        <v>373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customFormat="false" ht="15" hidden="false" customHeight="false" outlineLevel="0" collapsed="false">
      <c r="A22" s="11" t="n">
        <v>10</v>
      </c>
      <c r="B22" s="11" t="s">
        <v>360</v>
      </c>
      <c r="C22" s="11" t="s">
        <v>176</v>
      </c>
      <c r="D22" s="11" t="s">
        <v>175</v>
      </c>
      <c r="E22" s="11" t="s">
        <v>348</v>
      </c>
      <c r="F22" s="11" t="s">
        <v>342</v>
      </c>
      <c r="G22" s="11" t="s">
        <v>349</v>
      </c>
      <c r="H22" s="11" t="s">
        <v>412</v>
      </c>
      <c r="I22" s="11"/>
      <c r="J22" s="11" t="s">
        <v>413</v>
      </c>
      <c r="K22" s="11" t="n">
        <v>37.5</v>
      </c>
      <c r="L22" s="11" t="s">
        <v>418</v>
      </c>
      <c r="M22" s="11" t="s">
        <v>415</v>
      </c>
      <c r="N22" s="11" t="s">
        <v>363</v>
      </c>
      <c r="O22" s="11" t="n">
        <v>1</v>
      </c>
      <c r="P22" s="11" t="s">
        <v>177</v>
      </c>
      <c r="Q22" s="11" t="s">
        <v>364</v>
      </c>
      <c r="R22" s="11" t="s">
        <v>364</v>
      </c>
      <c r="S22" s="11" t="s">
        <v>364</v>
      </c>
      <c r="T22" s="11" t="s">
        <v>364</v>
      </c>
      <c r="U22" s="11" t="s">
        <v>364</v>
      </c>
      <c r="V22" s="11" t="s">
        <v>364</v>
      </c>
      <c r="W22" s="11" t="s">
        <v>364</v>
      </c>
      <c r="X22" s="11" t="s">
        <v>364</v>
      </c>
      <c r="Y22" s="11" t="s">
        <v>364</v>
      </c>
      <c r="Z22" s="11" t="s">
        <v>364</v>
      </c>
      <c r="AA22" s="11" t="s">
        <v>364</v>
      </c>
      <c r="AB22" s="11" t="s">
        <v>364</v>
      </c>
      <c r="AC22" s="11" t="s">
        <v>364</v>
      </c>
      <c r="AD22" s="11" t="s">
        <v>364</v>
      </c>
      <c r="AE22" s="11" t="s">
        <v>364</v>
      </c>
      <c r="AF22" s="11" t="s">
        <v>364</v>
      </c>
      <c r="AG22" s="11" t="s">
        <v>364</v>
      </c>
      <c r="AH22" s="11" t="s">
        <v>364</v>
      </c>
      <c r="AI22" s="11" t="s">
        <v>373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customFormat="false" ht="15" hidden="false" customHeight="false" outlineLevel="0" collapsed="false">
      <c r="A23" s="11" t="n">
        <v>11</v>
      </c>
      <c r="B23" s="11" t="s">
        <v>360</v>
      </c>
      <c r="C23" s="11" t="s">
        <v>179</v>
      </c>
      <c r="D23" s="11" t="s">
        <v>178</v>
      </c>
      <c r="E23" s="11" t="s">
        <v>348</v>
      </c>
      <c r="F23" s="11" t="s">
        <v>342</v>
      </c>
      <c r="G23" s="11" t="s">
        <v>349</v>
      </c>
      <c r="H23" s="11" t="s">
        <v>412</v>
      </c>
      <c r="I23" s="11"/>
      <c r="J23" s="11" t="s">
        <v>413</v>
      </c>
      <c r="K23" s="11" t="n">
        <v>37.5</v>
      </c>
      <c r="L23" s="11" t="s">
        <v>372</v>
      </c>
      <c r="M23" s="11" t="s">
        <v>415</v>
      </c>
      <c r="N23" s="11" t="s">
        <v>363</v>
      </c>
      <c r="O23" s="11" t="n">
        <v>1</v>
      </c>
      <c r="P23" s="11" t="s">
        <v>180</v>
      </c>
      <c r="Q23" s="11" t="s">
        <v>364</v>
      </c>
      <c r="R23" s="11" t="s">
        <v>364</v>
      </c>
      <c r="S23" s="11" t="s">
        <v>364</v>
      </c>
      <c r="T23" s="11" t="s">
        <v>364</v>
      </c>
      <c r="U23" s="11" t="s">
        <v>364</v>
      </c>
      <c r="V23" s="11" t="s">
        <v>364</v>
      </c>
      <c r="W23" s="11" t="s">
        <v>364</v>
      </c>
      <c r="X23" s="11" t="s">
        <v>364</v>
      </c>
      <c r="Y23" s="11" t="s">
        <v>364</v>
      </c>
      <c r="Z23" s="11" t="s">
        <v>364</v>
      </c>
      <c r="AA23" s="11" t="s">
        <v>364</v>
      </c>
      <c r="AB23" s="11" t="s">
        <v>364</v>
      </c>
      <c r="AC23" s="11" t="s">
        <v>364</v>
      </c>
      <c r="AD23" s="11" t="s">
        <v>364</v>
      </c>
      <c r="AE23" s="11" t="s">
        <v>364</v>
      </c>
      <c r="AF23" s="11" t="s">
        <v>364</v>
      </c>
      <c r="AG23" s="11" t="s">
        <v>364</v>
      </c>
      <c r="AH23" s="11" t="s">
        <v>364</v>
      </c>
      <c r="AI23" s="11" t="s">
        <v>373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customFormat="false" ht="15" hidden="false" customHeight="false" outlineLevel="0" collapsed="false">
      <c r="A24" s="11" t="n">
        <v>12</v>
      </c>
      <c r="B24" s="11" t="s">
        <v>360</v>
      </c>
      <c r="C24" s="11" t="s">
        <v>182</v>
      </c>
      <c r="D24" s="11" t="s">
        <v>181</v>
      </c>
      <c r="E24" s="11" t="s">
        <v>341</v>
      </c>
      <c r="F24" s="11" t="s">
        <v>342</v>
      </c>
      <c r="G24" s="11" t="s">
        <v>343</v>
      </c>
      <c r="H24" s="11" t="s">
        <v>412</v>
      </c>
      <c r="I24" s="11"/>
      <c r="J24" s="11" t="s">
        <v>413</v>
      </c>
      <c r="K24" s="11" t="n">
        <v>37.5</v>
      </c>
      <c r="L24" s="11" t="s">
        <v>420</v>
      </c>
      <c r="M24" s="11" t="s">
        <v>415</v>
      </c>
      <c r="N24" s="11" t="s">
        <v>363</v>
      </c>
      <c r="O24" s="11" t="n">
        <v>1</v>
      </c>
      <c r="P24" s="11" t="s">
        <v>183</v>
      </c>
      <c r="Q24" s="11" t="s">
        <v>364</v>
      </c>
      <c r="R24" s="11" t="s">
        <v>364</v>
      </c>
      <c r="S24" s="11" t="s">
        <v>364</v>
      </c>
      <c r="T24" s="11" t="s">
        <v>364</v>
      </c>
      <c r="U24" s="11" t="s">
        <v>364</v>
      </c>
      <c r="V24" s="11" t="s">
        <v>364</v>
      </c>
      <c r="W24" s="11" t="s">
        <v>364</v>
      </c>
      <c r="X24" s="11" t="s">
        <v>364</v>
      </c>
      <c r="Y24" s="11" t="s">
        <v>364</v>
      </c>
      <c r="Z24" s="11" t="s">
        <v>364</v>
      </c>
      <c r="AA24" s="11" t="s">
        <v>364</v>
      </c>
      <c r="AB24" s="11" t="s">
        <v>364</v>
      </c>
      <c r="AC24" s="11" t="s">
        <v>364</v>
      </c>
      <c r="AD24" s="11" t="s">
        <v>364</v>
      </c>
      <c r="AE24" s="11" t="s">
        <v>364</v>
      </c>
      <c r="AF24" s="11" t="s">
        <v>364</v>
      </c>
      <c r="AG24" s="11" t="s">
        <v>364</v>
      </c>
      <c r="AH24" s="11" t="s">
        <v>364</v>
      </c>
      <c r="AI24" s="11" t="s">
        <v>362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customFormat="false" ht="15" hidden="false" customHeight="false" outlineLevel="0" collapsed="false">
      <c r="A25" s="11" t="n">
        <v>13</v>
      </c>
      <c r="B25" s="11" t="s">
        <v>360</v>
      </c>
      <c r="C25" s="11" t="s">
        <v>185</v>
      </c>
      <c r="D25" s="11" t="s">
        <v>184</v>
      </c>
      <c r="E25" s="11" t="s">
        <v>341</v>
      </c>
      <c r="F25" s="11" t="s">
        <v>342</v>
      </c>
      <c r="G25" s="11" t="s">
        <v>343</v>
      </c>
      <c r="H25" s="11" t="s">
        <v>412</v>
      </c>
      <c r="I25" s="11"/>
      <c r="J25" s="11" t="s">
        <v>413</v>
      </c>
      <c r="K25" s="11" t="n">
        <v>37.5</v>
      </c>
      <c r="L25" s="11" t="s">
        <v>420</v>
      </c>
      <c r="M25" s="11" t="s">
        <v>415</v>
      </c>
      <c r="N25" s="11" t="s">
        <v>363</v>
      </c>
      <c r="O25" s="11" t="n">
        <v>1</v>
      </c>
      <c r="P25" s="11" t="s">
        <v>186</v>
      </c>
      <c r="Q25" s="11" t="s">
        <v>364</v>
      </c>
      <c r="R25" s="11" t="s">
        <v>364</v>
      </c>
      <c r="S25" s="11" t="s">
        <v>364</v>
      </c>
      <c r="T25" s="11" t="s">
        <v>364</v>
      </c>
      <c r="U25" s="11" t="s">
        <v>364</v>
      </c>
      <c r="V25" s="11" t="s">
        <v>364</v>
      </c>
      <c r="W25" s="11" t="s">
        <v>364</v>
      </c>
      <c r="X25" s="11" t="s">
        <v>364</v>
      </c>
      <c r="Y25" s="11" t="s">
        <v>364</v>
      </c>
      <c r="Z25" s="11" t="s">
        <v>364</v>
      </c>
      <c r="AA25" s="11" t="s">
        <v>364</v>
      </c>
      <c r="AB25" s="11" t="s">
        <v>364</v>
      </c>
      <c r="AC25" s="11" t="s">
        <v>364</v>
      </c>
      <c r="AD25" s="11" t="s">
        <v>364</v>
      </c>
      <c r="AE25" s="11" t="s">
        <v>364</v>
      </c>
      <c r="AF25" s="11" t="s">
        <v>364</v>
      </c>
      <c r="AG25" s="11" t="s">
        <v>364</v>
      </c>
      <c r="AH25" s="11" t="s">
        <v>364</v>
      </c>
      <c r="AI25" s="11" t="s">
        <v>362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customFormat="false" ht="15" hidden="false" customHeight="false" outlineLevel="0" collapsed="false">
      <c r="A26" s="11" t="n">
        <v>14</v>
      </c>
      <c r="B26" s="11" t="s">
        <v>360</v>
      </c>
      <c r="C26" s="11" t="s">
        <v>188</v>
      </c>
      <c r="D26" s="11" t="s">
        <v>187</v>
      </c>
      <c r="E26" s="11" t="s">
        <v>344</v>
      </c>
      <c r="F26" s="11" t="s">
        <v>342</v>
      </c>
      <c r="G26" s="11" t="s">
        <v>345</v>
      </c>
      <c r="H26" s="11" t="s">
        <v>412</v>
      </c>
      <c r="I26" s="11"/>
      <c r="J26" s="11" t="s">
        <v>413</v>
      </c>
      <c r="K26" s="11" t="n">
        <v>37.5</v>
      </c>
      <c r="L26" s="11" t="s">
        <v>421</v>
      </c>
      <c r="M26" s="11" t="s">
        <v>415</v>
      </c>
      <c r="N26" s="11" t="s">
        <v>363</v>
      </c>
      <c r="O26" s="11" t="n">
        <v>1</v>
      </c>
      <c r="P26" s="11" t="s">
        <v>189</v>
      </c>
      <c r="Q26" s="11" t="s">
        <v>364</v>
      </c>
      <c r="R26" s="11" t="s">
        <v>364</v>
      </c>
      <c r="S26" s="11" t="s">
        <v>364</v>
      </c>
      <c r="T26" s="11" t="s">
        <v>364</v>
      </c>
      <c r="U26" s="11" t="s">
        <v>364</v>
      </c>
      <c r="V26" s="11" t="s">
        <v>364</v>
      </c>
      <c r="W26" s="11" t="s">
        <v>364</v>
      </c>
      <c r="X26" s="11" t="s">
        <v>364</v>
      </c>
      <c r="Y26" s="11" t="s">
        <v>364</v>
      </c>
      <c r="Z26" s="11" t="s">
        <v>364</v>
      </c>
      <c r="AA26" s="11" t="s">
        <v>364</v>
      </c>
      <c r="AB26" s="11" t="s">
        <v>364</v>
      </c>
      <c r="AC26" s="11" t="s">
        <v>364</v>
      </c>
      <c r="AD26" s="11" t="s">
        <v>364</v>
      </c>
      <c r="AE26" s="11" t="s">
        <v>364</v>
      </c>
      <c r="AF26" s="11" t="s">
        <v>364</v>
      </c>
      <c r="AG26" s="11" t="s">
        <v>364</v>
      </c>
      <c r="AH26" s="11" t="s">
        <v>364</v>
      </c>
      <c r="AI26" s="11" t="s">
        <v>370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customFormat="false" ht="15" hidden="false" customHeight="false" outlineLevel="0" collapsed="false">
      <c r="A27" s="11" t="n">
        <v>15</v>
      </c>
      <c r="B27" s="11" t="s">
        <v>360</v>
      </c>
      <c r="C27" s="11" t="s">
        <v>191</v>
      </c>
      <c r="D27" s="11" t="s">
        <v>190</v>
      </c>
      <c r="E27" s="11" t="s">
        <v>348</v>
      </c>
      <c r="F27" s="11" t="s">
        <v>337</v>
      </c>
      <c r="G27" s="11" t="s">
        <v>349</v>
      </c>
      <c r="H27" s="11" t="s">
        <v>412</v>
      </c>
      <c r="I27" s="11"/>
      <c r="J27" s="11" t="s">
        <v>413</v>
      </c>
      <c r="K27" s="11" t="n">
        <v>37.5</v>
      </c>
      <c r="L27" s="11" t="s">
        <v>367</v>
      </c>
      <c r="M27" s="11" t="s">
        <v>415</v>
      </c>
      <c r="N27" s="11" t="s">
        <v>363</v>
      </c>
      <c r="O27" s="11" t="n">
        <v>1</v>
      </c>
      <c r="P27" s="11" t="s">
        <v>192</v>
      </c>
      <c r="Q27" s="11" t="s">
        <v>364</v>
      </c>
      <c r="R27" s="11" t="s">
        <v>364</v>
      </c>
      <c r="S27" s="11" t="s">
        <v>364</v>
      </c>
      <c r="T27" s="11" t="s">
        <v>364</v>
      </c>
      <c r="U27" s="11" t="s">
        <v>364</v>
      </c>
      <c r="V27" s="11" t="s">
        <v>364</v>
      </c>
      <c r="W27" s="11" t="s">
        <v>364</v>
      </c>
      <c r="X27" s="11" t="s">
        <v>364</v>
      </c>
      <c r="Y27" s="11" t="s">
        <v>364</v>
      </c>
      <c r="Z27" s="11" t="s">
        <v>364</v>
      </c>
      <c r="AA27" s="11" t="s">
        <v>364</v>
      </c>
      <c r="AB27" s="11" t="s">
        <v>364</v>
      </c>
      <c r="AC27" s="11" t="s">
        <v>364</v>
      </c>
      <c r="AD27" s="11" t="s">
        <v>364</v>
      </c>
      <c r="AE27" s="11" t="s">
        <v>364</v>
      </c>
      <c r="AF27" s="11" t="s">
        <v>364</v>
      </c>
      <c r="AG27" s="11" t="s">
        <v>364</v>
      </c>
      <c r="AH27" s="11" t="s">
        <v>364</v>
      </c>
      <c r="AI27" s="11" t="s">
        <v>368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customFormat="false" ht="15" hidden="false" customHeight="false" outlineLevel="0" collapsed="false">
      <c r="A28" s="11" t="n">
        <v>16</v>
      </c>
      <c r="B28" s="11" t="s">
        <v>360</v>
      </c>
      <c r="C28" s="11" t="s">
        <v>194</v>
      </c>
      <c r="D28" s="11" t="s">
        <v>193</v>
      </c>
      <c r="E28" s="11" t="s">
        <v>344</v>
      </c>
      <c r="F28" s="11" t="s">
        <v>337</v>
      </c>
      <c r="G28" s="11" t="s">
        <v>345</v>
      </c>
      <c r="H28" s="11" t="s">
        <v>412</v>
      </c>
      <c r="I28" s="11"/>
      <c r="J28" s="11" t="s">
        <v>413</v>
      </c>
      <c r="K28" s="11" t="n">
        <v>37.5</v>
      </c>
      <c r="L28" s="11" t="s">
        <v>417</v>
      </c>
      <c r="M28" s="11" t="s">
        <v>415</v>
      </c>
      <c r="N28" s="11" t="s">
        <v>363</v>
      </c>
      <c r="O28" s="11" t="n">
        <v>1</v>
      </c>
      <c r="P28" s="11" t="s">
        <v>195</v>
      </c>
      <c r="Q28" s="11" t="s">
        <v>364</v>
      </c>
      <c r="R28" s="11" t="s">
        <v>364</v>
      </c>
      <c r="S28" s="11" t="s">
        <v>364</v>
      </c>
      <c r="T28" s="11" t="s">
        <v>364</v>
      </c>
      <c r="U28" s="11" t="s">
        <v>364</v>
      </c>
      <c r="V28" s="11" t="s">
        <v>364</v>
      </c>
      <c r="W28" s="11" t="s">
        <v>364</v>
      </c>
      <c r="X28" s="11" t="s">
        <v>364</v>
      </c>
      <c r="Y28" s="11" t="s">
        <v>364</v>
      </c>
      <c r="Z28" s="11" t="s">
        <v>364</v>
      </c>
      <c r="AA28" s="11" t="s">
        <v>364</v>
      </c>
      <c r="AB28" s="11" t="s">
        <v>364</v>
      </c>
      <c r="AC28" s="11" t="s">
        <v>364</v>
      </c>
      <c r="AD28" s="11" t="s">
        <v>364</v>
      </c>
      <c r="AE28" s="11" t="s">
        <v>364</v>
      </c>
      <c r="AF28" s="11" t="s">
        <v>364</v>
      </c>
      <c r="AG28" s="11" t="s">
        <v>364</v>
      </c>
      <c r="AH28" s="11" t="s">
        <v>364</v>
      </c>
      <c r="AI28" s="11" t="s">
        <v>368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customFormat="false" ht="15" hidden="false" customHeight="false" outlineLevel="0" collapsed="false">
      <c r="A29" s="11" t="n">
        <v>17</v>
      </c>
      <c r="B29" s="11" t="s">
        <v>360</v>
      </c>
      <c r="C29" s="11" t="s">
        <v>197</v>
      </c>
      <c r="D29" s="11" t="s">
        <v>196</v>
      </c>
      <c r="E29" s="11" t="s">
        <v>346</v>
      </c>
      <c r="F29" s="11" t="s">
        <v>342</v>
      </c>
      <c r="G29" s="11" t="s">
        <v>347</v>
      </c>
      <c r="H29" s="11" t="s">
        <v>412</v>
      </c>
      <c r="I29" s="11"/>
      <c r="J29" s="11" t="s">
        <v>413</v>
      </c>
      <c r="K29" s="11" t="n">
        <v>37.5</v>
      </c>
      <c r="L29" s="11" t="s">
        <v>421</v>
      </c>
      <c r="M29" s="11" t="s">
        <v>415</v>
      </c>
      <c r="N29" s="11" t="s">
        <v>363</v>
      </c>
      <c r="O29" s="11" t="n">
        <v>1</v>
      </c>
      <c r="P29" s="11" t="s">
        <v>198</v>
      </c>
      <c r="Q29" s="11" t="s">
        <v>364</v>
      </c>
      <c r="R29" s="11" t="s">
        <v>364</v>
      </c>
      <c r="S29" s="11" t="s">
        <v>364</v>
      </c>
      <c r="T29" s="11" t="s">
        <v>364</v>
      </c>
      <c r="U29" s="11" t="s">
        <v>364</v>
      </c>
      <c r="V29" s="11" t="s">
        <v>364</v>
      </c>
      <c r="W29" s="11" t="s">
        <v>364</v>
      </c>
      <c r="X29" s="11" t="s">
        <v>364</v>
      </c>
      <c r="Y29" s="11" t="s">
        <v>364</v>
      </c>
      <c r="Z29" s="11" t="s">
        <v>364</v>
      </c>
      <c r="AA29" s="11" t="s">
        <v>364</v>
      </c>
      <c r="AB29" s="11" t="s">
        <v>364</v>
      </c>
      <c r="AC29" s="11" t="s">
        <v>364</v>
      </c>
      <c r="AD29" s="11" t="s">
        <v>364</v>
      </c>
      <c r="AE29" s="11" t="s">
        <v>364</v>
      </c>
      <c r="AF29" s="11" t="s">
        <v>364</v>
      </c>
      <c r="AG29" s="11" t="s">
        <v>364</v>
      </c>
      <c r="AH29" s="11" t="s">
        <v>364</v>
      </c>
      <c r="AI29" s="11" t="s">
        <v>370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customFormat="false" ht="15" hidden="false" customHeight="false" outlineLevel="0" collapsed="false">
      <c r="A30" s="11" t="n">
        <v>18</v>
      </c>
      <c r="B30" s="11" t="s">
        <v>360</v>
      </c>
      <c r="C30" s="11" t="s">
        <v>200</v>
      </c>
      <c r="D30" s="11" t="s">
        <v>199</v>
      </c>
      <c r="E30" s="11" t="s">
        <v>341</v>
      </c>
      <c r="F30" s="11" t="s">
        <v>342</v>
      </c>
      <c r="G30" s="11" t="s">
        <v>343</v>
      </c>
      <c r="H30" s="11" t="s">
        <v>412</v>
      </c>
      <c r="I30" s="11"/>
      <c r="J30" s="11" t="s">
        <v>413</v>
      </c>
      <c r="K30" s="11" t="n">
        <v>37.5</v>
      </c>
      <c r="L30" s="11" t="s">
        <v>422</v>
      </c>
      <c r="M30" s="11" t="s">
        <v>415</v>
      </c>
      <c r="N30" s="11" t="s">
        <v>363</v>
      </c>
      <c r="O30" s="11" t="n">
        <v>1</v>
      </c>
      <c r="P30" s="11" t="s">
        <v>201</v>
      </c>
      <c r="Q30" s="11" t="s">
        <v>364</v>
      </c>
      <c r="R30" s="11" t="s">
        <v>364</v>
      </c>
      <c r="S30" s="11" t="s">
        <v>364</v>
      </c>
      <c r="T30" s="11" t="s">
        <v>364</v>
      </c>
      <c r="U30" s="11" t="s">
        <v>364</v>
      </c>
      <c r="V30" s="11" t="s">
        <v>364</v>
      </c>
      <c r="W30" s="11" t="s">
        <v>364</v>
      </c>
      <c r="X30" s="11" t="s">
        <v>364</v>
      </c>
      <c r="Y30" s="11" t="s">
        <v>364</v>
      </c>
      <c r="Z30" s="11" t="s">
        <v>364</v>
      </c>
      <c r="AA30" s="11" t="s">
        <v>364</v>
      </c>
      <c r="AB30" s="11" t="s">
        <v>364</v>
      </c>
      <c r="AC30" s="11" t="s">
        <v>364</v>
      </c>
      <c r="AD30" s="11" t="s">
        <v>364</v>
      </c>
      <c r="AE30" s="11" t="s">
        <v>364</v>
      </c>
      <c r="AF30" s="11" t="s">
        <v>364</v>
      </c>
      <c r="AG30" s="11" t="s">
        <v>364</v>
      </c>
      <c r="AH30" s="11" t="s">
        <v>364</v>
      </c>
      <c r="AI30" s="11" t="s">
        <v>362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customFormat="false" ht="15" hidden="false" customHeight="false" outlineLevel="0" collapsed="false">
      <c r="A31" s="11" t="n">
        <v>19</v>
      </c>
      <c r="B31" s="11" t="s">
        <v>360</v>
      </c>
      <c r="C31" s="11" t="s">
        <v>203</v>
      </c>
      <c r="D31" s="11" t="s">
        <v>202</v>
      </c>
      <c r="E31" s="11" t="s">
        <v>344</v>
      </c>
      <c r="F31" s="11" t="s">
        <v>342</v>
      </c>
      <c r="G31" s="11" t="s">
        <v>345</v>
      </c>
      <c r="H31" s="11" t="s">
        <v>412</v>
      </c>
      <c r="I31" s="11"/>
      <c r="J31" s="11" t="s">
        <v>413</v>
      </c>
      <c r="K31" s="11" t="n">
        <v>37.5</v>
      </c>
      <c r="L31" s="11" t="s">
        <v>372</v>
      </c>
      <c r="M31" s="11" t="s">
        <v>415</v>
      </c>
      <c r="N31" s="11" t="s">
        <v>363</v>
      </c>
      <c r="O31" s="11" t="n">
        <v>1</v>
      </c>
      <c r="P31" s="11" t="s">
        <v>204</v>
      </c>
      <c r="Q31" s="11" t="s">
        <v>364</v>
      </c>
      <c r="R31" s="11" t="s">
        <v>364</v>
      </c>
      <c r="S31" s="11" t="s">
        <v>364</v>
      </c>
      <c r="T31" s="11" t="s">
        <v>364</v>
      </c>
      <c r="U31" s="11" t="s">
        <v>364</v>
      </c>
      <c r="V31" s="11" t="s">
        <v>364</v>
      </c>
      <c r="W31" s="11" t="s">
        <v>364</v>
      </c>
      <c r="X31" s="11" t="s">
        <v>364</v>
      </c>
      <c r="Y31" s="11" t="s">
        <v>364</v>
      </c>
      <c r="Z31" s="11" t="s">
        <v>364</v>
      </c>
      <c r="AA31" s="11" t="s">
        <v>364</v>
      </c>
      <c r="AB31" s="11" t="s">
        <v>364</v>
      </c>
      <c r="AC31" s="11" t="s">
        <v>364</v>
      </c>
      <c r="AD31" s="11" t="s">
        <v>364</v>
      </c>
      <c r="AE31" s="11" t="s">
        <v>364</v>
      </c>
      <c r="AF31" s="11" t="s">
        <v>364</v>
      </c>
      <c r="AG31" s="11" t="s">
        <v>364</v>
      </c>
      <c r="AH31" s="11" t="s">
        <v>364</v>
      </c>
      <c r="AI31" s="11" t="s">
        <v>373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customFormat="false" ht="15" hidden="false" customHeight="false" outlineLevel="0" collapsed="false">
      <c r="A32" s="11" t="n">
        <v>20</v>
      </c>
      <c r="B32" s="11" t="s">
        <v>360</v>
      </c>
      <c r="C32" s="11" t="s">
        <v>206</v>
      </c>
      <c r="D32" s="11" t="s">
        <v>205</v>
      </c>
      <c r="E32" s="11" t="s">
        <v>341</v>
      </c>
      <c r="F32" s="11" t="s">
        <v>342</v>
      </c>
      <c r="G32" s="11" t="s">
        <v>343</v>
      </c>
      <c r="H32" s="11" t="s">
        <v>412</v>
      </c>
      <c r="I32" s="11"/>
      <c r="J32" s="11" t="s">
        <v>413</v>
      </c>
      <c r="K32" s="11" t="n">
        <v>37.5</v>
      </c>
      <c r="L32" s="11" t="s">
        <v>422</v>
      </c>
      <c r="M32" s="11" t="s">
        <v>415</v>
      </c>
      <c r="N32" s="11" t="s">
        <v>363</v>
      </c>
      <c r="O32" s="11" t="n">
        <v>1</v>
      </c>
      <c r="P32" s="11" t="s">
        <v>207</v>
      </c>
      <c r="Q32" s="11" t="s">
        <v>364</v>
      </c>
      <c r="R32" s="11" t="s">
        <v>364</v>
      </c>
      <c r="S32" s="11" t="s">
        <v>364</v>
      </c>
      <c r="T32" s="11" t="s">
        <v>364</v>
      </c>
      <c r="U32" s="11" t="s">
        <v>364</v>
      </c>
      <c r="V32" s="11" t="s">
        <v>364</v>
      </c>
      <c r="W32" s="11" t="s">
        <v>364</v>
      </c>
      <c r="X32" s="11" t="s">
        <v>364</v>
      </c>
      <c r="Y32" s="11" t="s">
        <v>364</v>
      </c>
      <c r="Z32" s="11" t="s">
        <v>364</v>
      </c>
      <c r="AA32" s="11" t="s">
        <v>364</v>
      </c>
      <c r="AB32" s="11" t="s">
        <v>364</v>
      </c>
      <c r="AC32" s="11" t="s">
        <v>364</v>
      </c>
      <c r="AD32" s="11" t="s">
        <v>364</v>
      </c>
      <c r="AE32" s="11" t="s">
        <v>364</v>
      </c>
      <c r="AF32" s="11" t="s">
        <v>364</v>
      </c>
      <c r="AG32" s="11" t="s">
        <v>364</v>
      </c>
      <c r="AH32" s="11" t="s">
        <v>364</v>
      </c>
      <c r="AI32" s="11" t="s">
        <v>362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customFormat="false" ht="15" hidden="false" customHeight="false" outlineLevel="0" collapsed="false">
      <c r="A33" s="11" t="n">
        <v>21</v>
      </c>
      <c r="B33" s="11" t="s">
        <v>360</v>
      </c>
      <c r="C33" s="11" t="s">
        <v>209</v>
      </c>
      <c r="D33" s="11" t="s">
        <v>208</v>
      </c>
      <c r="E33" s="11" t="s">
        <v>336</v>
      </c>
      <c r="F33" s="11" t="s">
        <v>342</v>
      </c>
      <c r="G33" s="11" t="s">
        <v>338</v>
      </c>
      <c r="H33" s="11" t="s">
        <v>412</v>
      </c>
      <c r="I33" s="11"/>
      <c r="J33" s="11" t="s">
        <v>413</v>
      </c>
      <c r="K33" s="11" t="n">
        <v>37.5</v>
      </c>
      <c r="L33" s="11" t="s">
        <v>372</v>
      </c>
      <c r="M33" s="11" t="s">
        <v>415</v>
      </c>
      <c r="N33" s="11" t="s">
        <v>363</v>
      </c>
      <c r="O33" s="11" t="n">
        <v>1</v>
      </c>
      <c r="P33" s="11" t="s">
        <v>210</v>
      </c>
      <c r="Q33" s="11" t="s">
        <v>364</v>
      </c>
      <c r="R33" s="11" t="s">
        <v>364</v>
      </c>
      <c r="S33" s="11" t="s">
        <v>364</v>
      </c>
      <c r="T33" s="11" t="s">
        <v>364</v>
      </c>
      <c r="U33" s="11" t="s">
        <v>364</v>
      </c>
      <c r="V33" s="11" t="s">
        <v>364</v>
      </c>
      <c r="W33" s="11" t="s">
        <v>364</v>
      </c>
      <c r="X33" s="11" t="s">
        <v>364</v>
      </c>
      <c r="Y33" s="11" t="s">
        <v>364</v>
      </c>
      <c r="Z33" s="11" t="s">
        <v>364</v>
      </c>
      <c r="AA33" s="11" t="s">
        <v>364</v>
      </c>
      <c r="AB33" s="11" t="s">
        <v>364</v>
      </c>
      <c r="AC33" s="11" t="s">
        <v>364</v>
      </c>
      <c r="AD33" s="11" t="s">
        <v>364</v>
      </c>
      <c r="AE33" s="11" t="s">
        <v>364</v>
      </c>
      <c r="AF33" s="11" t="s">
        <v>364</v>
      </c>
      <c r="AG33" s="11" t="s">
        <v>364</v>
      </c>
      <c r="AH33" s="11" t="s">
        <v>364</v>
      </c>
      <c r="AI33" s="11" t="s">
        <v>373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customFormat="false" ht="15" hidden="false" customHeight="false" outlineLevel="0" collapsed="false">
      <c r="A34" s="11" t="n">
        <v>22</v>
      </c>
      <c r="B34" s="11" t="s">
        <v>360</v>
      </c>
      <c r="C34" s="11" t="s">
        <v>212</v>
      </c>
      <c r="D34" s="11" t="s">
        <v>211</v>
      </c>
      <c r="E34" s="11" t="s">
        <v>336</v>
      </c>
      <c r="F34" s="11" t="s">
        <v>337</v>
      </c>
      <c r="G34" s="11" t="s">
        <v>338</v>
      </c>
      <c r="H34" s="11" t="s">
        <v>412</v>
      </c>
      <c r="I34" s="11"/>
      <c r="J34" s="11" t="s">
        <v>413</v>
      </c>
      <c r="K34" s="11" t="n">
        <v>37.5</v>
      </c>
      <c r="L34" s="11" t="s">
        <v>417</v>
      </c>
      <c r="M34" s="11" t="s">
        <v>415</v>
      </c>
      <c r="N34" s="11" t="s">
        <v>363</v>
      </c>
      <c r="O34" s="11" t="n">
        <v>1</v>
      </c>
      <c r="P34" s="11" t="s">
        <v>213</v>
      </c>
      <c r="Q34" s="11" t="s">
        <v>364</v>
      </c>
      <c r="R34" s="11" t="s">
        <v>364</v>
      </c>
      <c r="S34" s="11" t="s">
        <v>364</v>
      </c>
      <c r="T34" s="11" t="s">
        <v>364</v>
      </c>
      <c r="U34" s="11" t="s">
        <v>364</v>
      </c>
      <c r="V34" s="11" t="s">
        <v>364</v>
      </c>
      <c r="W34" s="11" t="s">
        <v>364</v>
      </c>
      <c r="X34" s="11" t="s">
        <v>364</v>
      </c>
      <c r="Y34" s="11" t="s">
        <v>364</v>
      </c>
      <c r="Z34" s="11" t="s">
        <v>364</v>
      </c>
      <c r="AA34" s="11" t="s">
        <v>364</v>
      </c>
      <c r="AB34" s="11" t="s">
        <v>364</v>
      </c>
      <c r="AC34" s="11" t="s">
        <v>364</v>
      </c>
      <c r="AD34" s="11" t="s">
        <v>364</v>
      </c>
      <c r="AE34" s="11" t="s">
        <v>364</v>
      </c>
      <c r="AF34" s="11" t="s">
        <v>364</v>
      </c>
      <c r="AG34" s="11" t="s">
        <v>364</v>
      </c>
      <c r="AH34" s="11" t="s">
        <v>364</v>
      </c>
      <c r="AI34" s="11" t="s">
        <v>368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customFormat="false" ht="15" hidden="false" customHeight="false" outlineLevel="0" collapsed="false">
      <c r="A35" s="11" t="n">
        <v>23</v>
      </c>
      <c r="B35" s="11" t="s">
        <v>360</v>
      </c>
      <c r="C35" s="11" t="s">
        <v>215</v>
      </c>
      <c r="D35" s="11" t="s">
        <v>214</v>
      </c>
      <c r="E35" s="11" t="s">
        <v>341</v>
      </c>
      <c r="F35" s="11" t="s">
        <v>342</v>
      </c>
      <c r="G35" s="11" t="s">
        <v>343</v>
      </c>
      <c r="H35" s="11" t="s">
        <v>412</v>
      </c>
      <c r="I35" s="11"/>
      <c r="J35" s="11" t="s">
        <v>413</v>
      </c>
      <c r="K35" s="11" t="n">
        <v>37.5</v>
      </c>
      <c r="L35" s="11" t="s">
        <v>420</v>
      </c>
      <c r="M35" s="11" t="s">
        <v>415</v>
      </c>
      <c r="N35" s="11" t="s">
        <v>363</v>
      </c>
      <c r="O35" s="11" t="n">
        <v>1</v>
      </c>
      <c r="P35" s="11" t="s">
        <v>216</v>
      </c>
      <c r="Q35" s="11" t="s">
        <v>364</v>
      </c>
      <c r="R35" s="11" t="s">
        <v>364</v>
      </c>
      <c r="S35" s="11" t="s">
        <v>364</v>
      </c>
      <c r="T35" s="11" t="s">
        <v>364</v>
      </c>
      <c r="U35" s="11" t="s">
        <v>364</v>
      </c>
      <c r="V35" s="11" t="s">
        <v>364</v>
      </c>
      <c r="W35" s="11" t="s">
        <v>364</v>
      </c>
      <c r="X35" s="11" t="s">
        <v>364</v>
      </c>
      <c r="Y35" s="11" t="s">
        <v>364</v>
      </c>
      <c r="Z35" s="11" t="s">
        <v>364</v>
      </c>
      <c r="AA35" s="11" t="s">
        <v>364</v>
      </c>
      <c r="AB35" s="11" t="s">
        <v>364</v>
      </c>
      <c r="AC35" s="11" t="s">
        <v>364</v>
      </c>
      <c r="AD35" s="11" t="s">
        <v>364</v>
      </c>
      <c r="AE35" s="11" t="s">
        <v>364</v>
      </c>
      <c r="AF35" s="11" t="s">
        <v>364</v>
      </c>
      <c r="AG35" s="11" t="s">
        <v>364</v>
      </c>
      <c r="AH35" s="11" t="s">
        <v>364</v>
      </c>
      <c r="AI35" s="11" t="s">
        <v>362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customFormat="false" ht="15" hidden="false" customHeight="false" outlineLevel="0" collapsed="false">
      <c r="A36" s="11" t="n">
        <v>24</v>
      </c>
      <c r="B36" s="11" t="s">
        <v>360</v>
      </c>
      <c r="C36" s="11" t="s">
        <v>218</v>
      </c>
      <c r="D36" s="11" t="s">
        <v>217</v>
      </c>
      <c r="E36" s="11" t="s">
        <v>348</v>
      </c>
      <c r="F36" s="11" t="s">
        <v>342</v>
      </c>
      <c r="G36" s="11" t="s">
        <v>349</v>
      </c>
      <c r="H36" s="11" t="s">
        <v>412</v>
      </c>
      <c r="I36" s="11"/>
      <c r="J36" s="11" t="s">
        <v>413</v>
      </c>
      <c r="K36" s="11" t="n">
        <v>37.5</v>
      </c>
      <c r="L36" s="11" t="s">
        <v>370</v>
      </c>
      <c r="M36" s="11" t="s">
        <v>415</v>
      </c>
      <c r="N36" s="11" t="s">
        <v>363</v>
      </c>
      <c r="O36" s="11" t="n">
        <v>1</v>
      </c>
      <c r="P36" s="11" t="s">
        <v>219</v>
      </c>
      <c r="Q36" s="11" t="s">
        <v>364</v>
      </c>
      <c r="R36" s="11" t="s">
        <v>364</v>
      </c>
      <c r="S36" s="11" t="s">
        <v>364</v>
      </c>
      <c r="T36" s="11" t="s">
        <v>364</v>
      </c>
      <c r="U36" s="11" t="s">
        <v>364</v>
      </c>
      <c r="V36" s="11" t="s">
        <v>364</v>
      </c>
      <c r="W36" s="11" t="s">
        <v>364</v>
      </c>
      <c r="X36" s="11" t="s">
        <v>364</v>
      </c>
      <c r="Y36" s="11" t="s">
        <v>364</v>
      </c>
      <c r="Z36" s="11" t="s">
        <v>364</v>
      </c>
      <c r="AA36" s="11" t="s">
        <v>364</v>
      </c>
      <c r="AB36" s="11" t="s">
        <v>364</v>
      </c>
      <c r="AC36" s="11" t="s">
        <v>364</v>
      </c>
      <c r="AD36" s="11" t="s">
        <v>364</v>
      </c>
      <c r="AE36" s="11" t="s">
        <v>364</v>
      </c>
      <c r="AF36" s="11" t="s">
        <v>364</v>
      </c>
      <c r="AG36" s="11" t="s">
        <v>364</v>
      </c>
      <c r="AH36" s="11" t="s">
        <v>364</v>
      </c>
      <c r="AI36" s="11" t="s">
        <v>370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customFormat="false" ht="15" hidden="false" customHeight="false" outlineLevel="0" collapsed="false">
      <c r="A37" s="11" t="n">
        <v>25</v>
      </c>
      <c r="B37" s="11" t="s">
        <v>360</v>
      </c>
      <c r="C37" s="11" t="s">
        <v>221</v>
      </c>
      <c r="D37" s="11" t="s">
        <v>220</v>
      </c>
      <c r="E37" s="11" t="s">
        <v>341</v>
      </c>
      <c r="F37" s="11" t="s">
        <v>342</v>
      </c>
      <c r="G37" s="11" t="s">
        <v>343</v>
      </c>
      <c r="H37" s="11" t="s">
        <v>412</v>
      </c>
      <c r="I37" s="11"/>
      <c r="J37" s="11" t="s">
        <v>413</v>
      </c>
      <c r="K37" s="11" t="n">
        <v>37.5</v>
      </c>
      <c r="L37" s="11" t="s">
        <v>361</v>
      </c>
      <c r="M37" s="11" t="s">
        <v>415</v>
      </c>
      <c r="N37" s="11" t="s">
        <v>363</v>
      </c>
      <c r="O37" s="11" t="n">
        <v>1</v>
      </c>
      <c r="P37" s="11" t="s">
        <v>222</v>
      </c>
      <c r="Q37" s="11" t="s">
        <v>364</v>
      </c>
      <c r="R37" s="11" t="s">
        <v>364</v>
      </c>
      <c r="S37" s="11" t="s">
        <v>364</v>
      </c>
      <c r="T37" s="11" t="s">
        <v>364</v>
      </c>
      <c r="U37" s="11" t="s">
        <v>364</v>
      </c>
      <c r="V37" s="11" t="s">
        <v>364</v>
      </c>
      <c r="W37" s="11" t="s">
        <v>364</v>
      </c>
      <c r="X37" s="11" t="s">
        <v>364</v>
      </c>
      <c r="Y37" s="11" t="s">
        <v>364</v>
      </c>
      <c r="Z37" s="11" t="s">
        <v>364</v>
      </c>
      <c r="AA37" s="11" t="s">
        <v>364</v>
      </c>
      <c r="AB37" s="11" t="s">
        <v>364</v>
      </c>
      <c r="AC37" s="11" t="s">
        <v>364</v>
      </c>
      <c r="AD37" s="11" t="s">
        <v>364</v>
      </c>
      <c r="AE37" s="11" t="s">
        <v>364</v>
      </c>
      <c r="AF37" s="11" t="s">
        <v>364</v>
      </c>
      <c r="AG37" s="11" t="s">
        <v>364</v>
      </c>
      <c r="AH37" s="11" t="s">
        <v>364</v>
      </c>
      <c r="AI37" s="11" t="s">
        <v>362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customFormat="false" ht="15" hidden="false" customHeight="false" outlineLevel="0" collapsed="false">
      <c r="A38" s="11" t="n">
        <v>26</v>
      </c>
      <c r="B38" s="11" t="s">
        <v>360</v>
      </c>
      <c r="C38" s="11" t="s">
        <v>224</v>
      </c>
      <c r="D38" s="11" t="s">
        <v>223</v>
      </c>
      <c r="E38" s="11" t="s">
        <v>348</v>
      </c>
      <c r="F38" s="11" t="s">
        <v>342</v>
      </c>
      <c r="G38" s="11" t="s">
        <v>349</v>
      </c>
      <c r="H38" s="11" t="s">
        <v>412</v>
      </c>
      <c r="I38" s="11"/>
      <c r="J38" s="11" t="s">
        <v>413</v>
      </c>
      <c r="K38" s="11" t="n">
        <v>37.5</v>
      </c>
      <c r="L38" s="11" t="s">
        <v>421</v>
      </c>
      <c r="M38" s="11" t="s">
        <v>415</v>
      </c>
      <c r="N38" s="11" t="s">
        <v>363</v>
      </c>
      <c r="O38" s="11" t="n">
        <v>1</v>
      </c>
      <c r="P38" s="11" t="s">
        <v>225</v>
      </c>
      <c r="Q38" s="11" t="s">
        <v>364</v>
      </c>
      <c r="R38" s="11" t="s">
        <v>364</v>
      </c>
      <c r="S38" s="11" t="s">
        <v>364</v>
      </c>
      <c r="T38" s="11" t="s">
        <v>364</v>
      </c>
      <c r="U38" s="11" t="s">
        <v>364</v>
      </c>
      <c r="V38" s="11" t="s">
        <v>364</v>
      </c>
      <c r="W38" s="11" t="s">
        <v>364</v>
      </c>
      <c r="X38" s="11" t="s">
        <v>364</v>
      </c>
      <c r="Y38" s="11" t="s">
        <v>364</v>
      </c>
      <c r="Z38" s="11" t="s">
        <v>364</v>
      </c>
      <c r="AA38" s="11" t="s">
        <v>364</v>
      </c>
      <c r="AB38" s="11" t="s">
        <v>364</v>
      </c>
      <c r="AC38" s="11" t="s">
        <v>364</v>
      </c>
      <c r="AD38" s="11" t="s">
        <v>364</v>
      </c>
      <c r="AE38" s="11" t="s">
        <v>364</v>
      </c>
      <c r="AF38" s="11" t="s">
        <v>364</v>
      </c>
      <c r="AG38" s="11" t="s">
        <v>364</v>
      </c>
      <c r="AH38" s="11" t="s">
        <v>364</v>
      </c>
      <c r="AI38" s="11" t="s">
        <v>370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customFormat="false" ht="15" hidden="false" customHeight="false" outlineLevel="0" collapsed="false">
      <c r="A39" s="11" t="n">
        <v>27</v>
      </c>
      <c r="B39" s="11" t="s">
        <v>360</v>
      </c>
      <c r="C39" s="11" t="s">
        <v>227</v>
      </c>
      <c r="D39" s="11" t="s">
        <v>226</v>
      </c>
      <c r="E39" s="11" t="s">
        <v>336</v>
      </c>
      <c r="F39" s="11" t="s">
        <v>337</v>
      </c>
      <c r="G39" s="11" t="s">
        <v>338</v>
      </c>
      <c r="H39" s="11" t="s">
        <v>412</v>
      </c>
      <c r="I39" s="11"/>
      <c r="J39" s="11" t="s">
        <v>413</v>
      </c>
      <c r="K39" s="11" t="n">
        <v>37.5</v>
      </c>
      <c r="L39" s="11" t="s">
        <v>367</v>
      </c>
      <c r="M39" s="11" t="s">
        <v>415</v>
      </c>
      <c r="N39" s="11" t="s">
        <v>363</v>
      </c>
      <c r="O39" s="11" t="n">
        <v>1</v>
      </c>
      <c r="P39" s="11" t="s">
        <v>228</v>
      </c>
      <c r="Q39" s="11" t="s">
        <v>364</v>
      </c>
      <c r="R39" s="11" t="s">
        <v>364</v>
      </c>
      <c r="S39" s="11" t="s">
        <v>364</v>
      </c>
      <c r="T39" s="11" t="s">
        <v>364</v>
      </c>
      <c r="U39" s="11" t="s">
        <v>364</v>
      </c>
      <c r="V39" s="11" t="s">
        <v>364</v>
      </c>
      <c r="W39" s="11" t="s">
        <v>364</v>
      </c>
      <c r="X39" s="11" t="s">
        <v>364</v>
      </c>
      <c r="Y39" s="11" t="s">
        <v>364</v>
      </c>
      <c r="Z39" s="11" t="s">
        <v>364</v>
      </c>
      <c r="AA39" s="11" t="s">
        <v>364</v>
      </c>
      <c r="AB39" s="11" t="s">
        <v>364</v>
      </c>
      <c r="AC39" s="11" t="s">
        <v>364</v>
      </c>
      <c r="AD39" s="11" t="s">
        <v>364</v>
      </c>
      <c r="AE39" s="11" t="s">
        <v>364</v>
      </c>
      <c r="AF39" s="11" t="s">
        <v>364</v>
      </c>
      <c r="AG39" s="11" t="s">
        <v>364</v>
      </c>
      <c r="AH39" s="11" t="s">
        <v>364</v>
      </c>
      <c r="AI39" s="11" t="s">
        <v>368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customFormat="false" ht="15" hidden="false" customHeight="false" outlineLevel="0" collapsed="false">
      <c r="A40" s="11" t="n">
        <v>28</v>
      </c>
      <c r="B40" s="11" t="s">
        <v>360</v>
      </c>
      <c r="C40" s="11" t="s">
        <v>230</v>
      </c>
      <c r="D40" s="11" t="s">
        <v>229</v>
      </c>
      <c r="E40" s="11" t="s">
        <v>344</v>
      </c>
      <c r="F40" s="11" t="s">
        <v>337</v>
      </c>
      <c r="G40" s="11" t="s">
        <v>345</v>
      </c>
      <c r="H40" s="11" t="s">
        <v>412</v>
      </c>
      <c r="I40" s="11"/>
      <c r="J40" s="11" t="s">
        <v>413</v>
      </c>
      <c r="K40" s="11" t="n">
        <v>37.5</v>
      </c>
      <c r="L40" s="11" t="s">
        <v>367</v>
      </c>
      <c r="M40" s="11" t="s">
        <v>415</v>
      </c>
      <c r="N40" s="11" t="s">
        <v>363</v>
      </c>
      <c r="O40" s="11" t="n">
        <v>1</v>
      </c>
      <c r="P40" s="11" t="s">
        <v>231</v>
      </c>
      <c r="Q40" s="11" t="s">
        <v>364</v>
      </c>
      <c r="R40" s="11" t="s">
        <v>364</v>
      </c>
      <c r="S40" s="11" t="s">
        <v>364</v>
      </c>
      <c r="T40" s="11" t="s">
        <v>364</v>
      </c>
      <c r="U40" s="11" t="s">
        <v>364</v>
      </c>
      <c r="V40" s="11" t="s">
        <v>364</v>
      </c>
      <c r="W40" s="11" t="s">
        <v>364</v>
      </c>
      <c r="X40" s="11" t="s">
        <v>364</v>
      </c>
      <c r="Y40" s="11" t="s">
        <v>364</v>
      </c>
      <c r="Z40" s="11" t="s">
        <v>364</v>
      </c>
      <c r="AA40" s="11" t="s">
        <v>364</v>
      </c>
      <c r="AB40" s="11" t="s">
        <v>364</v>
      </c>
      <c r="AC40" s="11" t="s">
        <v>364</v>
      </c>
      <c r="AD40" s="11" t="s">
        <v>364</v>
      </c>
      <c r="AE40" s="11" t="s">
        <v>364</v>
      </c>
      <c r="AF40" s="11" t="s">
        <v>364</v>
      </c>
      <c r="AG40" s="11" t="s">
        <v>364</v>
      </c>
      <c r="AH40" s="11" t="s">
        <v>364</v>
      </c>
      <c r="AI40" s="11" t="s">
        <v>368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customFormat="false" ht="15" hidden="false" customHeight="false" outlineLevel="0" collapsed="false">
      <c r="A41" s="11" t="n">
        <v>29</v>
      </c>
      <c r="B41" s="11" t="s">
        <v>360</v>
      </c>
      <c r="C41" s="11" t="s">
        <v>233</v>
      </c>
      <c r="D41" s="11" t="s">
        <v>232</v>
      </c>
      <c r="E41" s="11" t="s">
        <v>341</v>
      </c>
      <c r="F41" s="11" t="s">
        <v>342</v>
      </c>
      <c r="G41" s="11" t="s">
        <v>343</v>
      </c>
      <c r="H41" s="11" t="s">
        <v>412</v>
      </c>
      <c r="I41" s="11"/>
      <c r="J41" s="11" t="s">
        <v>413</v>
      </c>
      <c r="K41" s="11" t="n">
        <v>37.5</v>
      </c>
      <c r="L41" s="11" t="s">
        <v>422</v>
      </c>
      <c r="M41" s="11" t="s">
        <v>415</v>
      </c>
      <c r="N41" s="11" t="s">
        <v>363</v>
      </c>
      <c r="O41" s="11" t="n">
        <v>1</v>
      </c>
      <c r="P41" s="11" t="s">
        <v>234</v>
      </c>
      <c r="Q41" s="11" t="s">
        <v>364</v>
      </c>
      <c r="R41" s="11" t="s">
        <v>364</v>
      </c>
      <c r="S41" s="11" t="s">
        <v>364</v>
      </c>
      <c r="T41" s="11" t="s">
        <v>364</v>
      </c>
      <c r="U41" s="11" t="s">
        <v>364</v>
      </c>
      <c r="V41" s="11" t="s">
        <v>364</v>
      </c>
      <c r="W41" s="11" t="s">
        <v>364</v>
      </c>
      <c r="X41" s="11" t="s">
        <v>364</v>
      </c>
      <c r="Y41" s="11" t="s">
        <v>364</v>
      </c>
      <c r="Z41" s="11" t="s">
        <v>364</v>
      </c>
      <c r="AA41" s="11" t="s">
        <v>364</v>
      </c>
      <c r="AB41" s="11" t="s">
        <v>364</v>
      </c>
      <c r="AC41" s="11" t="s">
        <v>364</v>
      </c>
      <c r="AD41" s="11" t="s">
        <v>364</v>
      </c>
      <c r="AE41" s="11" t="s">
        <v>364</v>
      </c>
      <c r="AF41" s="11" t="s">
        <v>364</v>
      </c>
      <c r="AG41" s="11" t="s">
        <v>364</v>
      </c>
      <c r="AH41" s="11" t="s">
        <v>364</v>
      </c>
      <c r="AI41" s="11" t="s">
        <v>362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customFormat="false" ht="15" hidden="false" customHeight="false" outlineLevel="0" collapsed="false">
      <c r="A42" s="11" t="n">
        <v>30</v>
      </c>
      <c r="B42" s="11" t="s">
        <v>360</v>
      </c>
      <c r="C42" s="11" t="s">
        <v>236</v>
      </c>
      <c r="D42" s="11" t="s">
        <v>235</v>
      </c>
      <c r="E42" s="11" t="s">
        <v>348</v>
      </c>
      <c r="F42" s="11" t="s">
        <v>337</v>
      </c>
      <c r="G42" s="11" t="s">
        <v>349</v>
      </c>
      <c r="H42" s="11" t="s">
        <v>412</v>
      </c>
      <c r="I42" s="11"/>
      <c r="J42" s="11" t="s">
        <v>413</v>
      </c>
      <c r="K42" s="11" t="n">
        <v>37.5</v>
      </c>
      <c r="L42" s="11" t="s">
        <v>414</v>
      </c>
      <c r="M42" s="11" t="s">
        <v>415</v>
      </c>
      <c r="N42" s="11" t="s">
        <v>363</v>
      </c>
      <c r="O42" s="11" t="n">
        <v>1</v>
      </c>
      <c r="P42" s="11" t="s">
        <v>237</v>
      </c>
      <c r="Q42" s="11" t="s">
        <v>364</v>
      </c>
      <c r="R42" s="11" t="s">
        <v>364</v>
      </c>
      <c r="S42" s="11" t="s">
        <v>364</v>
      </c>
      <c r="T42" s="11" t="s">
        <v>364</v>
      </c>
      <c r="U42" s="11" t="s">
        <v>364</v>
      </c>
      <c r="V42" s="11" t="s">
        <v>364</v>
      </c>
      <c r="W42" s="11" t="s">
        <v>364</v>
      </c>
      <c r="X42" s="11" t="s">
        <v>364</v>
      </c>
      <c r="Y42" s="11" t="s">
        <v>364</v>
      </c>
      <c r="Z42" s="11" t="s">
        <v>364</v>
      </c>
      <c r="AA42" s="11" t="s">
        <v>364</v>
      </c>
      <c r="AB42" s="11" t="s">
        <v>364</v>
      </c>
      <c r="AC42" s="11" t="s">
        <v>364</v>
      </c>
      <c r="AD42" s="11" t="s">
        <v>364</v>
      </c>
      <c r="AE42" s="11" t="s">
        <v>364</v>
      </c>
      <c r="AF42" s="11" t="s">
        <v>364</v>
      </c>
      <c r="AG42" s="11" t="s">
        <v>364</v>
      </c>
      <c r="AH42" s="11" t="s">
        <v>364</v>
      </c>
      <c r="AI42" s="11" t="s">
        <v>368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customFormat="false" ht="15" hidden="false" customHeight="false" outlineLevel="0" collapsed="false">
      <c r="A43" s="11" t="n">
        <v>31</v>
      </c>
      <c r="B43" s="11" t="s">
        <v>360</v>
      </c>
      <c r="C43" s="11" t="s">
        <v>239</v>
      </c>
      <c r="D43" s="11" t="s">
        <v>238</v>
      </c>
      <c r="E43" s="11" t="s">
        <v>344</v>
      </c>
      <c r="F43" s="11" t="s">
        <v>337</v>
      </c>
      <c r="G43" s="11" t="s">
        <v>345</v>
      </c>
      <c r="H43" s="11" t="s">
        <v>412</v>
      </c>
      <c r="I43" s="11"/>
      <c r="J43" s="11" t="s">
        <v>413</v>
      </c>
      <c r="K43" s="11" t="n">
        <v>37.5</v>
      </c>
      <c r="L43" s="11" t="s">
        <v>414</v>
      </c>
      <c r="M43" s="11" t="s">
        <v>415</v>
      </c>
      <c r="N43" s="11" t="s">
        <v>363</v>
      </c>
      <c r="O43" s="11" t="n">
        <v>1</v>
      </c>
      <c r="P43" s="11" t="s">
        <v>240</v>
      </c>
      <c r="Q43" s="11" t="s">
        <v>364</v>
      </c>
      <c r="R43" s="11" t="s">
        <v>364</v>
      </c>
      <c r="S43" s="11" t="s">
        <v>364</v>
      </c>
      <c r="T43" s="11" t="s">
        <v>364</v>
      </c>
      <c r="U43" s="11" t="s">
        <v>364</v>
      </c>
      <c r="V43" s="11" t="s">
        <v>364</v>
      </c>
      <c r="W43" s="11" t="s">
        <v>364</v>
      </c>
      <c r="X43" s="11" t="s">
        <v>364</v>
      </c>
      <c r="Y43" s="11" t="s">
        <v>364</v>
      </c>
      <c r="Z43" s="11" t="s">
        <v>364</v>
      </c>
      <c r="AA43" s="11" t="s">
        <v>364</v>
      </c>
      <c r="AB43" s="11" t="s">
        <v>364</v>
      </c>
      <c r="AC43" s="11" t="s">
        <v>364</v>
      </c>
      <c r="AD43" s="11" t="s">
        <v>364</v>
      </c>
      <c r="AE43" s="11" t="s">
        <v>364</v>
      </c>
      <c r="AF43" s="11" t="s">
        <v>364</v>
      </c>
      <c r="AG43" s="11" t="s">
        <v>364</v>
      </c>
      <c r="AH43" s="11" t="s">
        <v>364</v>
      </c>
      <c r="AI43" s="11" t="s">
        <v>368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customFormat="false" ht="15" hidden="false" customHeight="false" outlineLevel="0" collapsed="false">
      <c r="A44" s="11" t="n">
        <v>32</v>
      </c>
      <c r="B44" s="11" t="s">
        <v>360</v>
      </c>
      <c r="C44" s="11" t="s">
        <v>242</v>
      </c>
      <c r="D44" s="11" t="s">
        <v>241</v>
      </c>
      <c r="E44" s="11" t="s">
        <v>344</v>
      </c>
      <c r="F44" s="11" t="s">
        <v>342</v>
      </c>
      <c r="G44" s="11" t="s">
        <v>345</v>
      </c>
      <c r="H44" s="11" t="s">
        <v>412</v>
      </c>
      <c r="I44" s="11"/>
      <c r="J44" s="11" t="s">
        <v>413</v>
      </c>
      <c r="K44" s="11" t="n">
        <v>37.5</v>
      </c>
      <c r="L44" s="11" t="s">
        <v>419</v>
      </c>
      <c r="M44" s="11" t="s">
        <v>415</v>
      </c>
      <c r="N44" s="11" t="s">
        <v>363</v>
      </c>
      <c r="O44" s="11" t="n">
        <v>1</v>
      </c>
      <c r="P44" s="11" t="s">
        <v>243</v>
      </c>
      <c r="Q44" s="11" t="s">
        <v>364</v>
      </c>
      <c r="R44" s="11" t="s">
        <v>364</v>
      </c>
      <c r="S44" s="11" t="s">
        <v>364</v>
      </c>
      <c r="T44" s="11" t="s">
        <v>364</v>
      </c>
      <c r="U44" s="11" t="s">
        <v>364</v>
      </c>
      <c r="V44" s="11" t="s">
        <v>364</v>
      </c>
      <c r="W44" s="11" t="s">
        <v>364</v>
      </c>
      <c r="X44" s="11" t="s">
        <v>364</v>
      </c>
      <c r="Y44" s="11" t="s">
        <v>364</v>
      </c>
      <c r="Z44" s="11" t="s">
        <v>364</v>
      </c>
      <c r="AA44" s="11" t="s">
        <v>364</v>
      </c>
      <c r="AB44" s="11" t="s">
        <v>364</v>
      </c>
      <c r="AC44" s="11" t="s">
        <v>364</v>
      </c>
      <c r="AD44" s="11" t="s">
        <v>364</v>
      </c>
      <c r="AE44" s="11" t="s">
        <v>364</v>
      </c>
      <c r="AF44" s="11" t="s">
        <v>364</v>
      </c>
      <c r="AG44" s="11" t="s">
        <v>364</v>
      </c>
      <c r="AH44" s="11" t="s">
        <v>364</v>
      </c>
      <c r="AI44" s="11" t="s">
        <v>373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customFormat="false" ht="15" hidden="false" customHeight="false" outlineLevel="0" collapsed="false">
      <c r="A45" s="11" t="n">
        <v>33</v>
      </c>
      <c r="B45" s="11" t="s">
        <v>360</v>
      </c>
      <c r="C45" s="11" t="s">
        <v>245</v>
      </c>
      <c r="D45" s="11" t="s">
        <v>244</v>
      </c>
      <c r="E45" s="11" t="s">
        <v>336</v>
      </c>
      <c r="F45" s="11" t="s">
        <v>337</v>
      </c>
      <c r="G45" s="11" t="s">
        <v>338</v>
      </c>
      <c r="H45" s="11" t="s">
        <v>412</v>
      </c>
      <c r="I45" s="11"/>
      <c r="J45" s="11" t="s">
        <v>413</v>
      </c>
      <c r="K45" s="11" t="n">
        <v>37.5</v>
      </c>
      <c r="L45" s="11" t="s">
        <v>416</v>
      </c>
      <c r="M45" s="11" t="s">
        <v>415</v>
      </c>
      <c r="N45" s="11" t="s">
        <v>363</v>
      </c>
      <c r="O45" s="11" t="n">
        <v>1</v>
      </c>
      <c r="P45" s="11" t="s">
        <v>246</v>
      </c>
      <c r="Q45" s="11" t="s">
        <v>364</v>
      </c>
      <c r="R45" s="11" t="s">
        <v>364</v>
      </c>
      <c r="S45" s="11" t="s">
        <v>364</v>
      </c>
      <c r="T45" s="11" t="s">
        <v>364</v>
      </c>
      <c r="U45" s="11" t="s">
        <v>364</v>
      </c>
      <c r="V45" s="11" t="s">
        <v>364</v>
      </c>
      <c r="W45" s="11" t="s">
        <v>364</v>
      </c>
      <c r="X45" s="11" t="s">
        <v>364</v>
      </c>
      <c r="Y45" s="11" t="s">
        <v>364</v>
      </c>
      <c r="Z45" s="11" t="s">
        <v>364</v>
      </c>
      <c r="AA45" s="11" t="s">
        <v>364</v>
      </c>
      <c r="AB45" s="11" t="s">
        <v>364</v>
      </c>
      <c r="AC45" s="11" t="s">
        <v>364</v>
      </c>
      <c r="AD45" s="11" t="s">
        <v>364</v>
      </c>
      <c r="AE45" s="11" t="s">
        <v>364</v>
      </c>
      <c r="AF45" s="11" t="s">
        <v>364</v>
      </c>
      <c r="AG45" s="11" t="s">
        <v>364</v>
      </c>
      <c r="AH45" s="11" t="s">
        <v>364</v>
      </c>
      <c r="AI45" s="11" t="s">
        <v>368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customFormat="false" ht="15" hidden="false" customHeight="false" outlineLevel="0" collapsed="false">
      <c r="A46" s="11" t="n">
        <v>34</v>
      </c>
      <c r="B46" s="11" t="s">
        <v>360</v>
      </c>
      <c r="C46" s="11" t="s">
        <v>248</v>
      </c>
      <c r="D46" s="11" t="s">
        <v>247</v>
      </c>
      <c r="E46" s="11" t="s">
        <v>341</v>
      </c>
      <c r="F46" s="11" t="s">
        <v>342</v>
      </c>
      <c r="G46" s="11" t="s">
        <v>343</v>
      </c>
      <c r="H46" s="11" t="s">
        <v>412</v>
      </c>
      <c r="I46" s="11"/>
      <c r="J46" s="11" t="s">
        <v>413</v>
      </c>
      <c r="K46" s="11" t="n">
        <v>37.5</v>
      </c>
      <c r="L46" s="11" t="s">
        <v>420</v>
      </c>
      <c r="M46" s="11" t="s">
        <v>415</v>
      </c>
      <c r="N46" s="11" t="s">
        <v>363</v>
      </c>
      <c r="O46" s="11" t="n">
        <v>1</v>
      </c>
      <c r="P46" s="11" t="s">
        <v>249</v>
      </c>
      <c r="Q46" s="11" t="s">
        <v>364</v>
      </c>
      <c r="R46" s="11" t="s">
        <v>364</v>
      </c>
      <c r="S46" s="11" t="s">
        <v>364</v>
      </c>
      <c r="T46" s="11" t="s">
        <v>364</v>
      </c>
      <c r="U46" s="11" t="s">
        <v>364</v>
      </c>
      <c r="V46" s="11" t="s">
        <v>364</v>
      </c>
      <c r="W46" s="11" t="s">
        <v>364</v>
      </c>
      <c r="X46" s="11" t="s">
        <v>364</v>
      </c>
      <c r="Y46" s="11" t="s">
        <v>364</v>
      </c>
      <c r="Z46" s="11" t="s">
        <v>364</v>
      </c>
      <c r="AA46" s="11" t="s">
        <v>364</v>
      </c>
      <c r="AB46" s="11" t="s">
        <v>364</v>
      </c>
      <c r="AC46" s="11" t="s">
        <v>364</v>
      </c>
      <c r="AD46" s="11" t="s">
        <v>364</v>
      </c>
      <c r="AE46" s="11" t="s">
        <v>364</v>
      </c>
      <c r="AF46" s="11" t="s">
        <v>364</v>
      </c>
      <c r="AG46" s="11" t="s">
        <v>364</v>
      </c>
      <c r="AH46" s="11" t="s">
        <v>364</v>
      </c>
      <c r="AI46" s="11" t="s">
        <v>362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customFormat="false" ht="15" hidden="false" customHeight="false" outlineLevel="0" collapsed="false">
      <c r="A47" s="11" t="n">
        <v>35</v>
      </c>
      <c r="B47" s="11" t="s">
        <v>360</v>
      </c>
      <c r="C47" s="11" t="s">
        <v>251</v>
      </c>
      <c r="D47" s="11" t="s">
        <v>250</v>
      </c>
      <c r="E47" s="11" t="s">
        <v>344</v>
      </c>
      <c r="F47" s="11" t="s">
        <v>342</v>
      </c>
      <c r="G47" s="11" t="s">
        <v>345</v>
      </c>
      <c r="H47" s="11" t="s">
        <v>412</v>
      </c>
      <c r="I47" s="11"/>
      <c r="J47" s="11" t="s">
        <v>413</v>
      </c>
      <c r="K47" s="11" t="n">
        <v>37.5</v>
      </c>
      <c r="L47" s="11" t="s">
        <v>372</v>
      </c>
      <c r="M47" s="11" t="s">
        <v>415</v>
      </c>
      <c r="N47" s="11" t="s">
        <v>363</v>
      </c>
      <c r="O47" s="11" t="n">
        <v>1</v>
      </c>
      <c r="P47" s="11" t="s">
        <v>252</v>
      </c>
      <c r="Q47" s="11" t="s">
        <v>364</v>
      </c>
      <c r="R47" s="11" t="s">
        <v>364</v>
      </c>
      <c r="S47" s="11" t="s">
        <v>364</v>
      </c>
      <c r="T47" s="11" t="s">
        <v>364</v>
      </c>
      <c r="U47" s="11" t="s">
        <v>364</v>
      </c>
      <c r="V47" s="11" t="s">
        <v>364</v>
      </c>
      <c r="W47" s="11" t="s">
        <v>364</v>
      </c>
      <c r="X47" s="11" t="s">
        <v>364</v>
      </c>
      <c r="Y47" s="11" t="s">
        <v>364</v>
      </c>
      <c r="Z47" s="11" t="s">
        <v>364</v>
      </c>
      <c r="AA47" s="11" t="s">
        <v>364</v>
      </c>
      <c r="AB47" s="11" t="s">
        <v>364</v>
      </c>
      <c r="AC47" s="11" t="s">
        <v>364</v>
      </c>
      <c r="AD47" s="11" t="s">
        <v>364</v>
      </c>
      <c r="AE47" s="11" t="s">
        <v>364</v>
      </c>
      <c r="AF47" s="11" t="s">
        <v>364</v>
      </c>
      <c r="AG47" s="11" t="s">
        <v>364</v>
      </c>
      <c r="AH47" s="11" t="s">
        <v>364</v>
      </c>
      <c r="AI47" s="11" t="s">
        <v>373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customFormat="false" ht="15" hidden="false" customHeight="false" outlineLevel="0" collapsed="false">
      <c r="A48" s="11" t="n">
        <v>36</v>
      </c>
      <c r="B48" s="11" t="s">
        <v>360</v>
      </c>
      <c r="C48" s="11" t="s">
        <v>254</v>
      </c>
      <c r="D48" s="11" t="s">
        <v>253</v>
      </c>
      <c r="E48" s="11" t="s">
        <v>341</v>
      </c>
      <c r="F48" s="11" t="s">
        <v>342</v>
      </c>
      <c r="G48" s="11" t="s">
        <v>343</v>
      </c>
      <c r="H48" s="11" t="s">
        <v>412</v>
      </c>
      <c r="I48" s="11"/>
      <c r="J48" s="11" t="s">
        <v>413</v>
      </c>
      <c r="K48" s="11" t="n">
        <v>37.5</v>
      </c>
      <c r="L48" s="11" t="s">
        <v>422</v>
      </c>
      <c r="M48" s="11" t="s">
        <v>415</v>
      </c>
      <c r="N48" s="11" t="s">
        <v>363</v>
      </c>
      <c r="O48" s="11" t="n">
        <v>1</v>
      </c>
      <c r="P48" s="11" t="s">
        <v>255</v>
      </c>
      <c r="Q48" s="11" t="s">
        <v>364</v>
      </c>
      <c r="R48" s="11" t="s">
        <v>364</v>
      </c>
      <c r="S48" s="11" t="s">
        <v>364</v>
      </c>
      <c r="T48" s="11" t="s">
        <v>364</v>
      </c>
      <c r="U48" s="11" t="s">
        <v>364</v>
      </c>
      <c r="V48" s="11" t="s">
        <v>364</v>
      </c>
      <c r="W48" s="11" t="s">
        <v>364</v>
      </c>
      <c r="X48" s="11" t="s">
        <v>364</v>
      </c>
      <c r="Y48" s="11" t="s">
        <v>364</v>
      </c>
      <c r="Z48" s="11" t="s">
        <v>364</v>
      </c>
      <c r="AA48" s="11" t="s">
        <v>364</v>
      </c>
      <c r="AB48" s="11" t="s">
        <v>364</v>
      </c>
      <c r="AC48" s="11" t="s">
        <v>364</v>
      </c>
      <c r="AD48" s="11" t="s">
        <v>364</v>
      </c>
      <c r="AE48" s="11" t="s">
        <v>364</v>
      </c>
      <c r="AF48" s="11" t="s">
        <v>364</v>
      </c>
      <c r="AG48" s="11" t="s">
        <v>364</v>
      </c>
      <c r="AH48" s="11" t="s">
        <v>364</v>
      </c>
      <c r="AI48" s="11" t="s">
        <v>362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customFormat="false" ht="15" hidden="false" customHeight="false" outlineLevel="0" collapsed="false">
      <c r="A49" s="11" t="n">
        <v>37</v>
      </c>
      <c r="B49" s="11" t="s">
        <v>360</v>
      </c>
      <c r="C49" s="11" t="s">
        <v>257</v>
      </c>
      <c r="D49" s="11" t="s">
        <v>256</v>
      </c>
      <c r="E49" s="11" t="s">
        <v>346</v>
      </c>
      <c r="F49" s="11" t="s">
        <v>337</v>
      </c>
      <c r="G49" s="11" t="s">
        <v>347</v>
      </c>
      <c r="H49" s="11" t="s">
        <v>412</v>
      </c>
      <c r="I49" s="11"/>
      <c r="J49" s="11" t="s">
        <v>413</v>
      </c>
      <c r="K49" s="11" t="n">
        <v>37.5</v>
      </c>
      <c r="L49" s="11" t="s">
        <v>416</v>
      </c>
      <c r="M49" s="11" t="s">
        <v>415</v>
      </c>
      <c r="N49" s="11" t="s">
        <v>363</v>
      </c>
      <c r="O49" s="11" t="n">
        <v>1</v>
      </c>
      <c r="P49" s="11" t="s">
        <v>258</v>
      </c>
      <c r="Q49" s="11" t="s">
        <v>364</v>
      </c>
      <c r="R49" s="11" t="s">
        <v>364</v>
      </c>
      <c r="S49" s="11" t="s">
        <v>364</v>
      </c>
      <c r="T49" s="11" t="s">
        <v>364</v>
      </c>
      <c r="U49" s="11" t="s">
        <v>364</v>
      </c>
      <c r="V49" s="11" t="s">
        <v>364</v>
      </c>
      <c r="W49" s="11" t="s">
        <v>364</v>
      </c>
      <c r="X49" s="11" t="s">
        <v>364</v>
      </c>
      <c r="Y49" s="11" t="s">
        <v>364</v>
      </c>
      <c r="Z49" s="11" t="s">
        <v>364</v>
      </c>
      <c r="AA49" s="11" t="s">
        <v>364</v>
      </c>
      <c r="AB49" s="11" t="s">
        <v>364</v>
      </c>
      <c r="AC49" s="11" t="s">
        <v>364</v>
      </c>
      <c r="AD49" s="11" t="s">
        <v>364</v>
      </c>
      <c r="AE49" s="11" t="s">
        <v>364</v>
      </c>
      <c r="AF49" s="11" t="s">
        <v>364</v>
      </c>
      <c r="AG49" s="11" t="s">
        <v>364</v>
      </c>
      <c r="AH49" s="11" t="s">
        <v>364</v>
      </c>
      <c r="AI49" s="11" t="s">
        <v>368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customFormat="false" ht="15" hidden="false" customHeight="false" outlineLevel="0" collapsed="false">
      <c r="A50" s="11" t="n">
        <v>38</v>
      </c>
      <c r="B50" s="11" t="s">
        <v>360</v>
      </c>
      <c r="C50" s="11" t="s">
        <v>260</v>
      </c>
      <c r="D50" s="11" t="s">
        <v>259</v>
      </c>
      <c r="E50" s="11" t="s">
        <v>346</v>
      </c>
      <c r="F50" s="11" t="s">
        <v>337</v>
      </c>
      <c r="G50" s="11" t="s">
        <v>347</v>
      </c>
      <c r="H50" s="11" t="s">
        <v>412</v>
      </c>
      <c r="I50" s="11"/>
      <c r="J50" s="11" t="s">
        <v>413</v>
      </c>
      <c r="K50" s="11" t="n">
        <v>37.5</v>
      </c>
      <c r="L50" s="11" t="s">
        <v>416</v>
      </c>
      <c r="M50" s="11" t="s">
        <v>415</v>
      </c>
      <c r="N50" s="11" t="s">
        <v>363</v>
      </c>
      <c r="O50" s="11" t="n">
        <v>1</v>
      </c>
      <c r="P50" s="11" t="s">
        <v>261</v>
      </c>
      <c r="Q50" s="11" t="s">
        <v>364</v>
      </c>
      <c r="R50" s="11" t="s">
        <v>364</v>
      </c>
      <c r="S50" s="11" t="s">
        <v>364</v>
      </c>
      <c r="T50" s="11" t="s">
        <v>364</v>
      </c>
      <c r="U50" s="11" t="s">
        <v>364</v>
      </c>
      <c r="V50" s="11" t="s">
        <v>364</v>
      </c>
      <c r="W50" s="11" t="s">
        <v>364</v>
      </c>
      <c r="X50" s="11" t="s">
        <v>364</v>
      </c>
      <c r="Y50" s="11" t="s">
        <v>364</v>
      </c>
      <c r="Z50" s="11" t="s">
        <v>364</v>
      </c>
      <c r="AA50" s="11" t="s">
        <v>364</v>
      </c>
      <c r="AB50" s="11" t="s">
        <v>364</v>
      </c>
      <c r="AC50" s="11" t="s">
        <v>364</v>
      </c>
      <c r="AD50" s="11" t="s">
        <v>364</v>
      </c>
      <c r="AE50" s="11" t="s">
        <v>364</v>
      </c>
      <c r="AF50" s="11" t="s">
        <v>364</v>
      </c>
      <c r="AG50" s="11" t="s">
        <v>364</v>
      </c>
      <c r="AH50" s="11" t="s">
        <v>364</v>
      </c>
      <c r="AI50" s="11" t="s">
        <v>368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customFormat="false" ht="15" hidden="false" customHeight="false" outlineLevel="0" collapsed="false">
      <c r="A51" s="11" t="n">
        <v>39</v>
      </c>
      <c r="B51" s="11" t="s">
        <v>360</v>
      </c>
      <c r="C51" s="11" t="s">
        <v>263</v>
      </c>
      <c r="D51" s="11" t="s">
        <v>262</v>
      </c>
      <c r="E51" s="11" t="s">
        <v>336</v>
      </c>
      <c r="F51" s="11" t="s">
        <v>337</v>
      </c>
      <c r="G51" s="11" t="s">
        <v>338</v>
      </c>
      <c r="H51" s="11" t="s">
        <v>412</v>
      </c>
      <c r="I51" s="11"/>
      <c r="J51" s="11" t="s">
        <v>413</v>
      </c>
      <c r="K51" s="11" t="n">
        <v>37.5</v>
      </c>
      <c r="L51" s="11" t="s">
        <v>414</v>
      </c>
      <c r="M51" s="11" t="s">
        <v>415</v>
      </c>
      <c r="N51" s="11" t="s">
        <v>363</v>
      </c>
      <c r="O51" s="11" t="n">
        <v>1</v>
      </c>
      <c r="P51" s="11" t="s">
        <v>264</v>
      </c>
      <c r="Q51" s="11" t="s">
        <v>364</v>
      </c>
      <c r="R51" s="11" t="s">
        <v>364</v>
      </c>
      <c r="S51" s="11" t="s">
        <v>364</v>
      </c>
      <c r="T51" s="11" t="s">
        <v>364</v>
      </c>
      <c r="U51" s="11" t="s">
        <v>364</v>
      </c>
      <c r="V51" s="11" t="s">
        <v>364</v>
      </c>
      <c r="W51" s="11" t="s">
        <v>364</v>
      </c>
      <c r="X51" s="11" t="s">
        <v>364</v>
      </c>
      <c r="Y51" s="11" t="s">
        <v>364</v>
      </c>
      <c r="Z51" s="11" t="s">
        <v>364</v>
      </c>
      <c r="AA51" s="11" t="s">
        <v>364</v>
      </c>
      <c r="AB51" s="11" t="s">
        <v>364</v>
      </c>
      <c r="AC51" s="11" t="s">
        <v>364</v>
      </c>
      <c r="AD51" s="11" t="s">
        <v>364</v>
      </c>
      <c r="AE51" s="11" t="s">
        <v>364</v>
      </c>
      <c r="AF51" s="11" t="s">
        <v>364</v>
      </c>
      <c r="AG51" s="11" t="s">
        <v>364</v>
      </c>
      <c r="AH51" s="11" t="s">
        <v>364</v>
      </c>
      <c r="AI51" s="11" t="s">
        <v>368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customFormat="false" ht="15" hidden="false" customHeight="false" outlineLevel="0" collapsed="false">
      <c r="A52" s="11" t="n">
        <v>40</v>
      </c>
      <c r="B52" s="11" t="s">
        <v>360</v>
      </c>
      <c r="C52" s="11" t="s">
        <v>266</v>
      </c>
      <c r="D52" s="11" t="s">
        <v>265</v>
      </c>
      <c r="E52" s="11" t="s">
        <v>344</v>
      </c>
      <c r="F52" s="11" t="s">
        <v>337</v>
      </c>
      <c r="G52" s="11" t="s">
        <v>345</v>
      </c>
      <c r="H52" s="11" t="s">
        <v>412</v>
      </c>
      <c r="I52" s="11"/>
      <c r="J52" s="11" t="s">
        <v>413</v>
      </c>
      <c r="K52" s="11" t="n">
        <v>37.5</v>
      </c>
      <c r="L52" s="11" t="s">
        <v>367</v>
      </c>
      <c r="M52" s="11" t="s">
        <v>415</v>
      </c>
      <c r="N52" s="11" t="s">
        <v>363</v>
      </c>
      <c r="O52" s="11" t="n">
        <v>1</v>
      </c>
      <c r="P52" s="11" t="s">
        <v>267</v>
      </c>
      <c r="Q52" s="11" t="s">
        <v>364</v>
      </c>
      <c r="R52" s="11" t="s">
        <v>364</v>
      </c>
      <c r="S52" s="11" t="s">
        <v>364</v>
      </c>
      <c r="T52" s="11" t="s">
        <v>364</v>
      </c>
      <c r="U52" s="11" t="s">
        <v>364</v>
      </c>
      <c r="V52" s="11" t="s">
        <v>364</v>
      </c>
      <c r="W52" s="11" t="s">
        <v>364</v>
      </c>
      <c r="X52" s="11" t="s">
        <v>364</v>
      </c>
      <c r="Y52" s="11" t="s">
        <v>364</v>
      </c>
      <c r="Z52" s="11" t="s">
        <v>364</v>
      </c>
      <c r="AA52" s="11" t="s">
        <v>364</v>
      </c>
      <c r="AB52" s="11" t="s">
        <v>364</v>
      </c>
      <c r="AC52" s="11" t="s">
        <v>364</v>
      </c>
      <c r="AD52" s="11" t="s">
        <v>364</v>
      </c>
      <c r="AE52" s="11" t="s">
        <v>364</v>
      </c>
      <c r="AF52" s="11" t="s">
        <v>364</v>
      </c>
      <c r="AG52" s="11" t="s">
        <v>364</v>
      </c>
      <c r="AH52" s="11" t="s">
        <v>364</v>
      </c>
      <c r="AI52" s="11" t="s">
        <v>368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customFormat="false" ht="15" hidden="false" customHeight="false" outlineLevel="0" collapsed="false">
      <c r="A53" s="11" t="n">
        <v>41</v>
      </c>
      <c r="B53" s="11" t="s">
        <v>360</v>
      </c>
      <c r="C53" s="11" t="s">
        <v>269</v>
      </c>
      <c r="D53" s="11" t="s">
        <v>268</v>
      </c>
      <c r="E53" s="11" t="s">
        <v>341</v>
      </c>
      <c r="F53" s="11" t="s">
        <v>342</v>
      </c>
      <c r="G53" s="11" t="s">
        <v>343</v>
      </c>
      <c r="H53" s="11" t="s">
        <v>412</v>
      </c>
      <c r="I53" s="11"/>
      <c r="J53" s="11" t="s">
        <v>413</v>
      </c>
      <c r="K53" s="11" t="n">
        <v>37.5</v>
      </c>
      <c r="L53" s="11" t="s">
        <v>361</v>
      </c>
      <c r="M53" s="11" t="s">
        <v>415</v>
      </c>
      <c r="N53" s="11" t="s">
        <v>363</v>
      </c>
      <c r="O53" s="11" t="n">
        <v>1</v>
      </c>
      <c r="P53" s="11" t="s">
        <v>270</v>
      </c>
      <c r="Q53" s="11" t="s">
        <v>364</v>
      </c>
      <c r="R53" s="11" t="s">
        <v>364</v>
      </c>
      <c r="S53" s="11" t="s">
        <v>364</v>
      </c>
      <c r="T53" s="11" t="s">
        <v>364</v>
      </c>
      <c r="U53" s="11" t="s">
        <v>364</v>
      </c>
      <c r="V53" s="11" t="s">
        <v>364</v>
      </c>
      <c r="W53" s="11" t="s">
        <v>364</v>
      </c>
      <c r="X53" s="11" t="s">
        <v>364</v>
      </c>
      <c r="Y53" s="11" t="s">
        <v>364</v>
      </c>
      <c r="Z53" s="11" t="s">
        <v>364</v>
      </c>
      <c r="AA53" s="11" t="s">
        <v>364</v>
      </c>
      <c r="AB53" s="11" t="s">
        <v>364</v>
      </c>
      <c r="AC53" s="11" t="s">
        <v>364</v>
      </c>
      <c r="AD53" s="11" t="s">
        <v>364</v>
      </c>
      <c r="AE53" s="11" t="s">
        <v>364</v>
      </c>
      <c r="AF53" s="11" t="s">
        <v>364</v>
      </c>
      <c r="AG53" s="11" t="s">
        <v>364</v>
      </c>
      <c r="AH53" s="11" t="s">
        <v>364</v>
      </c>
      <c r="AI53" s="11" t="s">
        <v>362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customFormat="false" ht="15" hidden="false" customHeight="false" outlineLevel="0" collapsed="false">
      <c r="A54" s="11" t="n">
        <v>42</v>
      </c>
      <c r="B54" s="11" t="s">
        <v>360</v>
      </c>
      <c r="C54" s="11" t="s">
        <v>272</v>
      </c>
      <c r="D54" s="11" t="s">
        <v>271</v>
      </c>
      <c r="E54" s="11" t="s">
        <v>341</v>
      </c>
      <c r="F54" s="11" t="s">
        <v>342</v>
      </c>
      <c r="G54" s="11" t="s">
        <v>343</v>
      </c>
      <c r="H54" s="11" t="s">
        <v>412</v>
      </c>
      <c r="I54" s="11"/>
      <c r="J54" s="11" t="s">
        <v>413</v>
      </c>
      <c r="K54" s="11" t="n">
        <v>37.5</v>
      </c>
      <c r="L54" s="11" t="s">
        <v>361</v>
      </c>
      <c r="M54" s="11" t="s">
        <v>415</v>
      </c>
      <c r="N54" s="11" t="s">
        <v>363</v>
      </c>
      <c r="O54" s="11" t="n">
        <v>1</v>
      </c>
      <c r="P54" s="11" t="s">
        <v>273</v>
      </c>
      <c r="Q54" s="11" t="s">
        <v>364</v>
      </c>
      <c r="R54" s="11" t="s">
        <v>364</v>
      </c>
      <c r="S54" s="11" t="s">
        <v>364</v>
      </c>
      <c r="T54" s="11" t="s">
        <v>364</v>
      </c>
      <c r="U54" s="11" t="s">
        <v>364</v>
      </c>
      <c r="V54" s="11" t="s">
        <v>364</v>
      </c>
      <c r="W54" s="11" t="s">
        <v>364</v>
      </c>
      <c r="X54" s="11" t="s">
        <v>364</v>
      </c>
      <c r="Y54" s="11" t="s">
        <v>364</v>
      </c>
      <c r="Z54" s="11" t="s">
        <v>364</v>
      </c>
      <c r="AA54" s="11" t="s">
        <v>364</v>
      </c>
      <c r="AB54" s="11" t="s">
        <v>364</v>
      </c>
      <c r="AC54" s="11" t="s">
        <v>364</v>
      </c>
      <c r="AD54" s="11" t="s">
        <v>364</v>
      </c>
      <c r="AE54" s="11" t="s">
        <v>364</v>
      </c>
      <c r="AF54" s="11" t="s">
        <v>364</v>
      </c>
      <c r="AG54" s="11" t="s">
        <v>364</v>
      </c>
      <c r="AH54" s="11" t="s">
        <v>364</v>
      </c>
      <c r="AI54" s="11" t="s">
        <v>362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customFormat="false" ht="15" hidden="false" customHeight="false" outlineLevel="0" collapsed="false">
      <c r="A55" s="11" t="n">
        <v>43</v>
      </c>
      <c r="B55" s="11" t="s">
        <v>360</v>
      </c>
      <c r="C55" s="11" t="s">
        <v>275</v>
      </c>
      <c r="D55" s="11" t="s">
        <v>274</v>
      </c>
      <c r="E55" s="11" t="s">
        <v>344</v>
      </c>
      <c r="F55" s="11" t="s">
        <v>337</v>
      </c>
      <c r="G55" s="11" t="s">
        <v>345</v>
      </c>
      <c r="H55" s="11" t="s">
        <v>412</v>
      </c>
      <c r="I55" s="11"/>
      <c r="J55" s="11" t="s">
        <v>413</v>
      </c>
      <c r="K55" s="11" t="n">
        <v>37.5</v>
      </c>
      <c r="L55" s="11" t="s">
        <v>367</v>
      </c>
      <c r="M55" s="11" t="s">
        <v>415</v>
      </c>
      <c r="N55" s="11" t="s">
        <v>363</v>
      </c>
      <c r="O55" s="11" t="n">
        <v>1</v>
      </c>
      <c r="P55" s="11" t="s">
        <v>276</v>
      </c>
      <c r="Q55" s="11" t="s">
        <v>364</v>
      </c>
      <c r="R55" s="11" t="s">
        <v>364</v>
      </c>
      <c r="S55" s="11" t="s">
        <v>364</v>
      </c>
      <c r="T55" s="11" t="s">
        <v>364</v>
      </c>
      <c r="U55" s="11" t="s">
        <v>364</v>
      </c>
      <c r="V55" s="11" t="s">
        <v>364</v>
      </c>
      <c r="W55" s="11" t="s">
        <v>364</v>
      </c>
      <c r="X55" s="11" t="s">
        <v>364</v>
      </c>
      <c r="Y55" s="11" t="s">
        <v>364</v>
      </c>
      <c r="Z55" s="11" t="s">
        <v>364</v>
      </c>
      <c r="AA55" s="11" t="s">
        <v>364</v>
      </c>
      <c r="AB55" s="11" t="s">
        <v>364</v>
      </c>
      <c r="AC55" s="11" t="s">
        <v>364</v>
      </c>
      <c r="AD55" s="11" t="s">
        <v>364</v>
      </c>
      <c r="AE55" s="11" t="s">
        <v>364</v>
      </c>
      <c r="AF55" s="11" t="s">
        <v>364</v>
      </c>
      <c r="AG55" s="11" t="s">
        <v>364</v>
      </c>
      <c r="AH55" s="11" t="s">
        <v>364</v>
      </c>
      <c r="AI55" s="11" t="s">
        <v>368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customFormat="false" ht="15" hidden="false" customHeight="false" outlineLevel="0" collapsed="false">
      <c r="A56" s="11" t="n">
        <v>44</v>
      </c>
      <c r="B56" s="11" t="s">
        <v>360</v>
      </c>
      <c r="C56" s="11" t="s">
        <v>278</v>
      </c>
      <c r="D56" s="11" t="s">
        <v>277</v>
      </c>
      <c r="E56" s="11" t="s">
        <v>344</v>
      </c>
      <c r="F56" s="11" t="s">
        <v>342</v>
      </c>
      <c r="G56" s="11" t="s">
        <v>345</v>
      </c>
      <c r="H56" s="11" t="s">
        <v>412</v>
      </c>
      <c r="I56" s="11"/>
      <c r="J56" s="11" t="s">
        <v>413</v>
      </c>
      <c r="K56" s="11" t="n">
        <v>37.5</v>
      </c>
      <c r="L56" s="11" t="s">
        <v>370</v>
      </c>
      <c r="M56" s="11" t="s">
        <v>415</v>
      </c>
      <c r="N56" s="11" t="s">
        <v>363</v>
      </c>
      <c r="O56" s="11" t="n">
        <v>1</v>
      </c>
      <c r="P56" s="11" t="s">
        <v>279</v>
      </c>
      <c r="Q56" s="11" t="s">
        <v>364</v>
      </c>
      <c r="R56" s="11" t="s">
        <v>364</v>
      </c>
      <c r="S56" s="11" t="s">
        <v>364</v>
      </c>
      <c r="T56" s="11" t="s">
        <v>364</v>
      </c>
      <c r="U56" s="11" t="s">
        <v>364</v>
      </c>
      <c r="V56" s="11" t="s">
        <v>364</v>
      </c>
      <c r="W56" s="11" t="s">
        <v>364</v>
      </c>
      <c r="X56" s="11" t="s">
        <v>364</v>
      </c>
      <c r="Y56" s="11" t="s">
        <v>364</v>
      </c>
      <c r="Z56" s="11" t="s">
        <v>364</v>
      </c>
      <c r="AA56" s="11" t="s">
        <v>364</v>
      </c>
      <c r="AB56" s="11" t="s">
        <v>364</v>
      </c>
      <c r="AC56" s="11" t="s">
        <v>364</v>
      </c>
      <c r="AD56" s="11" t="s">
        <v>364</v>
      </c>
      <c r="AE56" s="11" t="s">
        <v>364</v>
      </c>
      <c r="AF56" s="11" t="s">
        <v>364</v>
      </c>
      <c r="AG56" s="11" t="s">
        <v>364</v>
      </c>
      <c r="AH56" s="11" t="s">
        <v>364</v>
      </c>
      <c r="AI56" s="11" t="s">
        <v>370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customFormat="false" ht="15" hidden="false" customHeight="false" outlineLevel="0" collapsed="false">
      <c r="A57" s="11" t="n">
        <v>45</v>
      </c>
      <c r="B57" s="11" t="s">
        <v>360</v>
      </c>
      <c r="C57" s="11" t="s">
        <v>281</v>
      </c>
      <c r="D57" s="11" t="s">
        <v>280</v>
      </c>
      <c r="E57" s="11" t="s">
        <v>346</v>
      </c>
      <c r="F57" s="11" t="s">
        <v>337</v>
      </c>
      <c r="G57" s="11" t="s">
        <v>347</v>
      </c>
      <c r="H57" s="11" t="s">
        <v>412</v>
      </c>
      <c r="I57" s="11" t="s">
        <v>8</v>
      </c>
      <c r="J57" s="11" t="s">
        <v>423</v>
      </c>
      <c r="K57" s="11" t="n">
        <v>37.5</v>
      </c>
      <c r="L57" s="11" t="s">
        <v>367</v>
      </c>
      <c r="M57" s="11" t="s">
        <v>415</v>
      </c>
      <c r="N57" s="11" t="s">
        <v>363</v>
      </c>
      <c r="O57" s="11" t="n">
        <v>1</v>
      </c>
      <c r="P57" s="11" t="s">
        <v>282</v>
      </c>
      <c r="Q57" s="11" t="s">
        <v>364</v>
      </c>
      <c r="R57" s="11" t="s">
        <v>364</v>
      </c>
      <c r="S57" s="11" t="s">
        <v>364</v>
      </c>
      <c r="T57" s="11" t="s">
        <v>364</v>
      </c>
      <c r="U57" s="11" t="s">
        <v>364</v>
      </c>
      <c r="V57" s="11" t="s">
        <v>364</v>
      </c>
      <c r="W57" s="11" t="s">
        <v>364</v>
      </c>
      <c r="X57" s="11" t="s">
        <v>364</v>
      </c>
      <c r="Y57" s="11" t="s">
        <v>364</v>
      </c>
      <c r="Z57" s="11" t="s">
        <v>364</v>
      </c>
      <c r="AA57" s="11" t="s">
        <v>364</v>
      </c>
      <c r="AB57" s="11" t="s">
        <v>364</v>
      </c>
      <c r="AC57" s="11" t="s">
        <v>364</v>
      </c>
      <c r="AD57" s="11" t="s">
        <v>364</v>
      </c>
      <c r="AE57" s="11" t="s">
        <v>364</v>
      </c>
      <c r="AF57" s="11" t="s">
        <v>364</v>
      </c>
      <c r="AG57" s="11" t="s">
        <v>364</v>
      </c>
      <c r="AH57" s="11" t="s">
        <v>364</v>
      </c>
      <c r="AI57" s="11" t="s">
        <v>368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customFormat="false" ht="15" hidden="false" customHeight="false" outlineLevel="0" collapsed="false">
      <c r="A58" s="11" t="n">
        <v>46</v>
      </c>
      <c r="B58" s="11" t="s">
        <v>360</v>
      </c>
      <c r="C58" s="11" t="s">
        <v>284</v>
      </c>
      <c r="D58" s="11" t="s">
        <v>283</v>
      </c>
      <c r="E58" s="11" t="s">
        <v>348</v>
      </c>
      <c r="F58" s="11" t="s">
        <v>337</v>
      </c>
      <c r="G58" s="11" t="s">
        <v>349</v>
      </c>
      <c r="H58" s="11" t="s">
        <v>412</v>
      </c>
      <c r="I58" s="11" t="s">
        <v>8</v>
      </c>
      <c r="J58" s="11" t="s">
        <v>423</v>
      </c>
      <c r="K58" s="11" t="n">
        <v>37.5</v>
      </c>
      <c r="L58" s="11" t="s">
        <v>367</v>
      </c>
      <c r="M58" s="11" t="s">
        <v>415</v>
      </c>
      <c r="N58" s="11" t="s">
        <v>363</v>
      </c>
      <c r="O58" s="11" t="n">
        <v>1</v>
      </c>
      <c r="P58" s="11" t="s">
        <v>285</v>
      </c>
      <c r="Q58" s="11" t="s">
        <v>364</v>
      </c>
      <c r="R58" s="11" t="s">
        <v>364</v>
      </c>
      <c r="S58" s="11" t="s">
        <v>364</v>
      </c>
      <c r="T58" s="11" t="s">
        <v>364</v>
      </c>
      <c r="U58" s="11" t="s">
        <v>364</v>
      </c>
      <c r="V58" s="11" t="s">
        <v>364</v>
      </c>
      <c r="W58" s="11" t="s">
        <v>364</v>
      </c>
      <c r="X58" s="11" t="s">
        <v>364</v>
      </c>
      <c r="Y58" s="11" t="s">
        <v>364</v>
      </c>
      <c r="Z58" s="11" t="s">
        <v>364</v>
      </c>
      <c r="AA58" s="11" t="s">
        <v>364</v>
      </c>
      <c r="AB58" s="11" t="s">
        <v>364</v>
      </c>
      <c r="AC58" s="11" t="s">
        <v>364</v>
      </c>
      <c r="AD58" s="11" t="s">
        <v>364</v>
      </c>
      <c r="AE58" s="11" t="s">
        <v>364</v>
      </c>
      <c r="AF58" s="11" t="s">
        <v>364</v>
      </c>
      <c r="AG58" s="11" t="s">
        <v>364</v>
      </c>
      <c r="AH58" s="11" t="s">
        <v>364</v>
      </c>
      <c r="AI58" s="11" t="s">
        <v>368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customFormat="false" ht="15" hidden="false" customHeight="false" outlineLevel="0" collapsed="false">
      <c r="A59" s="11" t="n">
        <v>47</v>
      </c>
      <c r="B59" s="11" t="s">
        <v>360</v>
      </c>
      <c r="C59" s="11" t="s">
        <v>287</v>
      </c>
      <c r="D59" s="11" t="s">
        <v>286</v>
      </c>
      <c r="E59" s="11" t="s">
        <v>344</v>
      </c>
      <c r="F59" s="11" t="s">
        <v>342</v>
      </c>
      <c r="G59" s="11" t="s">
        <v>345</v>
      </c>
      <c r="H59" s="11" t="s">
        <v>412</v>
      </c>
      <c r="I59" s="11" t="s">
        <v>8</v>
      </c>
      <c r="J59" s="11" t="s">
        <v>423</v>
      </c>
      <c r="K59" s="11" t="n">
        <v>37.5</v>
      </c>
      <c r="L59" s="11" t="s">
        <v>382</v>
      </c>
      <c r="M59" s="11" t="s">
        <v>415</v>
      </c>
      <c r="N59" s="11" t="s">
        <v>363</v>
      </c>
      <c r="O59" s="11" t="n">
        <v>1</v>
      </c>
      <c r="P59" s="11" t="s">
        <v>288</v>
      </c>
      <c r="Q59" s="11" t="s">
        <v>364</v>
      </c>
      <c r="R59" s="11" t="s">
        <v>364</v>
      </c>
      <c r="S59" s="11" t="s">
        <v>364</v>
      </c>
      <c r="T59" s="11" t="s">
        <v>364</v>
      </c>
      <c r="U59" s="11" t="s">
        <v>364</v>
      </c>
      <c r="V59" s="11" t="s">
        <v>364</v>
      </c>
      <c r="W59" s="11" t="s">
        <v>364</v>
      </c>
      <c r="X59" s="11" t="s">
        <v>364</v>
      </c>
      <c r="Y59" s="11" t="s">
        <v>364</v>
      </c>
      <c r="Z59" s="11" t="s">
        <v>364</v>
      </c>
      <c r="AA59" s="11" t="s">
        <v>364</v>
      </c>
      <c r="AB59" s="11" t="s">
        <v>364</v>
      </c>
      <c r="AC59" s="11" t="s">
        <v>364</v>
      </c>
      <c r="AD59" s="11" t="s">
        <v>364</v>
      </c>
      <c r="AE59" s="11" t="s">
        <v>364</v>
      </c>
      <c r="AF59" s="11" t="s">
        <v>364</v>
      </c>
      <c r="AG59" s="11" t="s">
        <v>364</v>
      </c>
      <c r="AH59" s="11" t="s">
        <v>364</v>
      </c>
      <c r="AI59" s="11" t="s">
        <v>383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customFormat="false" ht="15" hidden="false" customHeight="false" outlineLevel="0" collapsed="false">
      <c r="A60" s="11" t="n">
        <v>48</v>
      </c>
      <c r="B60" s="11" t="s">
        <v>360</v>
      </c>
      <c r="C60" s="11" t="s">
        <v>290</v>
      </c>
      <c r="D60" s="11" t="s">
        <v>289</v>
      </c>
      <c r="E60" s="11" t="s">
        <v>336</v>
      </c>
      <c r="F60" s="11" t="s">
        <v>342</v>
      </c>
      <c r="G60" s="11" t="s">
        <v>338</v>
      </c>
      <c r="H60" s="11" t="s">
        <v>412</v>
      </c>
      <c r="I60" s="11" t="s">
        <v>8</v>
      </c>
      <c r="J60" s="11" t="s">
        <v>423</v>
      </c>
      <c r="K60" s="11" t="n">
        <v>37.5</v>
      </c>
      <c r="L60" s="11" t="s">
        <v>372</v>
      </c>
      <c r="M60" s="11" t="s">
        <v>415</v>
      </c>
      <c r="N60" s="11" t="s">
        <v>363</v>
      </c>
      <c r="O60" s="11" t="n">
        <v>1</v>
      </c>
      <c r="P60" s="11" t="s">
        <v>291</v>
      </c>
      <c r="Q60" s="11" t="s">
        <v>364</v>
      </c>
      <c r="R60" s="11" t="s">
        <v>364</v>
      </c>
      <c r="S60" s="11" t="s">
        <v>364</v>
      </c>
      <c r="T60" s="11" t="s">
        <v>364</v>
      </c>
      <c r="U60" s="11" t="s">
        <v>364</v>
      </c>
      <c r="V60" s="11" t="s">
        <v>364</v>
      </c>
      <c r="W60" s="11" t="s">
        <v>364</v>
      </c>
      <c r="X60" s="11" t="s">
        <v>364</v>
      </c>
      <c r="Y60" s="11" t="s">
        <v>364</v>
      </c>
      <c r="Z60" s="11" t="s">
        <v>364</v>
      </c>
      <c r="AA60" s="11" t="s">
        <v>364</v>
      </c>
      <c r="AB60" s="11" t="s">
        <v>364</v>
      </c>
      <c r="AC60" s="11" t="s">
        <v>364</v>
      </c>
      <c r="AD60" s="11" t="s">
        <v>364</v>
      </c>
      <c r="AE60" s="11" t="s">
        <v>364</v>
      </c>
      <c r="AF60" s="11" t="s">
        <v>364</v>
      </c>
      <c r="AG60" s="11" t="s">
        <v>364</v>
      </c>
      <c r="AH60" s="11" t="s">
        <v>364</v>
      </c>
      <c r="AI60" s="11" t="s">
        <v>373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customFormat="false" ht="15" hidden="false" customHeight="false" outlineLevel="0" collapsed="false">
      <c r="A61" s="11" t="n">
        <v>49</v>
      </c>
      <c r="B61" s="11" t="s">
        <v>360</v>
      </c>
      <c r="C61" s="11" t="s">
        <v>293</v>
      </c>
      <c r="D61" s="11" t="s">
        <v>292</v>
      </c>
      <c r="E61" s="11" t="s">
        <v>344</v>
      </c>
      <c r="F61" s="11" t="s">
        <v>342</v>
      </c>
      <c r="G61" s="11" t="s">
        <v>345</v>
      </c>
      <c r="H61" s="11" t="s">
        <v>412</v>
      </c>
      <c r="I61" s="11"/>
      <c r="J61" s="11" t="s">
        <v>413</v>
      </c>
      <c r="K61" s="11" t="n">
        <v>0</v>
      </c>
      <c r="L61" s="11" t="s">
        <v>424</v>
      </c>
      <c r="M61" s="11" t="s">
        <v>415</v>
      </c>
      <c r="N61" s="11" t="s">
        <v>425</v>
      </c>
      <c r="O61" s="11" t="n">
        <v>0</v>
      </c>
      <c r="P61" s="11" t="s">
        <v>294</v>
      </c>
      <c r="Q61" s="11" t="s">
        <v>364</v>
      </c>
      <c r="R61" s="11" t="s">
        <v>364</v>
      </c>
      <c r="S61" s="11" t="s">
        <v>364</v>
      </c>
      <c r="T61" s="11" t="s">
        <v>364</v>
      </c>
      <c r="U61" s="11" t="s">
        <v>364</v>
      </c>
      <c r="V61" s="11" t="s">
        <v>364</v>
      </c>
      <c r="W61" s="11" t="s">
        <v>364</v>
      </c>
      <c r="X61" s="11" t="s">
        <v>364</v>
      </c>
      <c r="Y61" s="11" t="s">
        <v>364</v>
      </c>
      <c r="Z61" s="11" t="s">
        <v>364</v>
      </c>
      <c r="AA61" s="11" t="s">
        <v>364</v>
      </c>
      <c r="AB61" s="11" t="s">
        <v>364</v>
      </c>
      <c r="AC61" s="11" t="s">
        <v>364</v>
      </c>
      <c r="AD61" s="11" t="s">
        <v>364</v>
      </c>
      <c r="AE61" s="11" t="s">
        <v>364</v>
      </c>
      <c r="AF61" s="11" t="s">
        <v>364</v>
      </c>
      <c r="AG61" s="11" t="s">
        <v>364</v>
      </c>
      <c r="AH61" s="11" t="s">
        <v>364</v>
      </c>
      <c r="AI61" s="11" t="s">
        <v>373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customFormat="false" ht="15" hidden="false" customHeight="false" outlineLevel="0" collapsed="false">
      <c r="A62" s="11" t="n">
        <v>50</v>
      </c>
      <c r="B62" s="11" t="s">
        <v>360</v>
      </c>
      <c r="C62" s="11" t="s">
        <v>296</v>
      </c>
      <c r="D62" s="11" t="s">
        <v>295</v>
      </c>
      <c r="E62" s="11" t="s">
        <v>336</v>
      </c>
      <c r="F62" s="11" t="s">
        <v>342</v>
      </c>
      <c r="G62" s="11" t="s">
        <v>338</v>
      </c>
      <c r="H62" s="11" t="s">
        <v>412</v>
      </c>
      <c r="I62" s="11"/>
      <c r="J62" s="11" t="s">
        <v>413</v>
      </c>
      <c r="K62" s="11" t="n">
        <v>0</v>
      </c>
      <c r="L62" s="11" t="s">
        <v>424</v>
      </c>
      <c r="M62" s="11" t="s">
        <v>415</v>
      </c>
      <c r="N62" s="11" t="s">
        <v>425</v>
      </c>
      <c r="O62" s="11" t="n">
        <v>0</v>
      </c>
      <c r="P62" s="11" t="s">
        <v>297</v>
      </c>
      <c r="Q62" s="11" t="s">
        <v>364</v>
      </c>
      <c r="R62" s="11" t="s">
        <v>364</v>
      </c>
      <c r="S62" s="11" t="s">
        <v>364</v>
      </c>
      <c r="T62" s="11" t="s">
        <v>364</v>
      </c>
      <c r="U62" s="11" t="s">
        <v>364</v>
      </c>
      <c r="V62" s="11" t="s">
        <v>364</v>
      </c>
      <c r="W62" s="11" t="s">
        <v>364</v>
      </c>
      <c r="X62" s="11" t="s">
        <v>364</v>
      </c>
      <c r="Y62" s="11" t="s">
        <v>364</v>
      </c>
      <c r="Z62" s="11" t="s">
        <v>364</v>
      </c>
      <c r="AA62" s="11" t="s">
        <v>364</v>
      </c>
      <c r="AB62" s="11" t="s">
        <v>364</v>
      </c>
      <c r="AC62" s="11" t="s">
        <v>364</v>
      </c>
      <c r="AD62" s="11" t="s">
        <v>364</v>
      </c>
      <c r="AE62" s="11" t="s">
        <v>364</v>
      </c>
      <c r="AF62" s="11" t="s">
        <v>364</v>
      </c>
      <c r="AG62" s="11" t="s">
        <v>364</v>
      </c>
      <c r="AH62" s="11" t="s">
        <v>364</v>
      </c>
      <c r="AI62" s="11" t="s">
        <v>373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customFormat="false" ht="15" hidden="false" customHeight="false" outlineLevel="0" collapsed="false">
      <c r="A63" s="11" t="n">
        <v>51</v>
      </c>
      <c r="B63" s="11" t="s">
        <v>360</v>
      </c>
      <c r="C63" s="11" t="s">
        <v>299</v>
      </c>
      <c r="D63" s="11" t="s">
        <v>298</v>
      </c>
      <c r="E63" s="11" t="s">
        <v>346</v>
      </c>
      <c r="F63" s="11" t="s">
        <v>342</v>
      </c>
      <c r="G63" s="11" t="s">
        <v>347</v>
      </c>
      <c r="H63" s="11" t="s">
        <v>412</v>
      </c>
      <c r="I63" s="11"/>
      <c r="J63" s="11" t="s">
        <v>413</v>
      </c>
      <c r="K63" s="11" t="n">
        <v>0</v>
      </c>
      <c r="L63" s="11" t="s">
        <v>424</v>
      </c>
      <c r="M63" s="11" t="s">
        <v>415</v>
      </c>
      <c r="N63" s="11" t="s">
        <v>425</v>
      </c>
      <c r="O63" s="11" t="n">
        <v>0</v>
      </c>
      <c r="P63" s="11" t="s">
        <v>300</v>
      </c>
      <c r="Q63" s="11" t="s">
        <v>364</v>
      </c>
      <c r="R63" s="11" t="s">
        <v>364</v>
      </c>
      <c r="S63" s="11" t="s">
        <v>364</v>
      </c>
      <c r="T63" s="11" t="s">
        <v>364</v>
      </c>
      <c r="U63" s="11" t="s">
        <v>364</v>
      </c>
      <c r="V63" s="11" t="s">
        <v>364</v>
      </c>
      <c r="W63" s="11" t="s">
        <v>364</v>
      </c>
      <c r="X63" s="11" t="s">
        <v>364</v>
      </c>
      <c r="Y63" s="11" t="s">
        <v>364</v>
      </c>
      <c r="Z63" s="11" t="s">
        <v>364</v>
      </c>
      <c r="AA63" s="11" t="s">
        <v>364</v>
      </c>
      <c r="AB63" s="11" t="s">
        <v>364</v>
      </c>
      <c r="AC63" s="11" t="s">
        <v>364</v>
      </c>
      <c r="AD63" s="11" t="s">
        <v>364</v>
      </c>
      <c r="AE63" s="11" t="s">
        <v>364</v>
      </c>
      <c r="AF63" s="11" t="s">
        <v>364</v>
      </c>
      <c r="AG63" s="11" t="s">
        <v>364</v>
      </c>
      <c r="AH63" s="11" t="s">
        <v>364</v>
      </c>
      <c r="AI63" s="11" t="s">
        <v>373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customFormat="false" ht="15" hidden="false" customHeight="false" outlineLevel="0" collapsed="false">
      <c r="A64" s="11" t="n">
        <v>52</v>
      </c>
      <c r="B64" s="11" t="s">
        <v>360</v>
      </c>
      <c r="C64" s="11" t="s">
        <v>302</v>
      </c>
      <c r="D64" s="11" t="s">
        <v>301</v>
      </c>
      <c r="E64" s="11" t="s">
        <v>336</v>
      </c>
      <c r="F64" s="11" t="s">
        <v>342</v>
      </c>
      <c r="G64" s="11" t="s">
        <v>338</v>
      </c>
      <c r="H64" s="11" t="s">
        <v>412</v>
      </c>
      <c r="I64" s="11"/>
      <c r="J64" s="11" t="s">
        <v>413</v>
      </c>
      <c r="K64" s="11" t="n">
        <v>0</v>
      </c>
      <c r="L64" s="11" t="s">
        <v>424</v>
      </c>
      <c r="M64" s="11" t="s">
        <v>415</v>
      </c>
      <c r="N64" s="11" t="s">
        <v>425</v>
      </c>
      <c r="O64" s="11" t="n">
        <v>0</v>
      </c>
      <c r="P64" s="11" t="s">
        <v>303</v>
      </c>
      <c r="Q64" s="11" t="s">
        <v>364</v>
      </c>
      <c r="R64" s="11" t="s">
        <v>364</v>
      </c>
      <c r="S64" s="11" t="s">
        <v>364</v>
      </c>
      <c r="T64" s="11" t="s">
        <v>364</v>
      </c>
      <c r="U64" s="11" t="s">
        <v>364</v>
      </c>
      <c r="V64" s="11" t="s">
        <v>364</v>
      </c>
      <c r="W64" s="11" t="s">
        <v>364</v>
      </c>
      <c r="X64" s="11" t="s">
        <v>364</v>
      </c>
      <c r="Y64" s="11" t="s">
        <v>364</v>
      </c>
      <c r="Z64" s="11" t="s">
        <v>364</v>
      </c>
      <c r="AA64" s="11" t="s">
        <v>364</v>
      </c>
      <c r="AB64" s="11" t="s">
        <v>364</v>
      </c>
      <c r="AC64" s="11" t="s">
        <v>364</v>
      </c>
      <c r="AD64" s="11" t="s">
        <v>364</v>
      </c>
      <c r="AE64" s="11" t="s">
        <v>364</v>
      </c>
      <c r="AF64" s="11" t="s">
        <v>364</v>
      </c>
      <c r="AG64" s="11" t="s">
        <v>364</v>
      </c>
      <c r="AH64" s="11" t="s">
        <v>364</v>
      </c>
      <c r="AI64" s="11" t="s">
        <v>373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customFormat="false" ht="15" hidden="false" customHeight="false" outlineLevel="0" collapsed="false">
      <c r="A65" s="11" t="n">
        <v>53</v>
      </c>
      <c r="B65" s="11" t="s">
        <v>360</v>
      </c>
      <c r="C65" s="11" t="s">
        <v>305</v>
      </c>
      <c r="D65" s="11" t="s">
        <v>304</v>
      </c>
      <c r="E65" s="11" t="s">
        <v>348</v>
      </c>
      <c r="F65" s="11" t="s">
        <v>342</v>
      </c>
      <c r="G65" s="11" t="s">
        <v>349</v>
      </c>
      <c r="H65" s="11" t="s">
        <v>412</v>
      </c>
      <c r="I65" s="11"/>
      <c r="J65" s="11" t="s">
        <v>413</v>
      </c>
      <c r="K65" s="11" t="n">
        <v>0</v>
      </c>
      <c r="L65" s="11" t="s">
        <v>382</v>
      </c>
      <c r="M65" s="11" t="s">
        <v>415</v>
      </c>
      <c r="N65" s="11" t="s">
        <v>425</v>
      </c>
      <c r="O65" s="11" t="n">
        <v>0</v>
      </c>
      <c r="P65" s="11" t="s">
        <v>306</v>
      </c>
      <c r="Q65" s="11" t="s">
        <v>364</v>
      </c>
      <c r="R65" s="11" t="s">
        <v>364</v>
      </c>
      <c r="S65" s="11" t="s">
        <v>364</v>
      </c>
      <c r="T65" s="11" t="s">
        <v>364</v>
      </c>
      <c r="U65" s="11" t="s">
        <v>364</v>
      </c>
      <c r="V65" s="11" t="s">
        <v>364</v>
      </c>
      <c r="W65" s="11" t="s">
        <v>364</v>
      </c>
      <c r="X65" s="11" t="s">
        <v>364</v>
      </c>
      <c r="Y65" s="11" t="s">
        <v>364</v>
      </c>
      <c r="Z65" s="11" t="s">
        <v>364</v>
      </c>
      <c r="AA65" s="11" t="s">
        <v>364</v>
      </c>
      <c r="AB65" s="11" t="s">
        <v>364</v>
      </c>
      <c r="AC65" s="11" t="s">
        <v>364</v>
      </c>
      <c r="AD65" s="11" t="s">
        <v>364</v>
      </c>
      <c r="AE65" s="11" t="s">
        <v>364</v>
      </c>
      <c r="AF65" s="11" t="s">
        <v>364</v>
      </c>
      <c r="AG65" s="11" t="s">
        <v>364</v>
      </c>
      <c r="AH65" s="11" t="s">
        <v>364</v>
      </c>
      <c r="AI65" s="11" t="s">
        <v>383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customFormat="false" ht="15" hidden="false" customHeight="false" outlineLevel="0" collapsed="false">
      <c r="A66" s="11" t="n">
        <v>54</v>
      </c>
      <c r="B66" s="11" t="s">
        <v>360</v>
      </c>
      <c r="C66" s="11" t="s">
        <v>305</v>
      </c>
      <c r="D66" s="11" t="s">
        <v>304</v>
      </c>
      <c r="E66" s="11" t="s">
        <v>348</v>
      </c>
      <c r="F66" s="11" t="s">
        <v>342</v>
      </c>
      <c r="G66" s="11" t="s">
        <v>349</v>
      </c>
      <c r="H66" s="11" t="s">
        <v>412</v>
      </c>
      <c r="I66" s="11"/>
      <c r="J66" s="11" t="s">
        <v>413</v>
      </c>
      <c r="K66" s="11" t="n">
        <v>37.5</v>
      </c>
      <c r="L66" s="11" t="s">
        <v>382</v>
      </c>
      <c r="M66" s="11" t="s">
        <v>415</v>
      </c>
      <c r="N66" s="11" t="s">
        <v>363</v>
      </c>
      <c r="O66" s="11" t="n">
        <v>1</v>
      </c>
      <c r="P66" s="11" t="s">
        <v>306</v>
      </c>
      <c r="Q66" s="11" t="s">
        <v>364</v>
      </c>
      <c r="R66" s="11" t="s">
        <v>364</v>
      </c>
      <c r="S66" s="11" t="s">
        <v>364</v>
      </c>
      <c r="T66" s="11" t="s">
        <v>364</v>
      </c>
      <c r="U66" s="11" t="s">
        <v>364</v>
      </c>
      <c r="V66" s="11" t="s">
        <v>364</v>
      </c>
      <c r="W66" s="11" t="s">
        <v>364</v>
      </c>
      <c r="X66" s="11" t="s">
        <v>364</v>
      </c>
      <c r="Y66" s="11" t="s">
        <v>364</v>
      </c>
      <c r="Z66" s="11" t="s">
        <v>364</v>
      </c>
      <c r="AA66" s="11" t="s">
        <v>364</v>
      </c>
      <c r="AB66" s="11" t="s">
        <v>364</v>
      </c>
      <c r="AC66" s="11" t="s">
        <v>364</v>
      </c>
      <c r="AD66" s="11" t="s">
        <v>364</v>
      </c>
      <c r="AE66" s="11" t="s">
        <v>364</v>
      </c>
      <c r="AF66" s="11" t="s">
        <v>364</v>
      </c>
      <c r="AG66" s="11" t="s">
        <v>364</v>
      </c>
      <c r="AH66" s="11" t="s">
        <v>364</v>
      </c>
      <c r="AI66" s="11" t="s">
        <v>383</v>
      </c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customFormat="false" ht="15" hidden="false" customHeight="false" outlineLevel="0" collapsed="false">
      <c r="A67" s="11" t="n">
        <v>55</v>
      </c>
      <c r="B67" s="11" t="s">
        <v>360</v>
      </c>
      <c r="C67" s="11" t="s">
        <v>308</v>
      </c>
      <c r="D67" s="11" t="s">
        <v>307</v>
      </c>
      <c r="E67" s="11" t="s">
        <v>346</v>
      </c>
      <c r="F67" s="11" t="s">
        <v>337</v>
      </c>
      <c r="G67" s="11" t="s">
        <v>347</v>
      </c>
      <c r="H67" s="11" t="s">
        <v>412</v>
      </c>
      <c r="I67" s="11"/>
      <c r="J67" s="11" t="s">
        <v>413</v>
      </c>
      <c r="K67" s="11" t="n">
        <v>0</v>
      </c>
      <c r="L67" s="11" t="s">
        <v>414</v>
      </c>
      <c r="M67" s="11" t="s">
        <v>415</v>
      </c>
      <c r="N67" s="11" t="s">
        <v>425</v>
      </c>
      <c r="O67" s="11" t="n">
        <v>0</v>
      </c>
      <c r="P67" s="11" t="s">
        <v>309</v>
      </c>
      <c r="Q67" s="11" t="s">
        <v>364</v>
      </c>
      <c r="R67" s="11" t="s">
        <v>364</v>
      </c>
      <c r="S67" s="11" t="s">
        <v>364</v>
      </c>
      <c r="T67" s="11" t="s">
        <v>364</v>
      </c>
      <c r="U67" s="11" t="s">
        <v>364</v>
      </c>
      <c r="V67" s="11" t="s">
        <v>364</v>
      </c>
      <c r="W67" s="11" t="s">
        <v>364</v>
      </c>
      <c r="X67" s="11" t="s">
        <v>364</v>
      </c>
      <c r="Y67" s="11" t="s">
        <v>364</v>
      </c>
      <c r="Z67" s="11" t="s">
        <v>364</v>
      </c>
      <c r="AA67" s="11" t="s">
        <v>364</v>
      </c>
      <c r="AB67" s="11" t="s">
        <v>364</v>
      </c>
      <c r="AC67" s="11" t="s">
        <v>364</v>
      </c>
      <c r="AD67" s="11" t="s">
        <v>364</v>
      </c>
      <c r="AE67" s="11" t="s">
        <v>364</v>
      </c>
      <c r="AF67" s="11" t="s">
        <v>364</v>
      </c>
      <c r="AG67" s="11" t="s">
        <v>364</v>
      </c>
      <c r="AH67" s="11" t="s">
        <v>364</v>
      </c>
      <c r="AI67" s="11" t="s">
        <v>368</v>
      </c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customFormat="false" ht="15" hidden="false" customHeight="false" outlineLevel="0" collapsed="false">
      <c r="A68" s="11" t="n">
        <v>56</v>
      </c>
      <c r="B68" s="11" t="s">
        <v>360</v>
      </c>
      <c r="C68" s="11" t="s">
        <v>308</v>
      </c>
      <c r="D68" s="11" t="s">
        <v>307</v>
      </c>
      <c r="E68" s="11" t="s">
        <v>346</v>
      </c>
      <c r="F68" s="11" t="s">
        <v>337</v>
      </c>
      <c r="G68" s="11" t="s">
        <v>347</v>
      </c>
      <c r="H68" s="11" t="s">
        <v>412</v>
      </c>
      <c r="I68" s="11"/>
      <c r="J68" s="11" t="s">
        <v>413</v>
      </c>
      <c r="K68" s="11" t="n">
        <v>37.5</v>
      </c>
      <c r="L68" s="11" t="s">
        <v>414</v>
      </c>
      <c r="M68" s="11" t="s">
        <v>415</v>
      </c>
      <c r="N68" s="11" t="s">
        <v>363</v>
      </c>
      <c r="O68" s="11" t="n">
        <v>1</v>
      </c>
      <c r="P68" s="11" t="s">
        <v>309</v>
      </c>
      <c r="Q68" s="11" t="s">
        <v>364</v>
      </c>
      <c r="R68" s="11" t="s">
        <v>364</v>
      </c>
      <c r="S68" s="11" t="s">
        <v>364</v>
      </c>
      <c r="T68" s="11" t="s">
        <v>364</v>
      </c>
      <c r="U68" s="11" t="s">
        <v>364</v>
      </c>
      <c r="V68" s="11" t="s">
        <v>364</v>
      </c>
      <c r="W68" s="11" t="s">
        <v>364</v>
      </c>
      <c r="X68" s="11" t="s">
        <v>364</v>
      </c>
      <c r="Y68" s="11" t="s">
        <v>364</v>
      </c>
      <c r="Z68" s="11" t="s">
        <v>364</v>
      </c>
      <c r="AA68" s="11" t="s">
        <v>364</v>
      </c>
      <c r="AB68" s="11" t="s">
        <v>364</v>
      </c>
      <c r="AC68" s="11" t="s">
        <v>364</v>
      </c>
      <c r="AD68" s="11" t="s">
        <v>364</v>
      </c>
      <c r="AE68" s="11" t="s">
        <v>364</v>
      </c>
      <c r="AF68" s="11" t="s">
        <v>364</v>
      </c>
      <c r="AG68" s="11" t="s">
        <v>364</v>
      </c>
      <c r="AH68" s="11" t="s">
        <v>364</v>
      </c>
      <c r="AI68" s="11" t="s">
        <v>368</v>
      </c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customFormat="false" ht="15" hidden="false" customHeight="false" outlineLevel="0" collapsed="false">
      <c r="A69" s="11" t="n">
        <v>57</v>
      </c>
      <c r="B69" s="11" t="s">
        <v>360</v>
      </c>
      <c r="C69" s="11" t="s">
        <v>311</v>
      </c>
      <c r="D69" s="11" t="s">
        <v>310</v>
      </c>
      <c r="E69" s="11" t="s">
        <v>336</v>
      </c>
      <c r="F69" s="11" t="s">
        <v>342</v>
      </c>
      <c r="G69" s="11" t="s">
        <v>338</v>
      </c>
      <c r="H69" s="11" t="s">
        <v>412</v>
      </c>
      <c r="I69" s="11" t="s">
        <v>8</v>
      </c>
      <c r="J69" s="11" t="s">
        <v>423</v>
      </c>
      <c r="K69" s="11" t="n">
        <v>37.5</v>
      </c>
      <c r="L69" s="11" t="s">
        <v>372</v>
      </c>
      <c r="M69" s="11" t="s">
        <v>415</v>
      </c>
      <c r="N69" s="11" t="s">
        <v>363</v>
      </c>
      <c r="O69" s="11" t="n">
        <v>1</v>
      </c>
      <c r="P69" s="11" t="s">
        <v>312</v>
      </c>
      <c r="Q69" s="11" t="s">
        <v>364</v>
      </c>
      <c r="R69" s="11" t="s">
        <v>364</v>
      </c>
      <c r="S69" s="11" t="s">
        <v>364</v>
      </c>
      <c r="T69" s="11" t="s">
        <v>364</v>
      </c>
      <c r="U69" s="11" t="s">
        <v>364</v>
      </c>
      <c r="V69" s="11" t="s">
        <v>364</v>
      </c>
      <c r="W69" s="11" t="s">
        <v>364</v>
      </c>
      <c r="X69" s="11" t="s">
        <v>364</v>
      </c>
      <c r="Y69" s="11" t="s">
        <v>364</v>
      </c>
      <c r="Z69" s="11" t="s">
        <v>364</v>
      </c>
      <c r="AA69" s="11" t="s">
        <v>364</v>
      </c>
      <c r="AB69" s="11" t="s">
        <v>364</v>
      </c>
      <c r="AC69" s="11" t="s">
        <v>364</v>
      </c>
      <c r="AD69" s="11" t="s">
        <v>364</v>
      </c>
      <c r="AE69" s="11" t="s">
        <v>364</v>
      </c>
      <c r="AF69" s="11" t="s">
        <v>364</v>
      </c>
      <c r="AG69" s="11" t="s">
        <v>364</v>
      </c>
      <c r="AH69" s="11" t="s">
        <v>364</v>
      </c>
      <c r="AI69" s="11" t="s">
        <v>373</v>
      </c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customFormat="false" ht="15" hidden="false" customHeight="false" outlineLevel="0" collapsed="false">
      <c r="A70" s="11" t="n">
        <v>58</v>
      </c>
      <c r="B70" s="11" t="s">
        <v>360</v>
      </c>
      <c r="C70" s="11" t="s">
        <v>314</v>
      </c>
      <c r="D70" s="11" t="s">
        <v>313</v>
      </c>
      <c r="E70" s="11" t="s">
        <v>346</v>
      </c>
      <c r="F70" s="11" t="s">
        <v>342</v>
      </c>
      <c r="G70" s="11" t="s">
        <v>347</v>
      </c>
      <c r="H70" s="11" t="s">
        <v>412</v>
      </c>
      <c r="I70" s="11"/>
      <c r="J70" s="11" t="s">
        <v>413</v>
      </c>
      <c r="K70" s="11" t="n">
        <v>37.5</v>
      </c>
      <c r="L70" s="11" t="s">
        <v>372</v>
      </c>
      <c r="M70" s="11" t="s">
        <v>415</v>
      </c>
      <c r="N70" s="11" t="s">
        <v>363</v>
      </c>
      <c r="O70" s="11" t="n">
        <v>1</v>
      </c>
      <c r="P70" s="11" t="s">
        <v>315</v>
      </c>
      <c r="Q70" s="11" t="s">
        <v>364</v>
      </c>
      <c r="R70" s="11" t="s">
        <v>364</v>
      </c>
      <c r="S70" s="11" t="s">
        <v>364</v>
      </c>
      <c r="T70" s="11" t="s">
        <v>364</v>
      </c>
      <c r="U70" s="11" t="s">
        <v>364</v>
      </c>
      <c r="V70" s="11" t="s">
        <v>364</v>
      </c>
      <c r="W70" s="11" t="s">
        <v>364</v>
      </c>
      <c r="X70" s="11" t="s">
        <v>364</v>
      </c>
      <c r="Y70" s="11" t="s">
        <v>364</v>
      </c>
      <c r="Z70" s="11" t="s">
        <v>364</v>
      </c>
      <c r="AA70" s="11" t="s">
        <v>364</v>
      </c>
      <c r="AB70" s="11" t="s">
        <v>364</v>
      </c>
      <c r="AC70" s="11" t="s">
        <v>364</v>
      </c>
      <c r="AD70" s="11" t="s">
        <v>364</v>
      </c>
      <c r="AE70" s="11" t="s">
        <v>364</v>
      </c>
      <c r="AF70" s="11" t="s">
        <v>364</v>
      </c>
      <c r="AG70" s="11" t="s">
        <v>364</v>
      </c>
      <c r="AH70" s="11" t="s">
        <v>364</v>
      </c>
      <c r="AI70" s="11" t="s">
        <v>373</v>
      </c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customFormat="false" ht="15" hidden="false" customHeight="false" outlineLevel="0" collapsed="false">
      <c r="A71" s="11" t="n">
        <v>59</v>
      </c>
      <c r="B71" s="11" t="s">
        <v>360</v>
      </c>
      <c r="C71" s="11" t="s">
        <v>317</v>
      </c>
      <c r="D71" s="11" t="s">
        <v>316</v>
      </c>
      <c r="E71" s="11" t="s">
        <v>344</v>
      </c>
      <c r="F71" s="11" t="s">
        <v>342</v>
      </c>
      <c r="G71" s="11" t="s">
        <v>345</v>
      </c>
      <c r="H71" s="11" t="s">
        <v>412</v>
      </c>
      <c r="I71" s="11" t="s">
        <v>8</v>
      </c>
      <c r="J71" s="11" t="s">
        <v>423</v>
      </c>
      <c r="K71" s="11" t="n">
        <v>37.5</v>
      </c>
      <c r="L71" s="11" t="s">
        <v>375</v>
      </c>
      <c r="M71" s="11" t="s">
        <v>415</v>
      </c>
      <c r="N71" s="11" t="s">
        <v>363</v>
      </c>
      <c r="O71" s="11" t="n">
        <v>1</v>
      </c>
      <c r="P71" s="11" t="s">
        <v>318</v>
      </c>
      <c r="Q71" s="11" t="s">
        <v>364</v>
      </c>
      <c r="R71" s="11" t="s">
        <v>364</v>
      </c>
      <c r="S71" s="11" t="s">
        <v>364</v>
      </c>
      <c r="T71" s="11" t="s">
        <v>364</v>
      </c>
      <c r="U71" s="11" t="s">
        <v>364</v>
      </c>
      <c r="V71" s="11" t="s">
        <v>364</v>
      </c>
      <c r="W71" s="11" t="s">
        <v>364</v>
      </c>
      <c r="X71" s="11" t="s">
        <v>364</v>
      </c>
      <c r="Y71" s="11" t="s">
        <v>364</v>
      </c>
      <c r="Z71" s="11" t="s">
        <v>364</v>
      </c>
      <c r="AA71" s="11" t="s">
        <v>364</v>
      </c>
      <c r="AB71" s="11" t="s">
        <v>364</v>
      </c>
      <c r="AC71" s="11" t="s">
        <v>364</v>
      </c>
      <c r="AD71" s="11" t="s">
        <v>364</v>
      </c>
      <c r="AE71" s="11" t="s">
        <v>364</v>
      </c>
      <c r="AF71" s="11" t="s">
        <v>364</v>
      </c>
      <c r="AG71" s="11" t="s">
        <v>364</v>
      </c>
      <c r="AH71" s="11" t="s">
        <v>364</v>
      </c>
      <c r="AI71" s="11" t="s">
        <v>362</v>
      </c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customFormat="false" ht="15" hidden="false" customHeight="false" outlineLevel="0" collapsed="false">
      <c r="A72" s="11" t="n">
        <v>60</v>
      </c>
      <c r="B72" s="11" t="s">
        <v>360</v>
      </c>
      <c r="C72" s="11" t="s">
        <v>320</v>
      </c>
      <c r="D72" s="11" t="s">
        <v>319</v>
      </c>
      <c r="E72" s="11" t="s">
        <v>341</v>
      </c>
      <c r="F72" s="11" t="s">
        <v>342</v>
      </c>
      <c r="G72" s="11" t="s">
        <v>343</v>
      </c>
      <c r="H72" s="11" t="s">
        <v>412</v>
      </c>
      <c r="I72" s="11"/>
      <c r="J72" s="11" t="s">
        <v>413</v>
      </c>
      <c r="K72" s="11" t="n">
        <v>37.5</v>
      </c>
      <c r="L72" s="11" t="s">
        <v>375</v>
      </c>
      <c r="M72" s="11" t="s">
        <v>415</v>
      </c>
      <c r="N72" s="11" t="s">
        <v>363</v>
      </c>
      <c r="O72" s="11" t="n">
        <v>1</v>
      </c>
      <c r="P72" s="11" t="s">
        <v>321</v>
      </c>
      <c r="Q72" s="11" t="s">
        <v>364</v>
      </c>
      <c r="R72" s="11" t="s">
        <v>364</v>
      </c>
      <c r="S72" s="11" t="s">
        <v>364</v>
      </c>
      <c r="T72" s="11" t="s">
        <v>364</v>
      </c>
      <c r="U72" s="11" t="s">
        <v>364</v>
      </c>
      <c r="V72" s="11" t="s">
        <v>364</v>
      </c>
      <c r="W72" s="11" t="s">
        <v>364</v>
      </c>
      <c r="X72" s="11" t="s">
        <v>364</v>
      </c>
      <c r="Y72" s="11" t="s">
        <v>364</v>
      </c>
      <c r="Z72" s="11" t="s">
        <v>364</v>
      </c>
      <c r="AA72" s="11" t="s">
        <v>364</v>
      </c>
      <c r="AB72" s="11" t="s">
        <v>364</v>
      </c>
      <c r="AC72" s="11" t="s">
        <v>364</v>
      </c>
      <c r="AD72" s="11" t="s">
        <v>364</v>
      </c>
      <c r="AE72" s="11" t="s">
        <v>364</v>
      </c>
      <c r="AF72" s="11" t="s">
        <v>364</v>
      </c>
      <c r="AG72" s="11" t="s">
        <v>364</v>
      </c>
      <c r="AH72" s="11" t="s">
        <v>364</v>
      </c>
      <c r="AI72" s="11" t="s">
        <v>362</v>
      </c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customFormat="false" ht="15" hidden="false" customHeight="false" outlineLevel="0" collapsed="false">
      <c r="A73" s="11" t="n">
        <v>61</v>
      </c>
      <c r="B73" s="11" t="s">
        <v>360</v>
      </c>
      <c r="C73" s="11" t="s">
        <v>323</v>
      </c>
      <c r="D73" s="11" t="s">
        <v>322</v>
      </c>
      <c r="E73" s="11" t="s">
        <v>344</v>
      </c>
      <c r="F73" s="11" t="s">
        <v>337</v>
      </c>
      <c r="G73" s="11" t="s">
        <v>345</v>
      </c>
      <c r="H73" s="11" t="s">
        <v>412</v>
      </c>
      <c r="I73" s="11"/>
      <c r="J73" s="11" t="s">
        <v>413</v>
      </c>
      <c r="K73" s="11" t="n">
        <v>37.5</v>
      </c>
      <c r="L73" s="11" t="s">
        <v>417</v>
      </c>
      <c r="M73" s="11" t="s">
        <v>415</v>
      </c>
      <c r="N73" s="11" t="s">
        <v>363</v>
      </c>
      <c r="O73" s="11" t="n">
        <v>1</v>
      </c>
      <c r="P73" s="11" t="s">
        <v>324</v>
      </c>
      <c r="Q73" s="11" t="s">
        <v>364</v>
      </c>
      <c r="R73" s="11" t="s">
        <v>364</v>
      </c>
      <c r="S73" s="11" t="s">
        <v>364</v>
      </c>
      <c r="T73" s="11" t="s">
        <v>364</v>
      </c>
      <c r="U73" s="11" t="s">
        <v>364</v>
      </c>
      <c r="V73" s="11" t="s">
        <v>364</v>
      </c>
      <c r="W73" s="11" t="s">
        <v>364</v>
      </c>
      <c r="X73" s="11" t="s">
        <v>364</v>
      </c>
      <c r="Y73" s="11" t="s">
        <v>364</v>
      </c>
      <c r="Z73" s="11" t="s">
        <v>364</v>
      </c>
      <c r="AA73" s="11" t="s">
        <v>364</v>
      </c>
      <c r="AB73" s="11" t="s">
        <v>364</v>
      </c>
      <c r="AC73" s="11" t="s">
        <v>364</v>
      </c>
      <c r="AD73" s="11" t="s">
        <v>364</v>
      </c>
      <c r="AE73" s="11" t="s">
        <v>364</v>
      </c>
      <c r="AF73" s="11" t="s">
        <v>364</v>
      </c>
      <c r="AG73" s="11" t="s">
        <v>364</v>
      </c>
      <c r="AH73" s="11" t="s">
        <v>364</v>
      </c>
      <c r="AI73" s="11" t="s">
        <v>368</v>
      </c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customFormat="false" ht="15" hidden="false" customHeight="false" outlineLevel="0" collapsed="false">
      <c r="A74" s="11" t="n">
        <v>62</v>
      </c>
      <c r="B74" s="11" t="s">
        <v>360</v>
      </c>
      <c r="C74" s="11" t="s">
        <v>326</v>
      </c>
      <c r="D74" s="11" t="s">
        <v>325</v>
      </c>
      <c r="E74" s="11" t="s">
        <v>348</v>
      </c>
      <c r="F74" s="11" t="s">
        <v>342</v>
      </c>
      <c r="G74" s="11" t="s">
        <v>349</v>
      </c>
      <c r="H74" s="11" t="s">
        <v>412</v>
      </c>
      <c r="I74" s="11"/>
      <c r="J74" s="11" t="s">
        <v>413</v>
      </c>
      <c r="K74" s="11" t="n">
        <v>37.5</v>
      </c>
      <c r="L74" s="11" t="s">
        <v>372</v>
      </c>
      <c r="M74" s="11" t="s">
        <v>415</v>
      </c>
      <c r="N74" s="11" t="s">
        <v>363</v>
      </c>
      <c r="O74" s="11" t="n">
        <v>1</v>
      </c>
      <c r="P74" s="11" t="s">
        <v>327</v>
      </c>
      <c r="Q74" s="11" t="s">
        <v>364</v>
      </c>
      <c r="R74" s="11" t="s">
        <v>364</v>
      </c>
      <c r="S74" s="11" t="s">
        <v>364</v>
      </c>
      <c r="T74" s="11" t="s">
        <v>364</v>
      </c>
      <c r="U74" s="11" t="s">
        <v>364</v>
      </c>
      <c r="V74" s="11" t="s">
        <v>364</v>
      </c>
      <c r="W74" s="11" t="s">
        <v>364</v>
      </c>
      <c r="X74" s="11" t="s">
        <v>364</v>
      </c>
      <c r="Y74" s="11" t="s">
        <v>364</v>
      </c>
      <c r="Z74" s="11" t="s">
        <v>364</v>
      </c>
      <c r="AA74" s="11" t="s">
        <v>364</v>
      </c>
      <c r="AB74" s="11" t="s">
        <v>364</v>
      </c>
      <c r="AC74" s="11" t="s">
        <v>364</v>
      </c>
      <c r="AD74" s="11" t="s">
        <v>364</v>
      </c>
      <c r="AE74" s="11" t="s">
        <v>364</v>
      </c>
      <c r="AF74" s="11" t="s">
        <v>364</v>
      </c>
      <c r="AG74" s="11" t="s">
        <v>364</v>
      </c>
      <c r="AH74" s="11" t="s">
        <v>364</v>
      </c>
      <c r="AI74" s="11" t="s">
        <v>373</v>
      </c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</sheetData>
  <autoFilter ref="A12:AI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2026-08-23T10:28:25Z</dcterms:created>
  <dc:creator>openpyxl</dc:creator>
  <dc:description/>
  <dc:language>en-US</dc:language>
  <cp:lastModifiedBy/>
  <dcterms:modified xsi:type="dcterms:W3CDTF">2026-08-23T10:28:26Z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